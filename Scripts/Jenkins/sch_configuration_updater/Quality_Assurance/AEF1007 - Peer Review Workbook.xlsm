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5.xml" ContentType="application/vnd.openxmlformats-officedocument.spreadsheetml.comments+xml"/>
  <Override PartName="/xl/threadedComments/threadedComment2.xml" ContentType="application/vnd.ms-excel.threadedcomments+xml"/>
  <Override PartName="/xl/comments6.xml" ContentType="application/vnd.openxmlformats-officedocument.spreadsheetml.comments+xml"/>
  <Override PartName="/xl/drawings/drawing5.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3.xml" ContentType="application/vnd.ms-excel.threaded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showInkAnnotation="0" codeName="ThisWorkbook" defaultThemeVersion="124226"/>
  <mc:AlternateContent xmlns:mc="http://schemas.openxmlformats.org/markup-compatibility/2006">
    <mc:Choice Requires="x15">
      <x15ac:absPath xmlns:x15ac="http://schemas.microsoft.com/office/spreadsheetml/2010/11/ac" url="P:\Phase_02\PROJECT\"/>
    </mc:Choice>
  </mc:AlternateContent>
  <xr:revisionPtr revIDLastSave="0" documentId="13_ncr:1_{B5F14D01-1CF3-4F29-B909-25C507D83E4B}" xr6:coauthVersionLast="41" xr6:coauthVersionMax="44" xr10:uidLastSave="{00000000-0000-0000-0000-000000000000}"/>
  <bookViews>
    <workbookView xWindow="3765" yWindow="2070" windowWidth="23145" windowHeight="12000" tabRatio="750" xr2:uid="{00000000-000D-0000-FFFF-FFFF00000000}"/>
  </bookViews>
  <sheets>
    <sheet name="FrontPage" sheetId="38" r:id="rId1"/>
    <sheet name="General info" sheetId="39" r:id="rId2"/>
    <sheet name="Help" sheetId="15" r:id="rId3"/>
    <sheet name="Synthesis Charts" sheetId="16" r:id="rId4"/>
    <sheet name="Review" sheetId="18" r:id="rId5"/>
    <sheet name="Reuse strategy checklist" sheetId="30" r:id="rId6"/>
    <sheet name="SDP checklist" sheetId="23" r:id="rId7"/>
    <sheet name="SPS checklist" sheetId="21" r:id="rId8"/>
    <sheet name="ITP checklist" sheetId="36" r:id="rId9"/>
    <sheet name="SVP checklist" sheetId="24" r:id="rId10"/>
    <sheet name="SVS checklist" sheetId="22" r:id="rId11"/>
    <sheet name="QAP checklist" sheetId="31" r:id="rId12"/>
    <sheet name="CMP checklist" sheetId="25" r:id="rId13"/>
    <sheet name="Architecture checklist" sheetId="26" r:id="rId14"/>
    <sheet name="MBD checklist" sheetId="35" r:id="rId15"/>
    <sheet name="Design checklist" sheetId="27" r:id="rId16"/>
    <sheet name="Code checklist" sheetId="19" r:id="rId17"/>
    <sheet name="AAU Test checklist" sheetId="33" r:id="rId18"/>
    <sheet name="Integration Test checklist" sheetId="28" r:id="rId19"/>
    <sheet name="SV Summary Report checklist" sheetId="34" r:id="rId20"/>
    <sheet name="SWPF checklist" sheetId="29" r:id="rId21"/>
    <sheet name="Other documents checklist" sheetId="32" r:id="rId22"/>
    <sheet name="Process assets checklist" sheetId="37" r:id="rId23"/>
    <sheet name="History" sheetId="13" r:id="rId24"/>
  </sheets>
  <functionGroups builtInGroupCount="19"/>
  <externalReferences>
    <externalReference r:id="rId25"/>
    <externalReference r:id="rId26"/>
    <externalReference r:id="rId27"/>
  </externalReferences>
  <definedNames>
    <definedName name="_xlnm._FilterDatabase" localSheetId="4" hidden="1">Review!$A$4:$N$204</definedName>
    <definedName name="ActorName">Review!$K$4</definedName>
    <definedName name="ApprovalStatus">'Synthesis Charts'!$C$40</definedName>
    <definedName name="AuthorStatus">Review!$M$4</definedName>
    <definedName name="Autofill">Review!$AY$1</definedName>
    <definedName name="Description">Review!$D$4</definedName>
    <definedName name="Feries">[1]Fériés!$A$1:$A$187</definedName>
    <definedName name="FileName">FrontPage!$AD$3</definedName>
    <definedName name="Identifier">Review!$A$4</definedName>
    <definedName name="Issue_to_treat" localSheetId="4">Review!$Y$2</definedName>
    <definedName name="IssuerName">Review!$F$4</definedName>
    <definedName name="Issues_postponed" localSheetId="4">Review!$AA$2</definedName>
    <definedName name="Issues_to_approve" localSheetId="4">Review!$Z$2</definedName>
    <definedName name="ManualFill">Review!$AZ$1</definedName>
    <definedName name="MXActual_state_Released" localSheetId="1">[2]FrontPage!$AB$5</definedName>
    <definedName name="MXActual_state_Released">FrontPage!$AB$5</definedName>
    <definedName name="MXAuthority" localSheetId="1">[2]FrontPage!$A$5</definedName>
    <definedName name="MXAuthority">FrontPage!$A$5</definedName>
    <definedName name="MXCurrent.Localized" localSheetId="1">[2]FrontPage!$W$5</definedName>
    <definedName name="MXCurrent.Localized">FrontPage!$W$5</definedName>
    <definedName name="MXName" localSheetId="1">[2]FrontPage!$A$7</definedName>
    <definedName name="MXName">FrontPage!$A$7</definedName>
    <definedName name="MXRevision" localSheetId="1">[2]FrontPage!$AB$7</definedName>
    <definedName name="MXRevision">FrontPage!$AB$7</definedName>
    <definedName name="MXTitle" localSheetId="1">[2]FrontPage!$E$7</definedName>
    <definedName name="MXTitle">FrontPage!$E$7</definedName>
    <definedName name="MXVersion" localSheetId="1">[2]FrontPage!$AE$7</definedName>
    <definedName name="MXVersion">FrontPage!$AE$7</definedName>
    <definedName name="NbOfApprovedIssues" localSheetId="4">Review!$AI$2</definedName>
    <definedName name="NbOfNotApprovedAndPostponedIssues" localSheetId="4">Review!$P$2</definedName>
    <definedName name="NbOfNotApprovedIssues" localSheetId="4">Review!$O$2</definedName>
    <definedName name="NbOfNotTreatedIssues">Review!$M$2</definedName>
    <definedName name="NbOfRejectedIssues">Review!$N$2</definedName>
    <definedName name="OpenDate">Review!$E$4</definedName>
    <definedName name="ReviewerStatus">Review!$N$4</definedName>
    <definedName name="Risks">[1]RisksFollowUp!$AC$1:$AC$60</definedName>
    <definedName name="Status_OK" localSheetId="4">Review!$AB$2</definedName>
    <definedName name="StatusFixed" localSheetId="4">Review!$S$2</definedName>
    <definedName name="StatusOpen" localSheetId="4">Review!$V$2</definedName>
    <definedName name="StatusPostponed" localSheetId="4">Review!$T$2</definedName>
    <definedName name="StatusToBeFixed" localSheetId="4">Review!$R$2</definedName>
    <definedName name="StatusWillNotBeFixed" localSheetId="4">Review!$U$2</definedName>
    <definedName name="Synthesis_ConformityTitle">'Synthesis Charts'!$D$24</definedName>
    <definedName name="Synthesis_Status">'Synthesis Charts'!$C$31</definedName>
    <definedName name="TargetDate">Review!$L$4</definedName>
    <definedName name="TemplateColumn">'Synthesis Charts'!$B:$B</definedName>
    <definedName name="TemplateRef">FrontPage!$W$7</definedName>
    <definedName name="TitleRow" localSheetId="17">'AAU Test checklist'!$4:$4</definedName>
    <definedName name="TitleRow" localSheetId="13">'Architecture checklist'!$4:$4</definedName>
    <definedName name="TitleRow" localSheetId="12">'CMP checklist'!$4:$4</definedName>
    <definedName name="TitleRow" localSheetId="16">'Code checklist'!$4:$4</definedName>
    <definedName name="TitleRow" localSheetId="15">'Design checklist'!$4:$4</definedName>
    <definedName name="TitleRow" localSheetId="18">'Integration Test checklist'!$4:$4</definedName>
    <definedName name="TitleRow" localSheetId="8">'ITP checklist'!$4:$4</definedName>
    <definedName name="TitleRow" localSheetId="14">'MBD checklist'!$4:$4</definedName>
    <definedName name="TitleRow" localSheetId="21">'Other documents checklist'!$4:$4</definedName>
    <definedName name="TitleRow" localSheetId="22">'Process assets checklist'!$4:$4</definedName>
    <definedName name="TitleRow" localSheetId="11">'QAP checklist'!$4:$4</definedName>
    <definedName name="TitleRow" localSheetId="5">'Reuse strategy checklist'!$4:$4</definedName>
    <definedName name="TitleRow" localSheetId="6">'SDP checklist'!$4:$4</definedName>
    <definedName name="TitleRow" localSheetId="7">'SPS checklist'!$4:$4</definedName>
    <definedName name="TitleRow" localSheetId="19">'SV Summary Report checklist'!$4:$4</definedName>
    <definedName name="TitleRow" localSheetId="9">'SVP checklist'!$4:$4</definedName>
    <definedName name="TitleRow" localSheetId="10">'SVS checklist'!$4:$4</definedName>
    <definedName name="TitleRow" localSheetId="20">'SWPF checklist'!$4:$4</definedName>
    <definedName name="Values">[1]RisksFollowUp!$AE$1:$AE$5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B5" i="38" l="1"/>
  <c r="W5" i="38"/>
  <c r="W7" i="38"/>
  <c r="E7" i="38"/>
  <c r="A7" i="38"/>
  <c r="AE7" i="38"/>
  <c r="AB7" i="38"/>
  <c r="A5" i="38"/>
  <c r="V27" i="16" l="1"/>
  <c r="U27" i="16"/>
  <c r="T27" i="16"/>
  <c r="S27" i="16"/>
  <c r="R27" i="16"/>
  <c r="Q27" i="16"/>
  <c r="P27" i="16"/>
  <c r="O27" i="16"/>
  <c r="N27" i="16"/>
  <c r="M27" i="16"/>
  <c r="L27" i="16"/>
  <c r="K27" i="16"/>
  <c r="J27" i="16"/>
  <c r="I27" i="16"/>
  <c r="H27" i="16"/>
  <c r="G27" i="16"/>
  <c r="F27" i="16"/>
  <c r="E27" i="16"/>
  <c r="E44" i="16"/>
  <c r="E37" i="16"/>
  <c r="W7" i="39"/>
  <c r="AE7" i="39"/>
  <c r="AB7" i="39"/>
  <c r="E7" i="39"/>
  <c r="A7" i="39"/>
  <c r="AB5" i="39"/>
  <c r="W5" i="39"/>
  <c r="A5" i="39"/>
  <c r="AD3" i="39"/>
  <c r="F10" i="38"/>
  <c r="A23" i="38" l="1"/>
  <c r="D26" i="37" l="1"/>
  <c r="C26" i="37"/>
  <c r="D326" i="37" l="1"/>
  <c r="C326" i="37"/>
  <c r="D325" i="37"/>
  <c r="C325" i="37"/>
  <c r="D324" i="37"/>
  <c r="C324" i="37"/>
  <c r="D323" i="37"/>
  <c r="C323" i="37"/>
  <c r="D322" i="37"/>
  <c r="C322" i="37"/>
  <c r="D321" i="37"/>
  <c r="C321" i="37"/>
  <c r="D320" i="37"/>
  <c r="C320" i="37"/>
  <c r="D319" i="37"/>
  <c r="C319" i="37"/>
  <c r="D318" i="37"/>
  <c r="C318" i="37"/>
  <c r="D317" i="37"/>
  <c r="C317" i="37"/>
  <c r="D316" i="37"/>
  <c r="C316" i="37"/>
  <c r="D315" i="37"/>
  <c r="C315" i="37"/>
  <c r="D314" i="37"/>
  <c r="C314" i="37"/>
  <c r="D313" i="37"/>
  <c r="C313" i="37"/>
  <c r="D312" i="37"/>
  <c r="C312" i="37"/>
  <c r="D311" i="37"/>
  <c r="C311" i="37"/>
  <c r="D310" i="37"/>
  <c r="C310" i="37"/>
  <c r="D309" i="37"/>
  <c r="C309" i="37"/>
  <c r="D308" i="37"/>
  <c r="C308" i="37"/>
  <c r="D307" i="37"/>
  <c r="C307" i="37"/>
  <c r="D306" i="37"/>
  <c r="C306" i="37"/>
  <c r="D305" i="37"/>
  <c r="C305" i="37"/>
  <c r="D304" i="37"/>
  <c r="C304" i="37"/>
  <c r="D303" i="37"/>
  <c r="C303" i="37"/>
  <c r="D302" i="37"/>
  <c r="C302" i="37"/>
  <c r="D301" i="37"/>
  <c r="C301" i="37"/>
  <c r="D300" i="37"/>
  <c r="C300" i="37"/>
  <c r="D299" i="37"/>
  <c r="C299" i="37"/>
  <c r="D298" i="37"/>
  <c r="C298" i="37"/>
  <c r="D297" i="37"/>
  <c r="C297" i="37"/>
  <c r="D296" i="37"/>
  <c r="C296" i="37"/>
  <c r="D295" i="37"/>
  <c r="C295" i="37"/>
  <c r="D294" i="37"/>
  <c r="C294" i="37"/>
  <c r="D293" i="37"/>
  <c r="C293" i="37"/>
  <c r="D292" i="37"/>
  <c r="C292" i="37"/>
  <c r="D291" i="37"/>
  <c r="C291" i="37"/>
  <c r="D290" i="37"/>
  <c r="C290" i="37"/>
  <c r="D289" i="37"/>
  <c r="C289" i="37"/>
  <c r="D288" i="37"/>
  <c r="C288" i="37"/>
  <c r="D287" i="37"/>
  <c r="C287" i="37"/>
  <c r="D286" i="37"/>
  <c r="C286" i="37"/>
  <c r="D285" i="37"/>
  <c r="C285" i="37"/>
  <c r="D284" i="37"/>
  <c r="C284" i="37"/>
  <c r="D283" i="37"/>
  <c r="C283" i="37"/>
  <c r="D282" i="37"/>
  <c r="C282" i="37"/>
  <c r="D281" i="37"/>
  <c r="C281" i="37"/>
  <c r="D280" i="37"/>
  <c r="C280" i="37"/>
  <c r="D279" i="37"/>
  <c r="C279" i="37"/>
  <c r="D278" i="37"/>
  <c r="C278" i="37"/>
  <c r="D277" i="37"/>
  <c r="C277" i="37"/>
  <c r="D276" i="37"/>
  <c r="C276" i="37"/>
  <c r="D275" i="37"/>
  <c r="C275" i="37"/>
  <c r="D274" i="37"/>
  <c r="C274" i="37"/>
  <c r="D273" i="37"/>
  <c r="C273" i="37"/>
  <c r="D272" i="37"/>
  <c r="C272" i="37"/>
  <c r="D271" i="37"/>
  <c r="C271" i="37"/>
  <c r="D270" i="37"/>
  <c r="C270" i="37"/>
  <c r="D269" i="37"/>
  <c r="C269" i="37"/>
  <c r="D268" i="37"/>
  <c r="C268" i="37"/>
  <c r="D267" i="37"/>
  <c r="C267" i="37"/>
  <c r="D266" i="37"/>
  <c r="C266" i="37"/>
  <c r="D265" i="37"/>
  <c r="C265" i="37"/>
  <c r="D264" i="37"/>
  <c r="C264" i="37"/>
  <c r="D263" i="37"/>
  <c r="C263" i="37"/>
  <c r="D262" i="37"/>
  <c r="C262" i="37"/>
  <c r="D261" i="37"/>
  <c r="C261" i="37"/>
  <c r="D260" i="37"/>
  <c r="C260" i="37"/>
  <c r="D259" i="37"/>
  <c r="C259" i="37"/>
  <c r="D258" i="37"/>
  <c r="C258" i="37"/>
  <c r="D257" i="37"/>
  <c r="C257" i="37"/>
  <c r="D256" i="37"/>
  <c r="C256" i="37"/>
  <c r="D255" i="37"/>
  <c r="C255" i="37"/>
  <c r="D254" i="37"/>
  <c r="C254" i="37"/>
  <c r="D253" i="37"/>
  <c r="C253" i="37"/>
  <c r="D252" i="37"/>
  <c r="C252" i="37"/>
  <c r="D251" i="37"/>
  <c r="C251" i="37"/>
  <c r="D250" i="37"/>
  <c r="C250" i="37"/>
  <c r="D249" i="37"/>
  <c r="C249" i="37"/>
  <c r="D248" i="37"/>
  <c r="C248" i="37"/>
  <c r="D247" i="37"/>
  <c r="C247" i="37"/>
  <c r="D246" i="37"/>
  <c r="C246" i="37"/>
  <c r="D245" i="37"/>
  <c r="C245" i="37"/>
  <c r="D244" i="37"/>
  <c r="C244" i="37"/>
  <c r="D243" i="37"/>
  <c r="C243" i="37"/>
  <c r="D242" i="37"/>
  <c r="C242" i="37"/>
  <c r="D241" i="37"/>
  <c r="C241" i="37"/>
  <c r="D240" i="37"/>
  <c r="C240" i="37"/>
  <c r="D239" i="37"/>
  <c r="C239" i="37"/>
  <c r="D238" i="37"/>
  <c r="C238" i="37"/>
  <c r="D237" i="37"/>
  <c r="C237" i="37"/>
  <c r="D236" i="37"/>
  <c r="C236" i="37"/>
  <c r="D235" i="37"/>
  <c r="C235" i="37"/>
  <c r="D234" i="37"/>
  <c r="C234" i="37"/>
  <c r="D233" i="37"/>
  <c r="C233" i="37"/>
  <c r="D232" i="37"/>
  <c r="C232" i="37"/>
  <c r="D231" i="37"/>
  <c r="C231" i="37"/>
  <c r="D230" i="37"/>
  <c r="C230" i="37"/>
  <c r="D229" i="37"/>
  <c r="C229" i="37"/>
  <c r="D228" i="37"/>
  <c r="C228" i="37"/>
  <c r="D227" i="37"/>
  <c r="C227" i="37"/>
  <c r="D226" i="37"/>
  <c r="C226" i="37"/>
  <c r="D225" i="37"/>
  <c r="C225" i="37"/>
  <c r="D224" i="37"/>
  <c r="C224" i="37"/>
  <c r="D223" i="37"/>
  <c r="C223" i="37"/>
  <c r="D222" i="37"/>
  <c r="C222" i="37"/>
  <c r="D221" i="37"/>
  <c r="C221" i="37"/>
  <c r="D220" i="37"/>
  <c r="C220" i="37"/>
  <c r="D219" i="37"/>
  <c r="C219" i="37"/>
  <c r="D218" i="37"/>
  <c r="C218" i="37"/>
  <c r="D217" i="37"/>
  <c r="C217" i="37"/>
  <c r="D216" i="37"/>
  <c r="C216" i="37"/>
  <c r="D215" i="37"/>
  <c r="C215" i="37"/>
  <c r="D214" i="37"/>
  <c r="C214" i="37"/>
  <c r="D213" i="37"/>
  <c r="C213" i="37"/>
  <c r="D212" i="37"/>
  <c r="C212" i="37"/>
  <c r="D211" i="37"/>
  <c r="C211" i="37"/>
  <c r="D210" i="37"/>
  <c r="C210" i="37"/>
  <c r="D209" i="37"/>
  <c r="C209" i="37"/>
  <c r="D208" i="37"/>
  <c r="C208" i="37"/>
  <c r="D207" i="37"/>
  <c r="C207" i="37"/>
  <c r="D206" i="37"/>
  <c r="C206" i="37"/>
  <c r="D205" i="37"/>
  <c r="C205" i="37"/>
  <c r="D204" i="37"/>
  <c r="C204" i="37"/>
  <c r="D203" i="37"/>
  <c r="C203" i="37"/>
  <c r="D202" i="37"/>
  <c r="C202" i="37"/>
  <c r="D201" i="37"/>
  <c r="C201" i="37"/>
  <c r="D200" i="37"/>
  <c r="C200" i="37"/>
  <c r="D199" i="37"/>
  <c r="C199" i="37"/>
  <c r="D198" i="37"/>
  <c r="C198" i="37"/>
  <c r="D197" i="37"/>
  <c r="C197" i="37"/>
  <c r="D196" i="37"/>
  <c r="C196" i="37"/>
  <c r="D195" i="37"/>
  <c r="C195" i="37"/>
  <c r="D194" i="37"/>
  <c r="C194" i="37"/>
  <c r="D193" i="37"/>
  <c r="C193" i="37"/>
  <c r="D192" i="37"/>
  <c r="C192" i="37"/>
  <c r="D191" i="37"/>
  <c r="C191" i="37"/>
  <c r="D190" i="37"/>
  <c r="C190" i="37"/>
  <c r="D189" i="37"/>
  <c r="C189" i="37"/>
  <c r="D188" i="37"/>
  <c r="C188" i="37"/>
  <c r="D187" i="37"/>
  <c r="C187" i="37"/>
  <c r="D186" i="37"/>
  <c r="C186" i="37"/>
  <c r="D185" i="37"/>
  <c r="C185" i="37"/>
  <c r="D184" i="37"/>
  <c r="C184" i="37"/>
  <c r="D183" i="37"/>
  <c r="C183" i="37"/>
  <c r="D182" i="37"/>
  <c r="C182" i="37"/>
  <c r="D181" i="37"/>
  <c r="C181" i="37"/>
  <c r="D180" i="37"/>
  <c r="C180" i="37"/>
  <c r="D179" i="37"/>
  <c r="C179" i="37"/>
  <c r="D178" i="37"/>
  <c r="C178" i="37"/>
  <c r="D177" i="37"/>
  <c r="C177" i="37"/>
  <c r="D176" i="37"/>
  <c r="C176" i="37"/>
  <c r="D175" i="37"/>
  <c r="C175" i="37"/>
  <c r="D174" i="37"/>
  <c r="C174" i="37"/>
  <c r="D173" i="37"/>
  <c r="C173" i="37"/>
  <c r="D172" i="37"/>
  <c r="C172" i="37"/>
  <c r="D171" i="37"/>
  <c r="C171" i="37"/>
  <c r="D170" i="37"/>
  <c r="C170" i="37"/>
  <c r="D169" i="37"/>
  <c r="C169" i="37"/>
  <c r="D168" i="37"/>
  <c r="C168" i="37"/>
  <c r="D167" i="37"/>
  <c r="C167" i="37"/>
  <c r="D166" i="37"/>
  <c r="C166" i="37"/>
  <c r="D165" i="37"/>
  <c r="C165" i="37"/>
  <c r="D164" i="37"/>
  <c r="C164" i="37"/>
  <c r="D163" i="37"/>
  <c r="C163" i="37"/>
  <c r="D162" i="37"/>
  <c r="C162" i="37"/>
  <c r="D161" i="37"/>
  <c r="C161" i="37"/>
  <c r="D160" i="37"/>
  <c r="C160" i="37"/>
  <c r="D159" i="37"/>
  <c r="C159" i="37"/>
  <c r="D158" i="37"/>
  <c r="C158" i="37"/>
  <c r="D157" i="37"/>
  <c r="C157" i="37"/>
  <c r="D156" i="37"/>
  <c r="C156" i="37"/>
  <c r="D155" i="37"/>
  <c r="C155" i="37"/>
  <c r="D154" i="37"/>
  <c r="C154" i="37"/>
  <c r="D153" i="37"/>
  <c r="C153" i="37"/>
  <c r="D152" i="37"/>
  <c r="C152" i="37"/>
  <c r="D151" i="37"/>
  <c r="C151" i="37"/>
  <c r="D150" i="37"/>
  <c r="C150" i="37"/>
  <c r="D149" i="37"/>
  <c r="C149" i="37"/>
  <c r="D148" i="37"/>
  <c r="C148" i="37"/>
  <c r="D147" i="37"/>
  <c r="C147" i="37"/>
  <c r="D146" i="37"/>
  <c r="C146" i="37"/>
  <c r="D145" i="37"/>
  <c r="C145" i="37"/>
  <c r="D144" i="37"/>
  <c r="C144" i="37"/>
  <c r="D143" i="37"/>
  <c r="C143" i="37"/>
  <c r="D142" i="37"/>
  <c r="C142" i="37"/>
  <c r="D141" i="37"/>
  <c r="C141" i="37"/>
  <c r="D140" i="37"/>
  <c r="C140" i="37"/>
  <c r="D139" i="37"/>
  <c r="C139" i="37"/>
  <c r="D138" i="37"/>
  <c r="C138" i="37"/>
  <c r="D137" i="37"/>
  <c r="C137" i="37"/>
  <c r="D136" i="37"/>
  <c r="C136" i="37"/>
  <c r="D135" i="37"/>
  <c r="C135" i="37"/>
  <c r="D134" i="37"/>
  <c r="C134" i="37"/>
  <c r="D133" i="37"/>
  <c r="C133" i="37"/>
  <c r="D132" i="37"/>
  <c r="C132" i="37"/>
  <c r="D131" i="37"/>
  <c r="C131" i="37"/>
  <c r="D130" i="37"/>
  <c r="C130" i="37"/>
  <c r="D129" i="37"/>
  <c r="C129" i="37"/>
  <c r="D128" i="37"/>
  <c r="C128" i="37"/>
  <c r="D127" i="37"/>
  <c r="C127" i="37"/>
  <c r="D126" i="37"/>
  <c r="C126" i="37"/>
  <c r="D125" i="37"/>
  <c r="C125" i="37"/>
  <c r="D124" i="37"/>
  <c r="C124" i="37"/>
  <c r="D123" i="37"/>
  <c r="C123" i="37"/>
  <c r="D122" i="37"/>
  <c r="C122" i="37"/>
  <c r="D121" i="37"/>
  <c r="C121" i="37"/>
  <c r="D120" i="37"/>
  <c r="C120" i="37"/>
  <c r="D119" i="37"/>
  <c r="C119" i="37"/>
  <c r="D118" i="37"/>
  <c r="C118" i="37"/>
  <c r="D117" i="37"/>
  <c r="C117" i="37"/>
  <c r="D116" i="37"/>
  <c r="C116" i="37"/>
  <c r="D115" i="37"/>
  <c r="C115" i="37"/>
  <c r="D114" i="37"/>
  <c r="C114" i="37"/>
  <c r="D113" i="37"/>
  <c r="C113" i="37"/>
  <c r="D112" i="37"/>
  <c r="C112" i="37"/>
  <c r="D111" i="37"/>
  <c r="C111" i="37"/>
  <c r="D110" i="37"/>
  <c r="C110" i="37"/>
  <c r="D109" i="37"/>
  <c r="C109" i="37"/>
  <c r="D108" i="37"/>
  <c r="C108" i="37"/>
  <c r="D107" i="37"/>
  <c r="C107" i="37"/>
  <c r="D106" i="37"/>
  <c r="C106" i="37"/>
  <c r="D105" i="37"/>
  <c r="C105" i="37"/>
  <c r="D104" i="37"/>
  <c r="C104" i="37"/>
  <c r="D103" i="37"/>
  <c r="C103" i="37"/>
  <c r="D102" i="37"/>
  <c r="C102" i="37"/>
  <c r="D101" i="37"/>
  <c r="C101" i="37"/>
  <c r="D100" i="37"/>
  <c r="C100" i="37"/>
  <c r="D99" i="37"/>
  <c r="C99" i="37"/>
  <c r="D98" i="37"/>
  <c r="C98" i="37"/>
  <c r="D97" i="37"/>
  <c r="C97" i="37"/>
  <c r="D96" i="37"/>
  <c r="C96" i="37"/>
  <c r="D95" i="37"/>
  <c r="C95" i="37"/>
  <c r="D94" i="37"/>
  <c r="C94" i="37"/>
  <c r="D93" i="37"/>
  <c r="C93" i="37"/>
  <c r="D92" i="37"/>
  <c r="C92" i="37"/>
  <c r="D91" i="37"/>
  <c r="C91" i="37"/>
  <c r="D90" i="37"/>
  <c r="C90" i="37"/>
  <c r="D89" i="37"/>
  <c r="C89" i="37"/>
  <c r="D88" i="37"/>
  <c r="C88" i="37"/>
  <c r="D87" i="37"/>
  <c r="C87" i="37"/>
  <c r="D86" i="37"/>
  <c r="C86" i="37"/>
  <c r="D85" i="37"/>
  <c r="C85" i="37"/>
  <c r="D84" i="37"/>
  <c r="C84" i="37"/>
  <c r="D83" i="37"/>
  <c r="C83" i="37"/>
  <c r="D82" i="37"/>
  <c r="C82" i="37"/>
  <c r="D81" i="37"/>
  <c r="C81" i="37"/>
  <c r="D80" i="37"/>
  <c r="C80" i="37"/>
  <c r="D79" i="37"/>
  <c r="C79" i="37"/>
  <c r="D78" i="37"/>
  <c r="C78" i="37"/>
  <c r="D77" i="37"/>
  <c r="C77" i="37"/>
  <c r="D76" i="37"/>
  <c r="C76" i="37"/>
  <c r="D75" i="37"/>
  <c r="C75" i="37"/>
  <c r="D74" i="37"/>
  <c r="C74" i="37"/>
  <c r="D73" i="37"/>
  <c r="C73" i="37"/>
  <c r="D72" i="37"/>
  <c r="C72" i="37"/>
  <c r="D71" i="37"/>
  <c r="C71" i="37"/>
  <c r="D70" i="37"/>
  <c r="C70" i="37"/>
  <c r="D69" i="37"/>
  <c r="C69" i="37"/>
  <c r="D68" i="37"/>
  <c r="C68" i="37"/>
  <c r="D67" i="37"/>
  <c r="C67" i="37"/>
  <c r="D66" i="37"/>
  <c r="C66" i="37"/>
  <c r="D65" i="37"/>
  <c r="C65" i="37"/>
  <c r="D64" i="37"/>
  <c r="C64" i="37"/>
  <c r="D63" i="37"/>
  <c r="C63" i="37"/>
  <c r="D62" i="37"/>
  <c r="C62" i="37"/>
  <c r="D61" i="37"/>
  <c r="C61" i="37"/>
  <c r="D60" i="37"/>
  <c r="C60" i="37"/>
  <c r="D59" i="37"/>
  <c r="C59" i="37"/>
  <c r="D58" i="37"/>
  <c r="C58" i="37"/>
  <c r="D57" i="37"/>
  <c r="C57" i="37"/>
  <c r="D56" i="37"/>
  <c r="C56" i="37"/>
  <c r="D55" i="37"/>
  <c r="C55" i="37"/>
  <c r="D54" i="37"/>
  <c r="C54" i="37"/>
  <c r="D53" i="37"/>
  <c r="C53" i="37"/>
  <c r="D52" i="37"/>
  <c r="C52" i="37"/>
  <c r="D51" i="37"/>
  <c r="C51" i="37"/>
  <c r="D50" i="37"/>
  <c r="C50" i="37"/>
  <c r="D49" i="37"/>
  <c r="C49" i="37"/>
  <c r="D48" i="37"/>
  <c r="C48" i="37"/>
  <c r="D47" i="37"/>
  <c r="C47" i="37"/>
  <c r="D46" i="37"/>
  <c r="C46" i="37"/>
  <c r="D45" i="37"/>
  <c r="C45" i="37"/>
  <c r="D44" i="37"/>
  <c r="C44" i="37"/>
  <c r="D43" i="37"/>
  <c r="C43" i="37"/>
  <c r="D42" i="37"/>
  <c r="C42" i="37"/>
  <c r="D41" i="37"/>
  <c r="C41" i="37"/>
  <c r="D40" i="37"/>
  <c r="C40" i="37"/>
  <c r="D39" i="37"/>
  <c r="C39" i="37"/>
  <c r="D38" i="37"/>
  <c r="C38" i="37"/>
  <c r="D37" i="37"/>
  <c r="C37" i="37"/>
  <c r="D36" i="37"/>
  <c r="C36" i="37"/>
  <c r="D35" i="37"/>
  <c r="C35" i="37"/>
  <c r="D32" i="37"/>
  <c r="C32" i="37"/>
  <c r="D31" i="37"/>
  <c r="C31" i="37"/>
  <c r="D34" i="37"/>
  <c r="C34" i="37"/>
  <c r="D30" i="37"/>
  <c r="C30" i="37"/>
  <c r="D29" i="37"/>
  <c r="C29" i="37"/>
  <c r="D28" i="37"/>
  <c r="C28" i="37"/>
  <c r="D25" i="37"/>
  <c r="C25" i="37"/>
  <c r="D24" i="37"/>
  <c r="C24" i="37"/>
  <c r="D23" i="37"/>
  <c r="C23" i="37"/>
  <c r="D22" i="37"/>
  <c r="C22" i="37"/>
  <c r="D21" i="37"/>
  <c r="C21" i="37"/>
  <c r="D20" i="37"/>
  <c r="C20" i="37"/>
  <c r="D19" i="37"/>
  <c r="C19" i="37"/>
  <c r="D18" i="37"/>
  <c r="C18" i="37"/>
  <c r="C17" i="37"/>
  <c r="C16" i="37"/>
  <c r="C15" i="37"/>
  <c r="D12" i="37"/>
  <c r="C12" i="37"/>
  <c r="D11" i="37"/>
  <c r="C11" i="37"/>
  <c r="D10" i="37"/>
  <c r="C10" i="37"/>
  <c r="C9" i="37"/>
  <c r="D8" i="37"/>
  <c r="C8" i="37"/>
  <c r="D7" i="37"/>
  <c r="C7" i="37"/>
  <c r="D6" i="37"/>
  <c r="C6" i="37"/>
  <c r="C21" i="36"/>
  <c r="C22" i="36"/>
  <c r="C23" i="36"/>
  <c r="C24" i="36"/>
  <c r="C25" i="36"/>
  <c r="D330" i="36"/>
  <c r="C330" i="36"/>
  <c r="D329" i="36"/>
  <c r="C329" i="36"/>
  <c r="D328" i="36"/>
  <c r="C328" i="36"/>
  <c r="D327" i="36"/>
  <c r="C327" i="36"/>
  <c r="D326" i="36"/>
  <c r="C326" i="36"/>
  <c r="D325" i="36"/>
  <c r="C325" i="36"/>
  <c r="D324" i="36"/>
  <c r="C324" i="36"/>
  <c r="D323" i="36"/>
  <c r="C323" i="36"/>
  <c r="D322" i="36"/>
  <c r="C322" i="36"/>
  <c r="D321" i="36"/>
  <c r="C321" i="36"/>
  <c r="D320" i="36"/>
  <c r="C320" i="36"/>
  <c r="D319" i="36"/>
  <c r="C319" i="36"/>
  <c r="D318" i="36"/>
  <c r="C318" i="36"/>
  <c r="D317" i="36"/>
  <c r="C317" i="36"/>
  <c r="D316" i="36"/>
  <c r="C316" i="36"/>
  <c r="D315" i="36"/>
  <c r="C315" i="36"/>
  <c r="D314" i="36"/>
  <c r="C314" i="36"/>
  <c r="D313" i="36"/>
  <c r="C313" i="36"/>
  <c r="D312" i="36"/>
  <c r="C312" i="36"/>
  <c r="D311" i="36"/>
  <c r="C311" i="36"/>
  <c r="D310" i="36"/>
  <c r="C310" i="36"/>
  <c r="D309" i="36"/>
  <c r="C309" i="36"/>
  <c r="D308" i="36"/>
  <c r="C308" i="36"/>
  <c r="D307" i="36"/>
  <c r="C307" i="36"/>
  <c r="D306" i="36"/>
  <c r="C306" i="36"/>
  <c r="D305" i="36"/>
  <c r="C305" i="36"/>
  <c r="D304" i="36"/>
  <c r="C304" i="36"/>
  <c r="D303" i="36"/>
  <c r="C303" i="36"/>
  <c r="D302" i="36"/>
  <c r="C302" i="36"/>
  <c r="D301" i="36"/>
  <c r="C301" i="36"/>
  <c r="D300" i="36"/>
  <c r="C300" i="36"/>
  <c r="D299" i="36"/>
  <c r="C299" i="36"/>
  <c r="D298" i="36"/>
  <c r="C298" i="36"/>
  <c r="D297" i="36"/>
  <c r="C297" i="36"/>
  <c r="D296" i="36"/>
  <c r="C296" i="36"/>
  <c r="D295" i="36"/>
  <c r="C295" i="36"/>
  <c r="D294" i="36"/>
  <c r="C294" i="36"/>
  <c r="D293" i="36"/>
  <c r="C293" i="36"/>
  <c r="D292" i="36"/>
  <c r="C292" i="36"/>
  <c r="D291" i="36"/>
  <c r="C291" i="36"/>
  <c r="D290" i="36"/>
  <c r="C290" i="36"/>
  <c r="D289" i="36"/>
  <c r="C289" i="36"/>
  <c r="D288" i="36"/>
  <c r="C288" i="36"/>
  <c r="D287" i="36"/>
  <c r="C287" i="36"/>
  <c r="D286" i="36"/>
  <c r="C286" i="36"/>
  <c r="D285" i="36"/>
  <c r="C285" i="36"/>
  <c r="D284" i="36"/>
  <c r="C284" i="36"/>
  <c r="D283" i="36"/>
  <c r="C283" i="36"/>
  <c r="D282" i="36"/>
  <c r="C282" i="36"/>
  <c r="D281" i="36"/>
  <c r="C281" i="36"/>
  <c r="D280" i="36"/>
  <c r="C280" i="36"/>
  <c r="D279" i="36"/>
  <c r="C279" i="36"/>
  <c r="D278" i="36"/>
  <c r="C278" i="36"/>
  <c r="D277" i="36"/>
  <c r="C277" i="36"/>
  <c r="D276" i="36"/>
  <c r="C276" i="36"/>
  <c r="D275" i="36"/>
  <c r="C275" i="36"/>
  <c r="D274" i="36"/>
  <c r="C274" i="36"/>
  <c r="D273" i="36"/>
  <c r="C273" i="36"/>
  <c r="D272" i="36"/>
  <c r="C272" i="36"/>
  <c r="D271" i="36"/>
  <c r="C271" i="36"/>
  <c r="D270" i="36"/>
  <c r="C270" i="36"/>
  <c r="D269" i="36"/>
  <c r="C269" i="36"/>
  <c r="D268" i="36"/>
  <c r="C268" i="36"/>
  <c r="D267" i="36"/>
  <c r="C267" i="36"/>
  <c r="D266" i="36"/>
  <c r="C266" i="36"/>
  <c r="D265" i="36"/>
  <c r="C265" i="36"/>
  <c r="D264" i="36"/>
  <c r="C264" i="36"/>
  <c r="D263" i="36"/>
  <c r="C263" i="36"/>
  <c r="D262" i="36"/>
  <c r="C262" i="36"/>
  <c r="D261" i="36"/>
  <c r="C261" i="36"/>
  <c r="D260" i="36"/>
  <c r="C260" i="36"/>
  <c r="D259" i="36"/>
  <c r="C259" i="36"/>
  <c r="D258" i="36"/>
  <c r="C258" i="36"/>
  <c r="D257" i="36"/>
  <c r="C257" i="36"/>
  <c r="D256" i="36"/>
  <c r="C256" i="36"/>
  <c r="D255" i="36"/>
  <c r="C255" i="36"/>
  <c r="D254" i="36"/>
  <c r="C254" i="36"/>
  <c r="D253" i="36"/>
  <c r="C253" i="36"/>
  <c r="D252" i="36"/>
  <c r="C252" i="36"/>
  <c r="D251" i="36"/>
  <c r="C251" i="36"/>
  <c r="D250" i="36"/>
  <c r="C250" i="36"/>
  <c r="D249" i="36"/>
  <c r="C249" i="36"/>
  <c r="D248" i="36"/>
  <c r="C248" i="36"/>
  <c r="D247" i="36"/>
  <c r="C247" i="36"/>
  <c r="D246" i="36"/>
  <c r="C246" i="36"/>
  <c r="D245" i="36"/>
  <c r="C245" i="36"/>
  <c r="D244" i="36"/>
  <c r="C244" i="36"/>
  <c r="D243" i="36"/>
  <c r="C243" i="36"/>
  <c r="D242" i="36"/>
  <c r="C242" i="36"/>
  <c r="D241" i="36"/>
  <c r="C241" i="36"/>
  <c r="D240" i="36"/>
  <c r="C240" i="36"/>
  <c r="D239" i="36"/>
  <c r="C239" i="36"/>
  <c r="D238" i="36"/>
  <c r="C238" i="36"/>
  <c r="D237" i="36"/>
  <c r="C237" i="36"/>
  <c r="D236" i="36"/>
  <c r="C236" i="36"/>
  <c r="D235" i="36"/>
  <c r="C235" i="36"/>
  <c r="D234" i="36"/>
  <c r="C234" i="36"/>
  <c r="D233" i="36"/>
  <c r="C233" i="36"/>
  <c r="D232" i="36"/>
  <c r="C232" i="36"/>
  <c r="D231" i="36"/>
  <c r="C231" i="36"/>
  <c r="D230" i="36"/>
  <c r="C230" i="36"/>
  <c r="D229" i="36"/>
  <c r="C229" i="36"/>
  <c r="D228" i="36"/>
  <c r="C228" i="36"/>
  <c r="D227" i="36"/>
  <c r="C227" i="36"/>
  <c r="D226" i="36"/>
  <c r="C226" i="36"/>
  <c r="D225" i="36"/>
  <c r="C225" i="36"/>
  <c r="D224" i="36"/>
  <c r="C224" i="36"/>
  <c r="D223" i="36"/>
  <c r="C223" i="36"/>
  <c r="D222" i="36"/>
  <c r="C222" i="36"/>
  <c r="D221" i="36"/>
  <c r="C221" i="36"/>
  <c r="D220" i="36"/>
  <c r="C220" i="36"/>
  <c r="D219" i="36"/>
  <c r="C219" i="36"/>
  <c r="D218" i="36"/>
  <c r="C218" i="36"/>
  <c r="D217" i="36"/>
  <c r="C217" i="36"/>
  <c r="D216" i="36"/>
  <c r="C216" i="36"/>
  <c r="D215" i="36"/>
  <c r="C215" i="36"/>
  <c r="D214" i="36"/>
  <c r="C214" i="36"/>
  <c r="D213" i="36"/>
  <c r="C213" i="36"/>
  <c r="D212" i="36"/>
  <c r="C212" i="36"/>
  <c r="D211" i="36"/>
  <c r="C211" i="36"/>
  <c r="D210" i="36"/>
  <c r="C210" i="36"/>
  <c r="D209" i="36"/>
  <c r="C209" i="36"/>
  <c r="D208" i="36"/>
  <c r="C208" i="36"/>
  <c r="D207" i="36"/>
  <c r="C207" i="36"/>
  <c r="D206" i="36"/>
  <c r="C206" i="36"/>
  <c r="D205" i="36"/>
  <c r="C205" i="36"/>
  <c r="D204" i="36"/>
  <c r="C204" i="36"/>
  <c r="D203" i="36"/>
  <c r="C203" i="36"/>
  <c r="D202" i="36"/>
  <c r="C202" i="36"/>
  <c r="D201" i="36"/>
  <c r="C201" i="36"/>
  <c r="D200" i="36"/>
  <c r="C200" i="36"/>
  <c r="D199" i="36"/>
  <c r="C199" i="36"/>
  <c r="D198" i="36"/>
  <c r="C198" i="36"/>
  <c r="D197" i="36"/>
  <c r="C197" i="36"/>
  <c r="D196" i="36"/>
  <c r="C196" i="36"/>
  <c r="D195" i="36"/>
  <c r="C195" i="36"/>
  <c r="D194" i="36"/>
  <c r="C194" i="36"/>
  <c r="D193" i="36"/>
  <c r="C193" i="36"/>
  <c r="D192" i="36"/>
  <c r="C192" i="36"/>
  <c r="D191" i="36"/>
  <c r="C191" i="36"/>
  <c r="D190" i="36"/>
  <c r="C190" i="36"/>
  <c r="D189" i="36"/>
  <c r="C189" i="36"/>
  <c r="D188" i="36"/>
  <c r="C188" i="36"/>
  <c r="D187" i="36"/>
  <c r="C187" i="36"/>
  <c r="D186" i="36"/>
  <c r="C186" i="36"/>
  <c r="D185" i="36"/>
  <c r="C185" i="36"/>
  <c r="D184" i="36"/>
  <c r="C184" i="36"/>
  <c r="D183" i="36"/>
  <c r="C183" i="36"/>
  <c r="D182" i="36"/>
  <c r="C182" i="36"/>
  <c r="D181" i="36"/>
  <c r="C181" i="36"/>
  <c r="D180" i="36"/>
  <c r="C180" i="36"/>
  <c r="D179" i="36"/>
  <c r="C179" i="36"/>
  <c r="D178" i="36"/>
  <c r="C178" i="36"/>
  <c r="D177" i="36"/>
  <c r="C177" i="36"/>
  <c r="D176" i="36"/>
  <c r="C176" i="36"/>
  <c r="D175" i="36"/>
  <c r="C175" i="36"/>
  <c r="D174" i="36"/>
  <c r="C174" i="36"/>
  <c r="D173" i="36"/>
  <c r="C173" i="36"/>
  <c r="D172" i="36"/>
  <c r="C172" i="36"/>
  <c r="D171" i="36"/>
  <c r="C171" i="36"/>
  <c r="D170" i="36"/>
  <c r="C170" i="36"/>
  <c r="D169" i="36"/>
  <c r="C169" i="36"/>
  <c r="D168" i="36"/>
  <c r="C168" i="36"/>
  <c r="D167" i="36"/>
  <c r="C167" i="36"/>
  <c r="D166" i="36"/>
  <c r="C166" i="36"/>
  <c r="D165" i="36"/>
  <c r="C165" i="36"/>
  <c r="D164" i="36"/>
  <c r="C164" i="36"/>
  <c r="D163" i="36"/>
  <c r="C163" i="36"/>
  <c r="D162" i="36"/>
  <c r="C162" i="36"/>
  <c r="D161" i="36"/>
  <c r="C161" i="36"/>
  <c r="D160" i="36"/>
  <c r="C160" i="36"/>
  <c r="D159" i="36"/>
  <c r="C159" i="36"/>
  <c r="D158" i="36"/>
  <c r="C158" i="36"/>
  <c r="D157" i="36"/>
  <c r="C157" i="36"/>
  <c r="D156" i="36"/>
  <c r="C156" i="36"/>
  <c r="D155" i="36"/>
  <c r="C155" i="36"/>
  <c r="D154" i="36"/>
  <c r="C154" i="36"/>
  <c r="D153" i="36"/>
  <c r="C153" i="36"/>
  <c r="D152" i="36"/>
  <c r="C152" i="36"/>
  <c r="D151" i="36"/>
  <c r="C151" i="36"/>
  <c r="D150" i="36"/>
  <c r="C150" i="36"/>
  <c r="D149" i="36"/>
  <c r="C149" i="36"/>
  <c r="D148" i="36"/>
  <c r="C148" i="36"/>
  <c r="D147" i="36"/>
  <c r="C147" i="36"/>
  <c r="D146" i="36"/>
  <c r="C146" i="36"/>
  <c r="D145" i="36"/>
  <c r="C145" i="36"/>
  <c r="D144" i="36"/>
  <c r="C144" i="36"/>
  <c r="D143" i="36"/>
  <c r="C143" i="36"/>
  <c r="D142" i="36"/>
  <c r="C142" i="36"/>
  <c r="D141" i="36"/>
  <c r="C141" i="36"/>
  <c r="D140" i="36"/>
  <c r="C140" i="36"/>
  <c r="D139" i="36"/>
  <c r="C139" i="36"/>
  <c r="D138" i="36"/>
  <c r="C138" i="36"/>
  <c r="D137" i="36"/>
  <c r="C137" i="36"/>
  <c r="D136" i="36"/>
  <c r="C136" i="36"/>
  <c r="D135" i="36"/>
  <c r="C135" i="36"/>
  <c r="D134" i="36"/>
  <c r="C134" i="36"/>
  <c r="D133" i="36"/>
  <c r="C133" i="36"/>
  <c r="D132" i="36"/>
  <c r="C132" i="36"/>
  <c r="D131" i="36"/>
  <c r="C131" i="36"/>
  <c r="D130" i="36"/>
  <c r="C130" i="36"/>
  <c r="D129" i="36"/>
  <c r="C129" i="36"/>
  <c r="D128" i="36"/>
  <c r="C128" i="36"/>
  <c r="D127" i="36"/>
  <c r="C127" i="36"/>
  <c r="D126" i="36"/>
  <c r="C126" i="36"/>
  <c r="D125" i="36"/>
  <c r="C125" i="36"/>
  <c r="D124" i="36"/>
  <c r="C124" i="36"/>
  <c r="D123" i="36"/>
  <c r="C123" i="36"/>
  <c r="D122" i="36"/>
  <c r="C122" i="36"/>
  <c r="D121" i="36"/>
  <c r="C121" i="36"/>
  <c r="D120" i="36"/>
  <c r="C120" i="36"/>
  <c r="D119" i="36"/>
  <c r="C119" i="36"/>
  <c r="D118" i="36"/>
  <c r="C118" i="36"/>
  <c r="D117" i="36"/>
  <c r="C117" i="36"/>
  <c r="D116" i="36"/>
  <c r="C116" i="36"/>
  <c r="D115" i="36"/>
  <c r="C115" i="36"/>
  <c r="D114" i="36"/>
  <c r="C114" i="36"/>
  <c r="D113" i="36"/>
  <c r="C113" i="36"/>
  <c r="D112" i="36"/>
  <c r="C112" i="36"/>
  <c r="D111" i="36"/>
  <c r="C111" i="36"/>
  <c r="D110" i="36"/>
  <c r="C110" i="36"/>
  <c r="D109" i="36"/>
  <c r="C109" i="36"/>
  <c r="D108" i="36"/>
  <c r="C108" i="36"/>
  <c r="D107" i="36"/>
  <c r="C107" i="36"/>
  <c r="D106" i="36"/>
  <c r="C106" i="36"/>
  <c r="D105" i="36"/>
  <c r="C105" i="36"/>
  <c r="D104" i="36"/>
  <c r="C104" i="36"/>
  <c r="D103" i="36"/>
  <c r="C103" i="36"/>
  <c r="D102" i="36"/>
  <c r="C102" i="36"/>
  <c r="D101" i="36"/>
  <c r="C101" i="36"/>
  <c r="D100" i="36"/>
  <c r="C100" i="36"/>
  <c r="D99" i="36"/>
  <c r="C99" i="36"/>
  <c r="D98" i="36"/>
  <c r="C98" i="36"/>
  <c r="D97" i="36"/>
  <c r="C97" i="36"/>
  <c r="D96" i="36"/>
  <c r="C96" i="36"/>
  <c r="D95" i="36"/>
  <c r="C95" i="36"/>
  <c r="D94" i="36"/>
  <c r="C94" i="36"/>
  <c r="D93" i="36"/>
  <c r="C93" i="36"/>
  <c r="D92" i="36"/>
  <c r="C92" i="36"/>
  <c r="D91" i="36"/>
  <c r="C91" i="36"/>
  <c r="D90" i="36"/>
  <c r="C90" i="36"/>
  <c r="D89" i="36"/>
  <c r="C89" i="36"/>
  <c r="D88" i="36"/>
  <c r="C88" i="36"/>
  <c r="D87" i="36"/>
  <c r="C87" i="36"/>
  <c r="D86" i="36"/>
  <c r="C86" i="36"/>
  <c r="D85" i="36"/>
  <c r="C85" i="36"/>
  <c r="D84" i="36"/>
  <c r="C84" i="36"/>
  <c r="D83" i="36"/>
  <c r="C83" i="36"/>
  <c r="D82" i="36"/>
  <c r="C82" i="36"/>
  <c r="D81" i="36"/>
  <c r="C81" i="36"/>
  <c r="D80" i="36"/>
  <c r="C80" i="36"/>
  <c r="D79" i="36"/>
  <c r="C79" i="36"/>
  <c r="D78" i="36"/>
  <c r="C78" i="36"/>
  <c r="D77" i="36"/>
  <c r="C77" i="36"/>
  <c r="D76" i="36"/>
  <c r="C76" i="36"/>
  <c r="D75" i="36"/>
  <c r="C75" i="36"/>
  <c r="D74" i="36"/>
  <c r="C74" i="36"/>
  <c r="D73" i="36"/>
  <c r="C73" i="36"/>
  <c r="D72" i="36"/>
  <c r="C72" i="36"/>
  <c r="D71" i="36"/>
  <c r="C71" i="36"/>
  <c r="D70" i="36"/>
  <c r="C70" i="36"/>
  <c r="D69" i="36"/>
  <c r="C69" i="36"/>
  <c r="D68" i="36"/>
  <c r="C68" i="36"/>
  <c r="D67" i="36"/>
  <c r="C67" i="36"/>
  <c r="D66" i="36"/>
  <c r="C66" i="36"/>
  <c r="D65" i="36"/>
  <c r="C65" i="36"/>
  <c r="D64" i="36"/>
  <c r="C64" i="36"/>
  <c r="D63" i="36"/>
  <c r="C63" i="36"/>
  <c r="D62" i="36"/>
  <c r="C62" i="36"/>
  <c r="D61" i="36"/>
  <c r="C61" i="36"/>
  <c r="D60" i="36"/>
  <c r="C60" i="36"/>
  <c r="D59" i="36"/>
  <c r="C59" i="36"/>
  <c r="D58" i="36"/>
  <c r="C58" i="36"/>
  <c r="D57" i="36"/>
  <c r="C57" i="36"/>
  <c r="D56" i="36"/>
  <c r="C56" i="36"/>
  <c r="D55" i="36"/>
  <c r="C55" i="36"/>
  <c r="D54" i="36"/>
  <c r="C54" i="36"/>
  <c r="D53" i="36"/>
  <c r="C53" i="36"/>
  <c r="D52" i="36"/>
  <c r="C52" i="36"/>
  <c r="D51" i="36"/>
  <c r="C51" i="36"/>
  <c r="D50" i="36"/>
  <c r="C50" i="36"/>
  <c r="D49" i="36"/>
  <c r="C49" i="36"/>
  <c r="D48" i="36"/>
  <c r="C48" i="36"/>
  <c r="D47" i="36"/>
  <c r="C47" i="36"/>
  <c r="D46" i="36"/>
  <c r="C46" i="36"/>
  <c r="D45" i="36"/>
  <c r="C45" i="36"/>
  <c r="D44" i="36"/>
  <c r="C44" i="36"/>
  <c r="D43" i="36"/>
  <c r="C43" i="36"/>
  <c r="D42" i="36"/>
  <c r="C42" i="36"/>
  <c r="D41" i="36"/>
  <c r="C41" i="36"/>
  <c r="D40" i="36"/>
  <c r="C40" i="36"/>
  <c r="D39" i="36"/>
  <c r="C39" i="36"/>
  <c r="D38" i="36"/>
  <c r="C38" i="36"/>
  <c r="D37" i="36"/>
  <c r="C37" i="36"/>
  <c r="D36" i="36"/>
  <c r="C36" i="36"/>
  <c r="D35" i="36"/>
  <c r="C35" i="36"/>
  <c r="D34" i="36"/>
  <c r="C34" i="36"/>
  <c r="D33" i="36"/>
  <c r="C33" i="36"/>
  <c r="D32" i="36"/>
  <c r="C32" i="36"/>
  <c r="D31" i="36"/>
  <c r="C31" i="36"/>
  <c r="D30" i="36"/>
  <c r="C30" i="36"/>
  <c r="D29" i="36"/>
  <c r="C29" i="36"/>
  <c r="D28" i="36"/>
  <c r="C28" i="36"/>
  <c r="D27" i="36"/>
  <c r="C27" i="36"/>
  <c r="D26" i="36"/>
  <c r="C26" i="36"/>
  <c r="D25" i="36"/>
  <c r="D24" i="36"/>
  <c r="D23" i="36"/>
  <c r="D22" i="36"/>
  <c r="D21" i="36"/>
  <c r="D20" i="36"/>
  <c r="C20" i="36"/>
  <c r="C19" i="36"/>
  <c r="C18" i="36"/>
  <c r="C17" i="36"/>
  <c r="D15" i="36"/>
  <c r="C15" i="36"/>
  <c r="D14" i="36"/>
  <c r="C14" i="36"/>
  <c r="D13" i="36"/>
  <c r="C13" i="36"/>
  <c r="D12" i="36"/>
  <c r="C12" i="36"/>
  <c r="D11" i="36"/>
  <c r="C11" i="36"/>
  <c r="C10" i="36"/>
  <c r="D9" i="36"/>
  <c r="C9" i="36"/>
  <c r="D8" i="36"/>
  <c r="C8" i="36"/>
  <c r="D7" i="36"/>
  <c r="C7" i="36"/>
  <c r="C38" i="35"/>
  <c r="D38" i="35"/>
  <c r="C39" i="35"/>
  <c r="D39" i="35"/>
  <c r="C40" i="35"/>
  <c r="D40" i="35"/>
  <c r="C41" i="35"/>
  <c r="D41" i="35"/>
  <c r="C42" i="35"/>
  <c r="D42" i="35"/>
  <c r="D326" i="35"/>
  <c r="C326" i="35"/>
  <c r="D325" i="35"/>
  <c r="C325" i="35"/>
  <c r="D324" i="35"/>
  <c r="C324" i="35"/>
  <c r="D323" i="35"/>
  <c r="C323" i="35"/>
  <c r="D322" i="35"/>
  <c r="C322" i="35"/>
  <c r="D321" i="35"/>
  <c r="C321" i="35"/>
  <c r="D320" i="35"/>
  <c r="C320" i="35"/>
  <c r="D319" i="35"/>
  <c r="C319" i="35"/>
  <c r="D318" i="35"/>
  <c r="C318" i="35"/>
  <c r="D317" i="35"/>
  <c r="C317" i="35"/>
  <c r="D316" i="35"/>
  <c r="C316" i="35"/>
  <c r="D315" i="35"/>
  <c r="C315" i="35"/>
  <c r="D314" i="35"/>
  <c r="C314" i="35"/>
  <c r="D313" i="35"/>
  <c r="C313" i="35"/>
  <c r="D312" i="35"/>
  <c r="C312" i="35"/>
  <c r="D311" i="35"/>
  <c r="C311" i="35"/>
  <c r="D310" i="35"/>
  <c r="C310" i="35"/>
  <c r="D309" i="35"/>
  <c r="C309" i="35"/>
  <c r="D308" i="35"/>
  <c r="C308" i="35"/>
  <c r="D307" i="35"/>
  <c r="C307" i="35"/>
  <c r="D306" i="35"/>
  <c r="C306" i="35"/>
  <c r="D305" i="35"/>
  <c r="C305" i="35"/>
  <c r="D304" i="35"/>
  <c r="C304" i="35"/>
  <c r="D303" i="35"/>
  <c r="C303" i="35"/>
  <c r="D302" i="35"/>
  <c r="C302" i="35"/>
  <c r="D301" i="35"/>
  <c r="C301" i="35"/>
  <c r="D300" i="35"/>
  <c r="C300" i="35"/>
  <c r="D299" i="35"/>
  <c r="C299" i="35"/>
  <c r="D298" i="35"/>
  <c r="C298" i="35"/>
  <c r="D297" i="35"/>
  <c r="C297" i="35"/>
  <c r="D296" i="35"/>
  <c r="C296" i="35"/>
  <c r="D295" i="35"/>
  <c r="C295" i="35"/>
  <c r="D294" i="35"/>
  <c r="C294" i="35"/>
  <c r="D293" i="35"/>
  <c r="C293" i="35"/>
  <c r="D292" i="35"/>
  <c r="C292" i="35"/>
  <c r="D291" i="35"/>
  <c r="C291" i="35"/>
  <c r="D290" i="35"/>
  <c r="C290" i="35"/>
  <c r="D289" i="35"/>
  <c r="C289" i="35"/>
  <c r="D288" i="35"/>
  <c r="C288" i="35"/>
  <c r="D287" i="35"/>
  <c r="C287" i="35"/>
  <c r="D286" i="35"/>
  <c r="C286" i="35"/>
  <c r="D285" i="35"/>
  <c r="C285" i="35"/>
  <c r="D284" i="35"/>
  <c r="C284" i="35"/>
  <c r="D283" i="35"/>
  <c r="C283" i="35"/>
  <c r="D282" i="35"/>
  <c r="C282" i="35"/>
  <c r="D281" i="35"/>
  <c r="C281" i="35"/>
  <c r="D280" i="35"/>
  <c r="C280" i="35"/>
  <c r="D279" i="35"/>
  <c r="C279" i="35"/>
  <c r="D278" i="35"/>
  <c r="C278" i="35"/>
  <c r="D277" i="35"/>
  <c r="C277" i="35"/>
  <c r="D276" i="35"/>
  <c r="C276" i="35"/>
  <c r="D275" i="35"/>
  <c r="C275" i="35"/>
  <c r="D274" i="35"/>
  <c r="C274" i="35"/>
  <c r="D273" i="35"/>
  <c r="C273" i="35"/>
  <c r="D272" i="35"/>
  <c r="C272" i="35"/>
  <c r="D271" i="35"/>
  <c r="C271" i="35"/>
  <c r="D270" i="35"/>
  <c r="C270" i="35"/>
  <c r="D269" i="35"/>
  <c r="C269" i="35"/>
  <c r="D268" i="35"/>
  <c r="C268" i="35"/>
  <c r="D267" i="35"/>
  <c r="C267" i="35"/>
  <c r="D266" i="35"/>
  <c r="C266" i="35"/>
  <c r="D265" i="35"/>
  <c r="C265" i="35"/>
  <c r="D264" i="35"/>
  <c r="C264" i="35"/>
  <c r="D263" i="35"/>
  <c r="C263" i="35"/>
  <c r="D262" i="35"/>
  <c r="C262" i="35"/>
  <c r="D261" i="35"/>
  <c r="C261" i="35"/>
  <c r="D260" i="35"/>
  <c r="C260" i="35"/>
  <c r="D259" i="35"/>
  <c r="C259" i="35"/>
  <c r="D258" i="35"/>
  <c r="C258" i="35"/>
  <c r="D257" i="35"/>
  <c r="C257" i="35"/>
  <c r="D256" i="35"/>
  <c r="C256" i="35"/>
  <c r="D255" i="35"/>
  <c r="C255" i="35"/>
  <c r="D254" i="35"/>
  <c r="C254" i="35"/>
  <c r="D253" i="35"/>
  <c r="C253" i="35"/>
  <c r="D252" i="35"/>
  <c r="C252" i="35"/>
  <c r="D251" i="35"/>
  <c r="C251" i="35"/>
  <c r="D250" i="35"/>
  <c r="C250" i="35"/>
  <c r="D249" i="35"/>
  <c r="C249" i="35"/>
  <c r="D248" i="35"/>
  <c r="C248" i="35"/>
  <c r="D247" i="35"/>
  <c r="C247" i="35"/>
  <c r="D246" i="35"/>
  <c r="C246" i="35"/>
  <c r="D245" i="35"/>
  <c r="C245" i="35"/>
  <c r="D244" i="35"/>
  <c r="C244" i="35"/>
  <c r="D243" i="35"/>
  <c r="C243" i="35"/>
  <c r="D242" i="35"/>
  <c r="C242" i="35"/>
  <c r="D241" i="35"/>
  <c r="C241" i="35"/>
  <c r="D240" i="35"/>
  <c r="C240" i="35"/>
  <c r="D239" i="35"/>
  <c r="C239" i="35"/>
  <c r="D238" i="35"/>
  <c r="C238" i="35"/>
  <c r="D237" i="35"/>
  <c r="C237" i="35"/>
  <c r="D236" i="35"/>
  <c r="C236" i="35"/>
  <c r="D235" i="35"/>
  <c r="C235" i="35"/>
  <c r="D234" i="35"/>
  <c r="C234" i="35"/>
  <c r="D233" i="35"/>
  <c r="C233" i="35"/>
  <c r="D232" i="35"/>
  <c r="C232" i="35"/>
  <c r="D231" i="35"/>
  <c r="C231" i="35"/>
  <c r="D230" i="35"/>
  <c r="C230" i="35"/>
  <c r="D229" i="35"/>
  <c r="C229" i="35"/>
  <c r="D228" i="35"/>
  <c r="C228" i="35"/>
  <c r="D227" i="35"/>
  <c r="C227" i="35"/>
  <c r="D226" i="35"/>
  <c r="C226" i="35"/>
  <c r="D225" i="35"/>
  <c r="C225" i="35"/>
  <c r="D224" i="35"/>
  <c r="C224" i="35"/>
  <c r="D223" i="35"/>
  <c r="C223" i="35"/>
  <c r="D222" i="35"/>
  <c r="C222" i="35"/>
  <c r="D221" i="35"/>
  <c r="C221" i="35"/>
  <c r="D220" i="35"/>
  <c r="C220" i="35"/>
  <c r="D219" i="35"/>
  <c r="C219" i="35"/>
  <c r="D218" i="35"/>
  <c r="C218" i="35"/>
  <c r="D217" i="35"/>
  <c r="C217" i="35"/>
  <c r="D216" i="35"/>
  <c r="C216" i="35"/>
  <c r="D215" i="35"/>
  <c r="C215" i="35"/>
  <c r="D214" i="35"/>
  <c r="C214" i="35"/>
  <c r="D213" i="35"/>
  <c r="C213" i="35"/>
  <c r="D212" i="35"/>
  <c r="C212" i="35"/>
  <c r="D211" i="35"/>
  <c r="C211" i="35"/>
  <c r="D210" i="35"/>
  <c r="C210" i="35"/>
  <c r="D209" i="35"/>
  <c r="C209" i="35"/>
  <c r="D208" i="35"/>
  <c r="C208" i="35"/>
  <c r="D207" i="35"/>
  <c r="C207" i="35"/>
  <c r="D206" i="35"/>
  <c r="C206" i="35"/>
  <c r="D205" i="35"/>
  <c r="C205" i="35"/>
  <c r="D204" i="35"/>
  <c r="C204" i="35"/>
  <c r="D203" i="35"/>
  <c r="C203" i="35"/>
  <c r="D202" i="35"/>
  <c r="C202" i="35"/>
  <c r="D201" i="35"/>
  <c r="C201" i="35"/>
  <c r="D200" i="35"/>
  <c r="C200" i="35"/>
  <c r="D199" i="35"/>
  <c r="C199" i="35"/>
  <c r="D198" i="35"/>
  <c r="C198" i="35"/>
  <c r="D197" i="35"/>
  <c r="C197" i="35"/>
  <c r="D196" i="35"/>
  <c r="C196" i="35"/>
  <c r="D195" i="35"/>
  <c r="C195" i="35"/>
  <c r="D194" i="35"/>
  <c r="C194" i="35"/>
  <c r="D193" i="35"/>
  <c r="C193" i="35"/>
  <c r="D192" i="35"/>
  <c r="C192" i="35"/>
  <c r="D191" i="35"/>
  <c r="C191" i="35"/>
  <c r="D190" i="35"/>
  <c r="C190" i="35"/>
  <c r="D189" i="35"/>
  <c r="C189" i="35"/>
  <c r="D188" i="35"/>
  <c r="C188" i="35"/>
  <c r="D187" i="35"/>
  <c r="C187" i="35"/>
  <c r="D186" i="35"/>
  <c r="C186" i="35"/>
  <c r="D185" i="35"/>
  <c r="C185" i="35"/>
  <c r="D184" i="35"/>
  <c r="C184" i="35"/>
  <c r="D183" i="35"/>
  <c r="C183" i="35"/>
  <c r="D182" i="35"/>
  <c r="C182" i="35"/>
  <c r="D181" i="35"/>
  <c r="C181" i="35"/>
  <c r="D180" i="35"/>
  <c r="C180" i="35"/>
  <c r="D179" i="35"/>
  <c r="C179" i="35"/>
  <c r="D178" i="35"/>
  <c r="C178" i="35"/>
  <c r="D177" i="35"/>
  <c r="C177" i="35"/>
  <c r="D176" i="35"/>
  <c r="C176" i="35"/>
  <c r="D175" i="35"/>
  <c r="C175" i="35"/>
  <c r="D174" i="35"/>
  <c r="C174" i="35"/>
  <c r="D173" i="35"/>
  <c r="C173" i="35"/>
  <c r="D172" i="35"/>
  <c r="C172" i="35"/>
  <c r="D171" i="35"/>
  <c r="C171" i="35"/>
  <c r="D170" i="35"/>
  <c r="C170" i="35"/>
  <c r="D169" i="35"/>
  <c r="C169" i="35"/>
  <c r="D168" i="35"/>
  <c r="C168" i="35"/>
  <c r="D167" i="35"/>
  <c r="C167" i="35"/>
  <c r="D166" i="35"/>
  <c r="C166" i="35"/>
  <c r="D165" i="35"/>
  <c r="C165" i="35"/>
  <c r="D164" i="35"/>
  <c r="C164" i="35"/>
  <c r="D163" i="35"/>
  <c r="C163" i="35"/>
  <c r="D162" i="35"/>
  <c r="C162" i="35"/>
  <c r="D161" i="35"/>
  <c r="C161" i="35"/>
  <c r="D160" i="35"/>
  <c r="C160" i="35"/>
  <c r="D159" i="35"/>
  <c r="C159" i="35"/>
  <c r="D158" i="35"/>
  <c r="C158" i="35"/>
  <c r="D157" i="35"/>
  <c r="C157" i="35"/>
  <c r="D156" i="35"/>
  <c r="C156" i="35"/>
  <c r="D155" i="35"/>
  <c r="C155" i="35"/>
  <c r="D154" i="35"/>
  <c r="C154" i="35"/>
  <c r="D153" i="35"/>
  <c r="C153" i="35"/>
  <c r="D152" i="35"/>
  <c r="C152" i="35"/>
  <c r="D151" i="35"/>
  <c r="C151" i="35"/>
  <c r="D150" i="35"/>
  <c r="C150" i="35"/>
  <c r="D149" i="35"/>
  <c r="C149" i="35"/>
  <c r="D148" i="35"/>
  <c r="C148" i="35"/>
  <c r="D147" i="35"/>
  <c r="C147" i="35"/>
  <c r="D146" i="35"/>
  <c r="C146" i="35"/>
  <c r="D145" i="35"/>
  <c r="C145" i="35"/>
  <c r="D144" i="35"/>
  <c r="C144" i="35"/>
  <c r="D143" i="35"/>
  <c r="C143" i="35"/>
  <c r="D142" i="35"/>
  <c r="C142" i="35"/>
  <c r="D141" i="35"/>
  <c r="C141" i="35"/>
  <c r="D140" i="35"/>
  <c r="C140" i="35"/>
  <c r="D139" i="35"/>
  <c r="C139" i="35"/>
  <c r="D138" i="35"/>
  <c r="C138" i="35"/>
  <c r="D137" i="35"/>
  <c r="C137" i="35"/>
  <c r="D136" i="35"/>
  <c r="C136" i="35"/>
  <c r="D135" i="35"/>
  <c r="C135" i="35"/>
  <c r="D134" i="35"/>
  <c r="C134" i="35"/>
  <c r="D133" i="35"/>
  <c r="C133" i="35"/>
  <c r="D132" i="35"/>
  <c r="C132" i="35"/>
  <c r="D131" i="35"/>
  <c r="C131" i="35"/>
  <c r="D130" i="35"/>
  <c r="C130" i="35"/>
  <c r="D129" i="35"/>
  <c r="C129" i="35"/>
  <c r="D128" i="35"/>
  <c r="C128" i="35"/>
  <c r="D127" i="35"/>
  <c r="C127" i="35"/>
  <c r="D126" i="35"/>
  <c r="C126" i="35"/>
  <c r="D125" i="35"/>
  <c r="C125" i="35"/>
  <c r="D124" i="35"/>
  <c r="C124" i="35"/>
  <c r="D123" i="35"/>
  <c r="C123" i="35"/>
  <c r="D122" i="35"/>
  <c r="C122" i="35"/>
  <c r="D121" i="35"/>
  <c r="C121" i="35"/>
  <c r="D120" i="35"/>
  <c r="C120" i="35"/>
  <c r="D119" i="35"/>
  <c r="C119" i="35"/>
  <c r="D118" i="35"/>
  <c r="C118" i="35"/>
  <c r="D117" i="35"/>
  <c r="C117" i="35"/>
  <c r="D116" i="35"/>
  <c r="C116" i="35"/>
  <c r="D115" i="35"/>
  <c r="C115" i="35"/>
  <c r="D114" i="35"/>
  <c r="C114" i="35"/>
  <c r="D113" i="35"/>
  <c r="C113" i="35"/>
  <c r="D112" i="35"/>
  <c r="C112" i="35"/>
  <c r="D111" i="35"/>
  <c r="C111" i="35"/>
  <c r="D110" i="35"/>
  <c r="C110" i="35"/>
  <c r="D109" i="35"/>
  <c r="C109" i="35"/>
  <c r="D108" i="35"/>
  <c r="C108" i="35"/>
  <c r="D107" i="35"/>
  <c r="C107" i="35"/>
  <c r="D106" i="35"/>
  <c r="C106" i="35"/>
  <c r="D105" i="35"/>
  <c r="C105" i="35"/>
  <c r="D104" i="35"/>
  <c r="C104" i="35"/>
  <c r="D103" i="35"/>
  <c r="C103" i="35"/>
  <c r="D102" i="35"/>
  <c r="C102" i="35"/>
  <c r="D101" i="35"/>
  <c r="C101" i="35"/>
  <c r="D100" i="35"/>
  <c r="C100" i="35"/>
  <c r="D99" i="35"/>
  <c r="C99" i="35"/>
  <c r="D98" i="35"/>
  <c r="C98" i="35"/>
  <c r="D97" i="35"/>
  <c r="C97" i="35"/>
  <c r="D96" i="35"/>
  <c r="C96" i="35"/>
  <c r="D95" i="35"/>
  <c r="C95" i="35"/>
  <c r="D94" i="35"/>
  <c r="C94" i="35"/>
  <c r="D93" i="35"/>
  <c r="C93" i="35"/>
  <c r="D92" i="35"/>
  <c r="C92" i="35"/>
  <c r="D91" i="35"/>
  <c r="C91" i="35"/>
  <c r="D90" i="35"/>
  <c r="C90" i="35"/>
  <c r="D89" i="35"/>
  <c r="C89" i="35"/>
  <c r="D88" i="35"/>
  <c r="C88" i="35"/>
  <c r="D87" i="35"/>
  <c r="C87" i="35"/>
  <c r="D86" i="35"/>
  <c r="C86" i="35"/>
  <c r="D85" i="35"/>
  <c r="C85" i="35"/>
  <c r="D84" i="35"/>
  <c r="C84" i="35"/>
  <c r="D83" i="35"/>
  <c r="C83" i="35"/>
  <c r="D82" i="35"/>
  <c r="C82" i="35"/>
  <c r="D81" i="35"/>
  <c r="C81" i="35"/>
  <c r="D80" i="35"/>
  <c r="C80" i="35"/>
  <c r="D79" i="35"/>
  <c r="C79" i="35"/>
  <c r="D78" i="35"/>
  <c r="C78" i="35"/>
  <c r="D77" i="35"/>
  <c r="C77" i="35"/>
  <c r="D76" i="35"/>
  <c r="C76" i="35"/>
  <c r="D75" i="35"/>
  <c r="C75" i="35"/>
  <c r="D74" i="35"/>
  <c r="C74" i="35"/>
  <c r="D73" i="35"/>
  <c r="C73" i="35"/>
  <c r="D72" i="35"/>
  <c r="C72" i="35"/>
  <c r="D71" i="35"/>
  <c r="C71" i="35"/>
  <c r="D70" i="35"/>
  <c r="C70" i="35"/>
  <c r="D69" i="35"/>
  <c r="C69" i="35"/>
  <c r="D68" i="35"/>
  <c r="C68" i="35"/>
  <c r="D67" i="35"/>
  <c r="C67" i="35"/>
  <c r="D66" i="35"/>
  <c r="C66" i="35"/>
  <c r="D65" i="35"/>
  <c r="C65" i="35"/>
  <c r="D64" i="35"/>
  <c r="C64" i="35"/>
  <c r="D63" i="35"/>
  <c r="C63" i="35"/>
  <c r="D62" i="35"/>
  <c r="C62" i="35"/>
  <c r="D61" i="35"/>
  <c r="C61" i="35"/>
  <c r="D60" i="35"/>
  <c r="C60" i="35"/>
  <c r="D59" i="35"/>
  <c r="C59" i="35"/>
  <c r="D58" i="35"/>
  <c r="C58" i="35"/>
  <c r="D57" i="35"/>
  <c r="C57" i="35"/>
  <c r="D56" i="35"/>
  <c r="C56" i="35"/>
  <c r="D55" i="35"/>
  <c r="C55" i="35"/>
  <c r="D54" i="35"/>
  <c r="C54" i="35"/>
  <c r="D53" i="35"/>
  <c r="C53" i="35"/>
  <c r="D52" i="35"/>
  <c r="C52" i="35"/>
  <c r="D51" i="35"/>
  <c r="C51" i="35"/>
  <c r="D50" i="35"/>
  <c r="C50" i="35"/>
  <c r="D49" i="35"/>
  <c r="C49" i="35"/>
  <c r="D48" i="35"/>
  <c r="C48" i="35"/>
  <c r="D47" i="35"/>
  <c r="C47" i="35"/>
  <c r="D46" i="35"/>
  <c r="C46" i="35"/>
  <c r="D45" i="35"/>
  <c r="C45" i="35"/>
  <c r="D44" i="35"/>
  <c r="C44" i="35"/>
  <c r="D43" i="35"/>
  <c r="C43" i="35"/>
  <c r="D37" i="35"/>
  <c r="C37" i="35"/>
  <c r="D36" i="35"/>
  <c r="C36" i="35"/>
  <c r="D35" i="35"/>
  <c r="C35" i="35"/>
  <c r="D34" i="35"/>
  <c r="C34" i="35"/>
  <c r="D33" i="35"/>
  <c r="C33" i="35"/>
  <c r="D32" i="35"/>
  <c r="C32" i="35"/>
  <c r="D31" i="35"/>
  <c r="C31" i="35"/>
  <c r="D30" i="35"/>
  <c r="C30" i="35"/>
  <c r="D29" i="35"/>
  <c r="C29" i="35"/>
  <c r="D28" i="35"/>
  <c r="C28" i="35"/>
  <c r="D27" i="35"/>
  <c r="C27" i="35"/>
  <c r="D26" i="35"/>
  <c r="C26" i="35"/>
  <c r="D25" i="35"/>
  <c r="C25" i="35"/>
  <c r="D24" i="35"/>
  <c r="C24" i="35"/>
  <c r="D23" i="35"/>
  <c r="C23" i="35"/>
  <c r="D22" i="35"/>
  <c r="C22" i="35"/>
  <c r="D21" i="35"/>
  <c r="C21" i="35"/>
  <c r="D20" i="35"/>
  <c r="C20" i="35"/>
  <c r="D19" i="35"/>
  <c r="C19" i="35"/>
  <c r="D18" i="35"/>
  <c r="C18" i="35"/>
  <c r="D17" i="35"/>
  <c r="C17" i="35"/>
  <c r="D16" i="35"/>
  <c r="C16" i="35"/>
  <c r="C15" i="35"/>
  <c r="C14" i="35"/>
  <c r="C13" i="35"/>
  <c r="D11" i="35"/>
  <c r="C11" i="35"/>
  <c r="D10" i="35"/>
  <c r="C10" i="35"/>
  <c r="C9" i="35"/>
  <c r="D8" i="35"/>
  <c r="C8" i="35"/>
  <c r="D7" i="35"/>
  <c r="C7" i="35"/>
  <c r="D6" i="35"/>
  <c r="C6" i="35"/>
  <c r="D301" i="34"/>
  <c r="C301" i="34"/>
  <c r="D300" i="34"/>
  <c r="C300" i="34"/>
  <c r="D299" i="34"/>
  <c r="C299" i="34"/>
  <c r="D298" i="34"/>
  <c r="C298" i="34"/>
  <c r="D297" i="34"/>
  <c r="C297" i="34"/>
  <c r="D296" i="34"/>
  <c r="C296" i="34"/>
  <c r="D295" i="34"/>
  <c r="C295" i="34"/>
  <c r="D294" i="34"/>
  <c r="C294" i="34"/>
  <c r="D293" i="34"/>
  <c r="C293" i="34"/>
  <c r="D292" i="34"/>
  <c r="C292" i="34"/>
  <c r="D291" i="34"/>
  <c r="C291" i="34"/>
  <c r="D290" i="34"/>
  <c r="C290" i="34"/>
  <c r="D289" i="34"/>
  <c r="C289" i="34"/>
  <c r="D288" i="34"/>
  <c r="C288" i="34"/>
  <c r="D287" i="34"/>
  <c r="C287" i="34"/>
  <c r="D286" i="34"/>
  <c r="C286" i="34"/>
  <c r="D285" i="34"/>
  <c r="C285" i="34"/>
  <c r="D284" i="34"/>
  <c r="C284" i="34"/>
  <c r="D283" i="34"/>
  <c r="C283" i="34"/>
  <c r="D282" i="34"/>
  <c r="C282" i="34"/>
  <c r="D281" i="34"/>
  <c r="C281" i="34"/>
  <c r="D280" i="34"/>
  <c r="C280" i="34"/>
  <c r="D279" i="34"/>
  <c r="C279" i="34"/>
  <c r="D278" i="34"/>
  <c r="C278" i="34"/>
  <c r="D277" i="34"/>
  <c r="C277" i="34"/>
  <c r="D276" i="34"/>
  <c r="C276" i="34"/>
  <c r="D275" i="34"/>
  <c r="C275" i="34"/>
  <c r="D274" i="34"/>
  <c r="C274" i="34"/>
  <c r="D273" i="34"/>
  <c r="C273" i="34"/>
  <c r="D272" i="34"/>
  <c r="C272" i="34"/>
  <c r="D271" i="34"/>
  <c r="C271" i="34"/>
  <c r="D270" i="34"/>
  <c r="C270" i="34"/>
  <c r="D269" i="34"/>
  <c r="C269" i="34"/>
  <c r="D268" i="34"/>
  <c r="C268" i="34"/>
  <c r="D267" i="34"/>
  <c r="C267" i="34"/>
  <c r="D266" i="34"/>
  <c r="C266" i="34"/>
  <c r="D265" i="34"/>
  <c r="C265" i="34"/>
  <c r="D264" i="34"/>
  <c r="C264" i="34"/>
  <c r="D263" i="34"/>
  <c r="C263" i="34"/>
  <c r="D262" i="34"/>
  <c r="C262" i="34"/>
  <c r="D261" i="34"/>
  <c r="C261" i="34"/>
  <c r="D260" i="34"/>
  <c r="C260" i="34"/>
  <c r="D259" i="34"/>
  <c r="C259" i="34"/>
  <c r="D258" i="34"/>
  <c r="C258" i="34"/>
  <c r="D257" i="34"/>
  <c r="C257" i="34"/>
  <c r="D256" i="34"/>
  <c r="C256" i="34"/>
  <c r="D255" i="34"/>
  <c r="C255" i="34"/>
  <c r="D254" i="34"/>
  <c r="C254" i="34"/>
  <c r="D253" i="34"/>
  <c r="C253" i="34"/>
  <c r="D252" i="34"/>
  <c r="C252" i="34"/>
  <c r="D251" i="34"/>
  <c r="C251" i="34"/>
  <c r="D250" i="34"/>
  <c r="C250" i="34"/>
  <c r="D249" i="34"/>
  <c r="C249" i="34"/>
  <c r="D248" i="34"/>
  <c r="C248" i="34"/>
  <c r="D247" i="34"/>
  <c r="C247" i="34"/>
  <c r="D246" i="34"/>
  <c r="C246" i="34"/>
  <c r="D245" i="34"/>
  <c r="C245" i="34"/>
  <c r="D244" i="34"/>
  <c r="C244" i="34"/>
  <c r="D243" i="34"/>
  <c r="C243" i="34"/>
  <c r="D242" i="34"/>
  <c r="C242" i="34"/>
  <c r="D241" i="34"/>
  <c r="C241" i="34"/>
  <c r="D240" i="34"/>
  <c r="C240" i="34"/>
  <c r="D239" i="34"/>
  <c r="C239" i="34"/>
  <c r="D238" i="34"/>
  <c r="C238" i="34"/>
  <c r="D237" i="34"/>
  <c r="C237" i="34"/>
  <c r="D236" i="34"/>
  <c r="C236" i="34"/>
  <c r="D235" i="34"/>
  <c r="C235" i="34"/>
  <c r="D234" i="34"/>
  <c r="C234" i="34"/>
  <c r="D233" i="34"/>
  <c r="C233" i="34"/>
  <c r="D232" i="34"/>
  <c r="C232" i="34"/>
  <c r="D231" i="34"/>
  <c r="C231" i="34"/>
  <c r="D230" i="34"/>
  <c r="C230" i="34"/>
  <c r="D229" i="34"/>
  <c r="C229" i="34"/>
  <c r="D228" i="34"/>
  <c r="C228" i="34"/>
  <c r="D227" i="34"/>
  <c r="C227" i="34"/>
  <c r="D226" i="34"/>
  <c r="C226" i="34"/>
  <c r="D225" i="34"/>
  <c r="C225" i="34"/>
  <c r="D224" i="34"/>
  <c r="C224" i="34"/>
  <c r="D223" i="34"/>
  <c r="C223" i="34"/>
  <c r="D222" i="34"/>
  <c r="C222" i="34"/>
  <c r="D221" i="34"/>
  <c r="C221" i="34"/>
  <c r="D220" i="34"/>
  <c r="C220" i="34"/>
  <c r="D219" i="34"/>
  <c r="C219" i="34"/>
  <c r="D218" i="34"/>
  <c r="C218" i="34"/>
  <c r="D217" i="34"/>
  <c r="C217" i="34"/>
  <c r="D216" i="34"/>
  <c r="C216" i="34"/>
  <c r="D215" i="34"/>
  <c r="C215" i="34"/>
  <c r="D214" i="34"/>
  <c r="C214" i="34"/>
  <c r="D213" i="34"/>
  <c r="C213" i="34"/>
  <c r="D212" i="34"/>
  <c r="C212" i="34"/>
  <c r="D211" i="34"/>
  <c r="C211" i="34"/>
  <c r="D210" i="34"/>
  <c r="C210" i="34"/>
  <c r="D209" i="34"/>
  <c r="C209" i="34"/>
  <c r="D208" i="34"/>
  <c r="C208" i="34"/>
  <c r="D207" i="34"/>
  <c r="C207" i="34"/>
  <c r="D206" i="34"/>
  <c r="C206" i="34"/>
  <c r="D205" i="34"/>
  <c r="C205" i="34"/>
  <c r="D204" i="34"/>
  <c r="C204" i="34"/>
  <c r="D203" i="34"/>
  <c r="C203" i="34"/>
  <c r="D202" i="34"/>
  <c r="C202" i="34"/>
  <c r="D201" i="34"/>
  <c r="C201" i="34"/>
  <c r="D200" i="34"/>
  <c r="C200" i="34"/>
  <c r="D199" i="34"/>
  <c r="C199" i="34"/>
  <c r="D198" i="34"/>
  <c r="C198" i="34"/>
  <c r="D197" i="34"/>
  <c r="C197" i="34"/>
  <c r="D196" i="34"/>
  <c r="C196" i="34"/>
  <c r="D195" i="34"/>
  <c r="C195" i="34"/>
  <c r="D194" i="34"/>
  <c r="C194" i="34"/>
  <c r="D193" i="34"/>
  <c r="C193" i="34"/>
  <c r="D192" i="34"/>
  <c r="C192" i="34"/>
  <c r="D191" i="34"/>
  <c r="C191" i="34"/>
  <c r="D190" i="34"/>
  <c r="C190" i="34"/>
  <c r="D189" i="34"/>
  <c r="C189" i="34"/>
  <c r="D188" i="34"/>
  <c r="C188" i="34"/>
  <c r="D187" i="34"/>
  <c r="C187" i="34"/>
  <c r="D186" i="34"/>
  <c r="C186" i="34"/>
  <c r="D185" i="34"/>
  <c r="C185" i="34"/>
  <c r="D184" i="34"/>
  <c r="C184" i="34"/>
  <c r="D183" i="34"/>
  <c r="C183" i="34"/>
  <c r="D182" i="34"/>
  <c r="C182" i="34"/>
  <c r="D181" i="34"/>
  <c r="C181" i="34"/>
  <c r="D180" i="34"/>
  <c r="C180" i="34"/>
  <c r="D179" i="34"/>
  <c r="C179" i="34"/>
  <c r="D178" i="34"/>
  <c r="C178" i="34"/>
  <c r="D177" i="34"/>
  <c r="C177" i="34"/>
  <c r="D176" i="34"/>
  <c r="C176" i="34"/>
  <c r="D175" i="34"/>
  <c r="C175" i="34"/>
  <c r="D174" i="34"/>
  <c r="C174" i="34"/>
  <c r="D173" i="34"/>
  <c r="C173" i="34"/>
  <c r="D172" i="34"/>
  <c r="C172" i="34"/>
  <c r="D171" i="34"/>
  <c r="C171" i="34"/>
  <c r="D170" i="34"/>
  <c r="C170" i="34"/>
  <c r="D169" i="34"/>
  <c r="C169" i="34"/>
  <c r="D168" i="34"/>
  <c r="C168" i="34"/>
  <c r="D167" i="34"/>
  <c r="C167" i="34"/>
  <c r="D166" i="34"/>
  <c r="C166" i="34"/>
  <c r="D165" i="34"/>
  <c r="C165" i="34"/>
  <c r="D164" i="34"/>
  <c r="C164" i="34"/>
  <c r="D163" i="34"/>
  <c r="C163" i="34"/>
  <c r="D162" i="34"/>
  <c r="C162" i="34"/>
  <c r="D161" i="34"/>
  <c r="C161" i="34"/>
  <c r="D160" i="34"/>
  <c r="C160" i="34"/>
  <c r="D159" i="34"/>
  <c r="C159" i="34"/>
  <c r="D158" i="34"/>
  <c r="C158" i="34"/>
  <c r="D157" i="34"/>
  <c r="C157" i="34"/>
  <c r="D156" i="34"/>
  <c r="C156" i="34"/>
  <c r="D155" i="34"/>
  <c r="C155" i="34"/>
  <c r="D154" i="34"/>
  <c r="C154" i="34"/>
  <c r="D153" i="34"/>
  <c r="C153" i="34"/>
  <c r="D152" i="34"/>
  <c r="C152" i="34"/>
  <c r="D151" i="34"/>
  <c r="C151" i="34"/>
  <c r="D150" i="34"/>
  <c r="C150" i="34"/>
  <c r="D149" i="34"/>
  <c r="C149" i="34"/>
  <c r="D148" i="34"/>
  <c r="C148" i="34"/>
  <c r="D147" i="34"/>
  <c r="C147" i="34"/>
  <c r="D146" i="34"/>
  <c r="C146" i="34"/>
  <c r="D145" i="34"/>
  <c r="C145" i="34"/>
  <c r="D144" i="34"/>
  <c r="C144" i="34"/>
  <c r="D143" i="34"/>
  <c r="C143" i="34"/>
  <c r="D142" i="34"/>
  <c r="C142" i="34"/>
  <c r="D141" i="34"/>
  <c r="C141" i="34"/>
  <c r="D140" i="34"/>
  <c r="C140" i="34"/>
  <c r="D139" i="34"/>
  <c r="C139" i="34"/>
  <c r="D138" i="34"/>
  <c r="C138" i="34"/>
  <c r="D137" i="34"/>
  <c r="C137" i="34"/>
  <c r="D136" i="34"/>
  <c r="C136" i="34"/>
  <c r="D135" i="34"/>
  <c r="C135" i="34"/>
  <c r="D134" i="34"/>
  <c r="C134" i="34"/>
  <c r="D133" i="34"/>
  <c r="C133" i="34"/>
  <c r="D132" i="34"/>
  <c r="C132" i="34"/>
  <c r="D131" i="34"/>
  <c r="C131" i="34"/>
  <c r="D130" i="34"/>
  <c r="C130" i="34"/>
  <c r="D129" i="34"/>
  <c r="C129" i="34"/>
  <c r="D128" i="34"/>
  <c r="C128" i="34"/>
  <c r="D127" i="34"/>
  <c r="C127" i="34"/>
  <c r="D126" i="34"/>
  <c r="C126" i="34"/>
  <c r="D125" i="34"/>
  <c r="C125" i="34"/>
  <c r="D124" i="34"/>
  <c r="C124" i="34"/>
  <c r="D123" i="34"/>
  <c r="C123" i="34"/>
  <c r="D122" i="34"/>
  <c r="C122" i="34"/>
  <c r="D121" i="34"/>
  <c r="C121" i="34"/>
  <c r="D120" i="34"/>
  <c r="C120" i="34"/>
  <c r="D119" i="34"/>
  <c r="C119" i="34"/>
  <c r="D118" i="34"/>
  <c r="C118" i="34"/>
  <c r="D117" i="34"/>
  <c r="C117" i="34"/>
  <c r="D116" i="34"/>
  <c r="C116" i="34"/>
  <c r="D115" i="34"/>
  <c r="C115" i="34"/>
  <c r="D114" i="34"/>
  <c r="C114" i="34"/>
  <c r="D113" i="34"/>
  <c r="C113" i="34"/>
  <c r="D112" i="34"/>
  <c r="C112" i="34"/>
  <c r="D111" i="34"/>
  <c r="C111" i="34"/>
  <c r="D110" i="34"/>
  <c r="C110" i="34"/>
  <c r="D109" i="34"/>
  <c r="C109" i="34"/>
  <c r="D108" i="34"/>
  <c r="C108" i="34"/>
  <c r="D107" i="34"/>
  <c r="C107" i="34"/>
  <c r="D106" i="34"/>
  <c r="C106" i="34"/>
  <c r="D105" i="34"/>
  <c r="C105" i="34"/>
  <c r="D104" i="34"/>
  <c r="C104" i="34"/>
  <c r="D103" i="34"/>
  <c r="C103" i="34"/>
  <c r="D102" i="34"/>
  <c r="C102" i="34"/>
  <c r="D101" i="34"/>
  <c r="C101" i="34"/>
  <c r="D100" i="34"/>
  <c r="C100" i="34"/>
  <c r="D99" i="34"/>
  <c r="C99" i="34"/>
  <c r="D98" i="34"/>
  <c r="C98" i="34"/>
  <c r="D97" i="34"/>
  <c r="C97" i="34"/>
  <c r="D96" i="34"/>
  <c r="C96" i="34"/>
  <c r="D95" i="34"/>
  <c r="C95" i="34"/>
  <c r="D94" i="34"/>
  <c r="C94" i="34"/>
  <c r="D93" i="34"/>
  <c r="C93" i="34"/>
  <c r="D92" i="34"/>
  <c r="C92" i="34"/>
  <c r="D91" i="34"/>
  <c r="C91" i="34"/>
  <c r="D90" i="34"/>
  <c r="C90" i="34"/>
  <c r="D89" i="34"/>
  <c r="C89" i="34"/>
  <c r="D88" i="34"/>
  <c r="C88" i="34"/>
  <c r="D87" i="34"/>
  <c r="C87" i="34"/>
  <c r="D86" i="34"/>
  <c r="C86" i="34"/>
  <c r="D85" i="34"/>
  <c r="C85" i="34"/>
  <c r="D84" i="34"/>
  <c r="C84" i="34"/>
  <c r="D83" i="34"/>
  <c r="C83" i="34"/>
  <c r="D82" i="34"/>
  <c r="C82" i="34"/>
  <c r="D81" i="34"/>
  <c r="C81" i="34"/>
  <c r="D80" i="34"/>
  <c r="C80" i="34"/>
  <c r="D79" i="34"/>
  <c r="C79" i="34"/>
  <c r="D78" i="34"/>
  <c r="C78" i="34"/>
  <c r="D77" i="34"/>
  <c r="C77" i="34"/>
  <c r="D76" i="34"/>
  <c r="C76" i="34"/>
  <c r="D75" i="34"/>
  <c r="C75" i="34"/>
  <c r="D74" i="34"/>
  <c r="C74" i="34"/>
  <c r="D73" i="34"/>
  <c r="C73" i="34"/>
  <c r="D72" i="34"/>
  <c r="C72" i="34"/>
  <c r="D71" i="34"/>
  <c r="C71" i="34"/>
  <c r="D70" i="34"/>
  <c r="C70" i="34"/>
  <c r="D69" i="34"/>
  <c r="C69" i="34"/>
  <c r="D68" i="34"/>
  <c r="C68" i="34"/>
  <c r="D67" i="34"/>
  <c r="C67" i="34"/>
  <c r="D66" i="34"/>
  <c r="C66" i="34"/>
  <c r="D65" i="34"/>
  <c r="C65" i="34"/>
  <c r="D64" i="34"/>
  <c r="C64" i="34"/>
  <c r="D63" i="34"/>
  <c r="C63" i="34"/>
  <c r="D62" i="34"/>
  <c r="C62" i="34"/>
  <c r="D61" i="34"/>
  <c r="C61" i="34"/>
  <c r="D60" i="34"/>
  <c r="C60" i="34"/>
  <c r="D59" i="34"/>
  <c r="C59" i="34"/>
  <c r="D58" i="34"/>
  <c r="C58" i="34"/>
  <c r="D57" i="34"/>
  <c r="C57" i="34"/>
  <c r="D56" i="34"/>
  <c r="C56" i="34"/>
  <c r="D55" i="34"/>
  <c r="C55" i="34"/>
  <c r="D54" i="34"/>
  <c r="C54" i="34"/>
  <c r="D53" i="34"/>
  <c r="C53" i="34"/>
  <c r="D52" i="34"/>
  <c r="C52" i="34"/>
  <c r="D51" i="34"/>
  <c r="C51" i="34"/>
  <c r="D50" i="34"/>
  <c r="C50" i="34"/>
  <c r="D49" i="34"/>
  <c r="C49" i="34"/>
  <c r="D48" i="34"/>
  <c r="C48" i="34"/>
  <c r="D47" i="34"/>
  <c r="C47" i="34"/>
  <c r="D46" i="34"/>
  <c r="C46" i="34"/>
  <c r="D45" i="34"/>
  <c r="C45" i="34"/>
  <c r="D44" i="34"/>
  <c r="C44" i="34"/>
  <c r="D43" i="34"/>
  <c r="C43" i="34"/>
  <c r="D42" i="34"/>
  <c r="C42" i="34"/>
  <c r="D41" i="34"/>
  <c r="C41" i="34"/>
  <c r="D40" i="34"/>
  <c r="C40" i="34"/>
  <c r="D39" i="34"/>
  <c r="C39" i="34"/>
  <c r="D38" i="34"/>
  <c r="C38" i="34"/>
  <c r="D37" i="34"/>
  <c r="C37" i="34"/>
  <c r="D36" i="34"/>
  <c r="C36" i="34"/>
  <c r="D35" i="34"/>
  <c r="C35" i="34"/>
  <c r="D34" i="34"/>
  <c r="C34" i="34"/>
  <c r="D33" i="34"/>
  <c r="C33" i="34"/>
  <c r="D32" i="34"/>
  <c r="C32" i="34"/>
  <c r="D31" i="34"/>
  <c r="C31" i="34"/>
  <c r="D30" i="34"/>
  <c r="C30" i="34"/>
  <c r="D29" i="34"/>
  <c r="C29" i="34"/>
  <c r="D28" i="34"/>
  <c r="C28" i="34"/>
  <c r="D27" i="34"/>
  <c r="C27" i="34"/>
  <c r="D26" i="34"/>
  <c r="C26" i="34"/>
  <c r="D25" i="34"/>
  <c r="C25" i="34"/>
  <c r="D24" i="34"/>
  <c r="C24" i="34"/>
  <c r="D23" i="34"/>
  <c r="C23" i="34"/>
  <c r="D22" i="34"/>
  <c r="C22" i="34"/>
  <c r="D21" i="34"/>
  <c r="C21" i="34"/>
  <c r="D20" i="34"/>
  <c r="C20" i="34"/>
  <c r="D19" i="34"/>
  <c r="C19" i="34"/>
  <c r="D18" i="34"/>
  <c r="C18" i="34"/>
  <c r="D17" i="34"/>
  <c r="C17" i="34"/>
  <c r="D16" i="34"/>
  <c r="C16" i="34"/>
  <c r="D15" i="34"/>
  <c r="C15" i="34"/>
  <c r="D14" i="34"/>
  <c r="C14" i="34"/>
  <c r="D13" i="34"/>
  <c r="C13" i="34"/>
  <c r="D12" i="34"/>
  <c r="C12" i="34"/>
  <c r="D11" i="34"/>
  <c r="C11" i="34"/>
  <c r="D10" i="34"/>
  <c r="C10" i="34"/>
  <c r="D9" i="34"/>
  <c r="C9" i="34"/>
  <c r="D8" i="34"/>
  <c r="C8" i="34"/>
  <c r="D7" i="34"/>
  <c r="C7" i="34"/>
  <c r="D6" i="34"/>
  <c r="C6" i="34"/>
  <c r="D5" i="34"/>
  <c r="C5" i="34"/>
  <c r="C23" i="32"/>
  <c r="D23" i="32"/>
  <c r="C24" i="32"/>
  <c r="D24" i="32"/>
  <c r="C25" i="32"/>
  <c r="D25" i="32"/>
  <c r="C26" i="32"/>
  <c r="D26" i="32"/>
  <c r="C27" i="32"/>
  <c r="D27" i="32"/>
  <c r="C28" i="32"/>
  <c r="D28" i="32"/>
  <c r="C29" i="32"/>
  <c r="D29" i="32"/>
  <c r="C30" i="32"/>
  <c r="D30" i="32"/>
  <c r="C31" i="32"/>
  <c r="D31" i="32"/>
  <c r="C32" i="32"/>
  <c r="D32" i="32"/>
  <c r="C33" i="32"/>
  <c r="D33" i="32"/>
  <c r="C34" i="32"/>
  <c r="D34" i="32"/>
  <c r="C35" i="32"/>
  <c r="D35" i="32"/>
  <c r="C36" i="32"/>
  <c r="D36" i="32"/>
  <c r="C37" i="32"/>
  <c r="D37" i="32"/>
  <c r="C38" i="32"/>
  <c r="D38" i="32"/>
  <c r="C39" i="32"/>
  <c r="D39" i="32"/>
  <c r="C40" i="32"/>
  <c r="D40" i="32"/>
  <c r="C41" i="32"/>
  <c r="D41" i="32"/>
  <c r="C42" i="32"/>
  <c r="D42" i="32"/>
  <c r="C33" i="26"/>
  <c r="D33" i="26"/>
  <c r="C34" i="26"/>
  <c r="D34" i="26"/>
  <c r="C35" i="26"/>
  <c r="D35" i="26"/>
  <c r="C36" i="26"/>
  <c r="D36" i="26"/>
  <c r="C37" i="26"/>
  <c r="D37" i="26"/>
  <c r="C38" i="26"/>
  <c r="D38" i="26"/>
  <c r="C39" i="26"/>
  <c r="D39" i="26"/>
  <c r="C40" i="26"/>
  <c r="D40" i="26"/>
  <c r="C41" i="26"/>
  <c r="D41" i="26"/>
  <c r="C42" i="26"/>
  <c r="D42" i="26"/>
  <c r="C16" i="28"/>
  <c r="D16" i="28"/>
  <c r="C17" i="28"/>
  <c r="D17" i="28"/>
  <c r="C18" i="28"/>
  <c r="D18" i="28"/>
  <c r="C19" i="28"/>
  <c r="D19" i="28"/>
  <c r="C20" i="28"/>
  <c r="D20" i="28"/>
  <c r="C21" i="28"/>
  <c r="D21" i="28"/>
  <c r="C22" i="28"/>
  <c r="D22" i="28"/>
  <c r="C23" i="28"/>
  <c r="D23" i="28"/>
  <c r="C24" i="28"/>
  <c r="D24" i="28"/>
  <c r="C25" i="28"/>
  <c r="D25" i="28"/>
  <c r="C26" i="28"/>
  <c r="D26" i="28"/>
  <c r="C27" i="28"/>
  <c r="D27" i="28"/>
  <c r="C28" i="28"/>
  <c r="D28" i="28"/>
  <c r="C29" i="28"/>
  <c r="D29" i="28"/>
  <c r="C30" i="28"/>
  <c r="D30" i="28"/>
  <c r="C31" i="28"/>
  <c r="D31" i="28"/>
  <c r="C32" i="28"/>
  <c r="D32" i="28"/>
  <c r="C9" i="28"/>
  <c r="D9" i="28"/>
  <c r="C10" i="28"/>
  <c r="D10" i="28"/>
  <c r="C11" i="28"/>
  <c r="D11" i="28"/>
  <c r="C12" i="28"/>
  <c r="D12" i="28"/>
  <c r="C14" i="28"/>
  <c r="D14" i="28"/>
  <c r="C15" i="28"/>
  <c r="D15" i="28"/>
  <c r="D306" i="33"/>
  <c r="C306" i="33"/>
  <c r="D305" i="33"/>
  <c r="C305" i="33"/>
  <c r="D304" i="33"/>
  <c r="C304" i="33"/>
  <c r="D303" i="33"/>
  <c r="C303" i="33"/>
  <c r="D302" i="33"/>
  <c r="C302" i="33"/>
  <c r="D301" i="33"/>
  <c r="C301" i="33"/>
  <c r="D300" i="33"/>
  <c r="C300" i="33"/>
  <c r="D299" i="33"/>
  <c r="C299" i="33"/>
  <c r="D298" i="33"/>
  <c r="C298" i="33"/>
  <c r="D297" i="33"/>
  <c r="C297" i="33"/>
  <c r="D296" i="33"/>
  <c r="C296" i="33"/>
  <c r="D295" i="33"/>
  <c r="C295" i="33"/>
  <c r="D294" i="33"/>
  <c r="C294" i="33"/>
  <c r="D293" i="33"/>
  <c r="C293" i="33"/>
  <c r="D292" i="33"/>
  <c r="C292" i="33"/>
  <c r="D291" i="33"/>
  <c r="C291" i="33"/>
  <c r="D290" i="33"/>
  <c r="C290" i="33"/>
  <c r="D289" i="33"/>
  <c r="C289" i="33"/>
  <c r="D288" i="33"/>
  <c r="C288" i="33"/>
  <c r="D287" i="33"/>
  <c r="C287" i="33"/>
  <c r="D286" i="33"/>
  <c r="C286" i="33"/>
  <c r="D285" i="33"/>
  <c r="C285" i="33"/>
  <c r="D284" i="33"/>
  <c r="C284" i="33"/>
  <c r="D283" i="33"/>
  <c r="C283" i="33"/>
  <c r="D282" i="33"/>
  <c r="C282" i="33"/>
  <c r="D281" i="33"/>
  <c r="C281" i="33"/>
  <c r="D280" i="33"/>
  <c r="C280" i="33"/>
  <c r="D279" i="33"/>
  <c r="C279" i="33"/>
  <c r="D278" i="33"/>
  <c r="C278" i="33"/>
  <c r="D277" i="33"/>
  <c r="C277" i="33"/>
  <c r="D276" i="33"/>
  <c r="C276" i="33"/>
  <c r="D275" i="33"/>
  <c r="C275" i="33"/>
  <c r="D274" i="33"/>
  <c r="C274" i="33"/>
  <c r="D273" i="33"/>
  <c r="C273" i="33"/>
  <c r="D272" i="33"/>
  <c r="C272" i="33"/>
  <c r="D271" i="33"/>
  <c r="C271" i="33"/>
  <c r="D270" i="33"/>
  <c r="C270" i="33"/>
  <c r="D269" i="33"/>
  <c r="C269" i="33"/>
  <c r="D268" i="33"/>
  <c r="C268" i="33"/>
  <c r="D267" i="33"/>
  <c r="C267" i="33"/>
  <c r="D266" i="33"/>
  <c r="C266" i="33"/>
  <c r="D265" i="33"/>
  <c r="C265" i="33"/>
  <c r="D264" i="33"/>
  <c r="C264" i="33"/>
  <c r="D263" i="33"/>
  <c r="C263" i="33"/>
  <c r="D262" i="33"/>
  <c r="C262" i="33"/>
  <c r="D261" i="33"/>
  <c r="C261" i="33"/>
  <c r="D260" i="33"/>
  <c r="C260" i="33"/>
  <c r="D259" i="33"/>
  <c r="C259" i="33"/>
  <c r="D258" i="33"/>
  <c r="C258" i="33"/>
  <c r="D257" i="33"/>
  <c r="C257" i="33"/>
  <c r="D256" i="33"/>
  <c r="C256" i="33"/>
  <c r="D255" i="33"/>
  <c r="C255" i="33"/>
  <c r="D254" i="33"/>
  <c r="C254" i="33"/>
  <c r="D253" i="33"/>
  <c r="C253" i="33"/>
  <c r="D252" i="33"/>
  <c r="C252" i="33"/>
  <c r="D251" i="33"/>
  <c r="C251" i="33"/>
  <c r="D250" i="33"/>
  <c r="C250" i="33"/>
  <c r="D249" i="33"/>
  <c r="C249" i="33"/>
  <c r="D248" i="33"/>
  <c r="C248" i="33"/>
  <c r="D247" i="33"/>
  <c r="C247" i="33"/>
  <c r="D246" i="33"/>
  <c r="C246" i="33"/>
  <c r="D245" i="33"/>
  <c r="C245" i="33"/>
  <c r="D244" i="33"/>
  <c r="C244" i="33"/>
  <c r="D243" i="33"/>
  <c r="C243" i="33"/>
  <c r="D242" i="33"/>
  <c r="C242" i="33"/>
  <c r="D241" i="33"/>
  <c r="C241" i="33"/>
  <c r="D240" i="33"/>
  <c r="C240" i="33"/>
  <c r="D239" i="33"/>
  <c r="C239" i="33"/>
  <c r="D238" i="33"/>
  <c r="C238" i="33"/>
  <c r="D237" i="33"/>
  <c r="C237" i="33"/>
  <c r="D236" i="33"/>
  <c r="C236" i="33"/>
  <c r="D235" i="33"/>
  <c r="C235" i="33"/>
  <c r="D234" i="33"/>
  <c r="C234" i="33"/>
  <c r="D233" i="33"/>
  <c r="C233" i="33"/>
  <c r="D232" i="33"/>
  <c r="C232" i="33"/>
  <c r="D231" i="33"/>
  <c r="C231" i="33"/>
  <c r="D230" i="33"/>
  <c r="C230" i="33"/>
  <c r="D229" i="33"/>
  <c r="C229" i="33"/>
  <c r="D228" i="33"/>
  <c r="C228" i="33"/>
  <c r="D227" i="33"/>
  <c r="C227" i="33"/>
  <c r="D226" i="33"/>
  <c r="C226" i="33"/>
  <c r="D225" i="33"/>
  <c r="C225" i="33"/>
  <c r="D224" i="33"/>
  <c r="C224" i="33"/>
  <c r="D223" i="33"/>
  <c r="C223" i="33"/>
  <c r="D222" i="33"/>
  <c r="C222" i="33"/>
  <c r="D221" i="33"/>
  <c r="C221" i="33"/>
  <c r="D220" i="33"/>
  <c r="C220" i="33"/>
  <c r="D219" i="33"/>
  <c r="C219" i="33"/>
  <c r="D218" i="33"/>
  <c r="C218" i="33"/>
  <c r="D217" i="33"/>
  <c r="C217" i="33"/>
  <c r="D216" i="33"/>
  <c r="C216" i="33"/>
  <c r="D215" i="33"/>
  <c r="C215" i="33"/>
  <c r="D214" i="33"/>
  <c r="C214" i="33"/>
  <c r="D213" i="33"/>
  <c r="C213" i="33"/>
  <c r="D212" i="33"/>
  <c r="C212" i="33"/>
  <c r="D211" i="33"/>
  <c r="C211" i="33"/>
  <c r="D210" i="33"/>
  <c r="C210" i="33"/>
  <c r="D209" i="33"/>
  <c r="C209" i="33"/>
  <c r="D208" i="33"/>
  <c r="C208" i="33"/>
  <c r="D207" i="33"/>
  <c r="C207" i="33"/>
  <c r="D206" i="33"/>
  <c r="C206" i="33"/>
  <c r="D205" i="33"/>
  <c r="C205" i="33"/>
  <c r="D204" i="33"/>
  <c r="C204" i="33"/>
  <c r="D203" i="33"/>
  <c r="C203" i="33"/>
  <c r="D202" i="33"/>
  <c r="C202" i="33"/>
  <c r="D201" i="33"/>
  <c r="C201" i="33"/>
  <c r="D200" i="33"/>
  <c r="C200" i="33"/>
  <c r="D199" i="33"/>
  <c r="C199" i="33"/>
  <c r="D198" i="33"/>
  <c r="C198" i="33"/>
  <c r="D197" i="33"/>
  <c r="C197" i="33"/>
  <c r="D196" i="33"/>
  <c r="C196" i="33"/>
  <c r="D195" i="33"/>
  <c r="C195" i="33"/>
  <c r="D194" i="33"/>
  <c r="C194" i="33"/>
  <c r="D193" i="33"/>
  <c r="C193" i="33"/>
  <c r="D192" i="33"/>
  <c r="C192" i="33"/>
  <c r="D191" i="33"/>
  <c r="C191" i="33"/>
  <c r="D190" i="33"/>
  <c r="C190" i="33"/>
  <c r="D189" i="33"/>
  <c r="C189" i="33"/>
  <c r="D188" i="33"/>
  <c r="C188" i="33"/>
  <c r="D187" i="33"/>
  <c r="C187" i="33"/>
  <c r="D186" i="33"/>
  <c r="C186" i="33"/>
  <c r="D185" i="33"/>
  <c r="C185" i="33"/>
  <c r="D184" i="33"/>
  <c r="C184" i="33"/>
  <c r="D183" i="33"/>
  <c r="C183" i="33"/>
  <c r="D182" i="33"/>
  <c r="C182" i="33"/>
  <c r="D181" i="33"/>
  <c r="C181" i="33"/>
  <c r="D180" i="33"/>
  <c r="C180" i="33"/>
  <c r="D179" i="33"/>
  <c r="C179" i="33"/>
  <c r="D178" i="33"/>
  <c r="C178" i="33"/>
  <c r="D177" i="33"/>
  <c r="C177" i="33"/>
  <c r="D176" i="33"/>
  <c r="C176" i="33"/>
  <c r="D175" i="33"/>
  <c r="C175" i="33"/>
  <c r="D174" i="33"/>
  <c r="C174" i="33"/>
  <c r="D173" i="33"/>
  <c r="C173" i="33"/>
  <c r="D172" i="33"/>
  <c r="C172" i="33"/>
  <c r="D171" i="33"/>
  <c r="C171" i="33"/>
  <c r="D170" i="33"/>
  <c r="C170" i="33"/>
  <c r="D169" i="33"/>
  <c r="C169" i="33"/>
  <c r="D168" i="33"/>
  <c r="C168" i="33"/>
  <c r="D167" i="33"/>
  <c r="C167" i="33"/>
  <c r="D166" i="33"/>
  <c r="C166" i="33"/>
  <c r="D165" i="33"/>
  <c r="C165" i="33"/>
  <c r="D164" i="33"/>
  <c r="C164" i="33"/>
  <c r="D163" i="33"/>
  <c r="C163" i="33"/>
  <c r="D162" i="33"/>
  <c r="C162" i="33"/>
  <c r="D161" i="33"/>
  <c r="C161" i="33"/>
  <c r="D160" i="33"/>
  <c r="C160" i="33"/>
  <c r="D159" i="33"/>
  <c r="C159" i="33"/>
  <c r="D158" i="33"/>
  <c r="C158" i="33"/>
  <c r="D157" i="33"/>
  <c r="C157" i="33"/>
  <c r="D156" i="33"/>
  <c r="C156" i="33"/>
  <c r="D155" i="33"/>
  <c r="C155" i="33"/>
  <c r="D154" i="33"/>
  <c r="C154" i="33"/>
  <c r="D153" i="33"/>
  <c r="C153" i="33"/>
  <c r="D152" i="33"/>
  <c r="C152" i="33"/>
  <c r="D151" i="33"/>
  <c r="C151" i="33"/>
  <c r="D150" i="33"/>
  <c r="C150" i="33"/>
  <c r="D149" i="33"/>
  <c r="C149" i="33"/>
  <c r="D148" i="33"/>
  <c r="C148" i="33"/>
  <c r="D147" i="33"/>
  <c r="C147" i="33"/>
  <c r="D146" i="33"/>
  <c r="C146" i="33"/>
  <c r="D145" i="33"/>
  <c r="C145" i="33"/>
  <c r="D144" i="33"/>
  <c r="C144" i="33"/>
  <c r="D143" i="33"/>
  <c r="C143" i="33"/>
  <c r="D142" i="33"/>
  <c r="C142" i="33"/>
  <c r="D141" i="33"/>
  <c r="C141" i="33"/>
  <c r="D140" i="33"/>
  <c r="C140" i="33"/>
  <c r="D139" i="33"/>
  <c r="C139" i="33"/>
  <c r="D138" i="33"/>
  <c r="C138" i="33"/>
  <c r="D137" i="33"/>
  <c r="C137" i="33"/>
  <c r="D136" i="33"/>
  <c r="C136" i="33"/>
  <c r="D135" i="33"/>
  <c r="C135" i="33"/>
  <c r="D134" i="33"/>
  <c r="C134" i="33"/>
  <c r="D133" i="33"/>
  <c r="C133" i="33"/>
  <c r="D132" i="33"/>
  <c r="C132" i="33"/>
  <c r="D131" i="33"/>
  <c r="C131" i="33"/>
  <c r="D130" i="33"/>
  <c r="C130" i="33"/>
  <c r="D129" i="33"/>
  <c r="C129" i="33"/>
  <c r="D128" i="33"/>
  <c r="C128" i="33"/>
  <c r="D127" i="33"/>
  <c r="C127" i="33"/>
  <c r="D126" i="33"/>
  <c r="C126" i="33"/>
  <c r="D125" i="33"/>
  <c r="C125" i="33"/>
  <c r="D124" i="33"/>
  <c r="C124" i="33"/>
  <c r="D123" i="33"/>
  <c r="C123" i="33"/>
  <c r="D122" i="33"/>
  <c r="C122" i="33"/>
  <c r="D121" i="33"/>
  <c r="C121" i="33"/>
  <c r="D120" i="33"/>
  <c r="C120" i="33"/>
  <c r="D119" i="33"/>
  <c r="C119" i="33"/>
  <c r="D118" i="33"/>
  <c r="C118" i="33"/>
  <c r="D117" i="33"/>
  <c r="C117" i="33"/>
  <c r="D116" i="33"/>
  <c r="C116" i="33"/>
  <c r="D115" i="33"/>
  <c r="C115" i="33"/>
  <c r="D114" i="33"/>
  <c r="C114" i="33"/>
  <c r="D113" i="33"/>
  <c r="C113" i="33"/>
  <c r="D112" i="33"/>
  <c r="C112" i="33"/>
  <c r="D111" i="33"/>
  <c r="C111" i="33"/>
  <c r="D110" i="33"/>
  <c r="C110" i="33"/>
  <c r="D109" i="33"/>
  <c r="C109" i="33"/>
  <c r="D108" i="33"/>
  <c r="C108" i="33"/>
  <c r="D107" i="33"/>
  <c r="C107" i="33"/>
  <c r="D106" i="33"/>
  <c r="C106" i="33"/>
  <c r="D105" i="33"/>
  <c r="C105" i="33"/>
  <c r="D104" i="33"/>
  <c r="C104" i="33"/>
  <c r="D103" i="33"/>
  <c r="C103" i="33"/>
  <c r="D102" i="33"/>
  <c r="C102" i="33"/>
  <c r="D101" i="33"/>
  <c r="C101" i="33"/>
  <c r="D100" i="33"/>
  <c r="C100" i="33"/>
  <c r="D99" i="33"/>
  <c r="C99" i="33"/>
  <c r="D98" i="33"/>
  <c r="C98" i="33"/>
  <c r="D97" i="33"/>
  <c r="C97" i="33"/>
  <c r="D96" i="33"/>
  <c r="C96" i="33"/>
  <c r="D95" i="33"/>
  <c r="C95" i="33"/>
  <c r="D94" i="33"/>
  <c r="C94" i="33"/>
  <c r="D93" i="33"/>
  <c r="C93" i="33"/>
  <c r="D92" i="33"/>
  <c r="C92" i="33"/>
  <c r="D91" i="33"/>
  <c r="C91" i="33"/>
  <c r="D90" i="33"/>
  <c r="C90" i="33"/>
  <c r="D89" i="33"/>
  <c r="C89" i="33"/>
  <c r="D88" i="33"/>
  <c r="C88" i="33"/>
  <c r="D87" i="33"/>
  <c r="C87" i="33"/>
  <c r="D86" i="33"/>
  <c r="C86" i="33"/>
  <c r="D85" i="33"/>
  <c r="C85" i="33"/>
  <c r="D84" i="33"/>
  <c r="C84" i="33"/>
  <c r="D83" i="33"/>
  <c r="C83" i="33"/>
  <c r="D82" i="33"/>
  <c r="C82" i="33"/>
  <c r="D81" i="33"/>
  <c r="C81" i="33"/>
  <c r="D80" i="33"/>
  <c r="C80" i="33"/>
  <c r="D79" i="33"/>
  <c r="C79" i="33"/>
  <c r="D78" i="33"/>
  <c r="C78" i="33"/>
  <c r="D77" i="33"/>
  <c r="C77" i="33"/>
  <c r="D76" i="33"/>
  <c r="C76" i="33"/>
  <c r="D75" i="33"/>
  <c r="C75" i="33"/>
  <c r="D74" i="33"/>
  <c r="C74" i="33"/>
  <c r="D73" i="33"/>
  <c r="C73" i="33"/>
  <c r="D72" i="33"/>
  <c r="C72" i="33"/>
  <c r="D71" i="33"/>
  <c r="C71" i="33"/>
  <c r="D70" i="33"/>
  <c r="C70" i="33"/>
  <c r="D69" i="33"/>
  <c r="C69" i="33"/>
  <c r="D68" i="33"/>
  <c r="C68" i="33"/>
  <c r="D67" i="33"/>
  <c r="C67" i="33"/>
  <c r="D66" i="33"/>
  <c r="C66" i="33"/>
  <c r="D65" i="33"/>
  <c r="C65" i="33"/>
  <c r="D64" i="33"/>
  <c r="C64" i="33"/>
  <c r="D63" i="33"/>
  <c r="C63" i="33"/>
  <c r="D62" i="33"/>
  <c r="C62" i="33"/>
  <c r="D61" i="33"/>
  <c r="C61" i="33"/>
  <c r="D60" i="33"/>
  <c r="C60" i="33"/>
  <c r="D59" i="33"/>
  <c r="C59" i="33"/>
  <c r="D58" i="33"/>
  <c r="C58" i="33"/>
  <c r="D57" i="33"/>
  <c r="C57" i="33"/>
  <c r="D56" i="33"/>
  <c r="C56" i="33"/>
  <c r="D55" i="33"/>
  <c r="C55" i="33"/>
  <c r="D54" i="33"/>
  <c r="C54" i="33"/>
  <c r="D53" i="33"/>
  <c r="C53" i="33"/>
  <c r="D52" i="33"/>
  <c r="C52" i="33"/>
  <c r="D51" i="33"/>
  <c r="C51" i="33"/>
  <c r="D50" i="33"/>
  <c r="C50" i="33"/>
  <c r="D49" i="33"/>
  <c r="C49" i="33"/>
  <c r="D48" i="33"/>
  <c r="C48" i="33"/>
  <c r="D47" i="33"/>
  <c r="C47" i="33"/>
  <c r="D46" i="33"/>
  <c r="C46" i="33"/>
  <c r="D45" i="33"/>
  <c r="C45" i="33"/>
  <c r="D44" i="33"/>
  <c r="C44" i="33"/>
  <c r="D43" i="33"/>
  <c r="C43" i="33"/>
  <c r="D42" i="33"/>
  <c r="C42" i="33"/>
  <c r="D41" i="33"/>
  <c r="C41" i="33"/>
  <c r="D40" i="33"/>
  <c r="C40" i="33"/>
  <c r="D39" i="33"/>
  <c r="C39" i="33"/>
  <c r="D38" i="33"/>
  <c r="C38" i="33"/>
  <c r="D37" i="33"/>
  <c r="C37" i="33"/>
  <c r="D36" i="33"/>
  <c r="C36" i="33"/>
  <c r="D35" i="33"/>
  <c r="C35" i="33"/>
  <c r="D34" i="33"/>
  <c r="C34" i="33"/>
  <c r="D33" i="33"/>
  <c r="C33" i="33"/>
  <c r="D32" i="33"/>
  <c r="C32" i="33"/>
  <c r="D31" i="33"/>
  <c r="C31" i="33"/>
  <c r="D30" i="33"/>
  <c r="C30" i="33"/>
  <c r="D29" i="33"/>
  <c r="C29" i="33"/>
  <c r="D28" i="33"/>
  <c r="C28" i="33"/>
  <c r="D27" i="33"/>
  <c r="C27" i="33"/>
  <c r="D26" i="33"/>
  <c r="C26" i="33"/>
  <c r="D25" i="33"/>
  <c r="C25" i="33"/>
  <c r="D24" i="33"/>
  <c r="C24" i="33"/>
  <c r="D23" i="33"/>
  <c r="C23" i="33"/>
  <c r="D22" i="33"/>
  <c r="C22" i="33"/>
  <c r="D21" i="33"/>
  <c r="C21" i="33"/>
  <c r="D20" i="33"/>
  <c r="C20" i="33"/>
  <c r="D19" i="33"/>
  <c r="C19" i="33"/>
  <c r="D18" i="33"/>
  <c r="C18" i="33"/>
  <c r="C17" i="33"/>
  <c r="D14" i="33"/>
  <c r="C14" i="33"/>
  <c r="D13" i="33"/>
  <c r="C13" i="33"/>
  <c r="D12" i="33"/>
  <c r="C12" i="33"/>
  <c r="D11" i="33"/>
  <c r="C11" i="33"/>
  <c r="D10" i="33"/>
  <c r="C10" i="33"/>
  <c r="C9" i="33"/>
  <c r="D8" i="33"/>
  <c r="C8" i="33"/>
  <c r="D7" i="33"/>
  <c r="C7" i="33"/>
  <c r="D6" i="33"/>
  <c r="C6" i="33"/>
  <c r="C15" i="27"/>
  <c r="D15" i="27"/>
  <c r="D32" i="16"/>
  <c r="B44" i="16"/>
  <c r="B37" i="16"/>
  <c r="D33" i="16"/>
  <c r="D34" i="16"/>
  <c r="D35" i="16"/>
  <c r="D36" i="16"/>
  <c r="D26" i="16"/>
  <c r="D25" i="16"/>
  <c r="B27" i="16"/>
  <c r="V2" i="18"/>
  <c r="D28" i="31"/>
  <c r="C28" i="31"/>
  <c r="P2" i="18"/>
  <c r="D32" i="26"/>
  <c r="C32" i="26"/>
  <c r="D31" i="26"/>
  <c r="C31" i="26"/>
  <c r="D30" i="26"/>
  <c r="C30" i="26"/>
  <c r="D29" i="26"/>
  <c r="C29" i="26"/>
  <c r="D28" i="26"/>
  <c r="C28" i="26"/>
  <c r="D27" i="26"/>
  <c r="C27" i="26"/>
  <c r="D26" i="26"/>
  <c r="C26" i="26"/>
  <c r="D25" i="26"/>
  <c r="C25" i="26"/>
  <c r="D24" i="26"/>
  <c r="C24" i="26"/>
  <c r="D33" i="21"/>
  <c r="C33" i="21"/>
  <c r="N2" i="18"/>
  <c r="S2" i="18"/>
  <c r="T2" i="18"/>
  <c r="U2" i="18"/>
  <c r="R2" i="18"/>
  <c r="AJ2" i="18"/>
  <c r="AK2" i="18"/>
  <c r="AI2" i="18"/>
  <c r="D42" i="16"/>
  <c r="D43" i="16"/>
  <c r="D41" i="16"/>
  <c r="M2" i="18"/>
  <c r="Y2" i="18" s="1"/>
  <c r="O2" i="18"/>
  <c r="D33" i="23"/>
  <c r="C33" i="23"/>
  <c r="D14" i="32"/>
  <c r="C14" i="32"/>
  <c r="D14" i="31"/>
  <c r="C14" i="31"/>
  <c r="D14" i="26"/>
  <c r="C14" i="26"/>
  <c r="D14" i="25"/>
  <c r="C14" i="25"/>
  <c r="D14" i="24"/>
  <c r="C14" i="24"/>
  <c r="D14" i="23"/>
  <c r="C14" i="23"/>
  <c r="C8" i="29"/>
  <c r="D8" i="29"/>
  <c r="C9" i="29"/>
  <c r="D9" i="29"/>
  <c r="C10" i="29"/>
  <c r="D10" i="29"/>
  <c r="C11" i="29"/>
  <c r="D11" i="29"/>
  <c r="C12" i="29"/>
  <c r="D12" i="29"/>
  <c r="C13" i="29"/>
  <c r="D13" i="29"/>
  <c r="C14" i="29"/>
  <c r="D14" i="29"/>
  <c r="C15" i="29"/>
  <c r="D15" i="29"/>
  <c r="C16" i="29"/>
  <c r="D16" i="29"/>
  <c r="C17" i="29"/>
  <c r="D17" i="29"/>
  <c r="C18" i="29"/>
  <c r="D18" i="29"/>
  <c r="C19" i="29"/>
  <c r="D19" i="29"/>
  <c r="C20" i="29"/>
  <c r="D20" i="29"/>
  <c r="C21" i="29"/>
  <c r="D21" i="29"/>
  <c r="C22" i="29"/>
  <c r="D22" i="29"/>
  <c r="C23" i="29"/>
  <c r="D23" i="29"/>
  <c r="C24" i="29"/>
  <c r="D24" i="29"/>
  <c r="C25" i="29"/>
  <c r="D25" i="29"/>
  <c r="D32" i="21"/>
  <c r="C32" i="21"/>
  <c r="C5" i="19"/>
  <c r="D5" i="19"/>
  <c r="C6" i="19"/>
  <c r="D6" i="19"/>
  <c r="C7" i="19"/>
  <c r="D7" i="19"/>
  <c r="C8" i="19"/>
  <c r="D8" i="19"/>
  <c r="C9" i="19"/>
  <c r="D9" i="19"/>
  <c r="C10" i="19"/>
  <c r="D10" i="19"/>
  <c r="C11" i="19"/>
  <c r="D11" i="19"/>
  <c r="C12" i="19"/>
  <c r="D12" i="19"/>
  <c r="C13" i="19"/>
  <c r="D13" i="19"/>
  <c r="C14" i="19"/>
  <c r="D14" i="19"/>
  <c r="C15" i="19"/>
  <c r="D15" i="19"/>
  <c r="C16" i="19"/>
  <c r="D16" i="19"/>
  <c r="C17" i="19"/>
  <c r="D17" i="19"/>
  <c r="C18" i="19"/>
  <c r="D18" i="19"/>
  <c r="C19" i="19"/>
  <c r="D19" i="19"/>
  <c r="C20" i="19"/>
  <c r="D20" i="19"/>
  <c r="C21" i="19"/>
  <c r="D21" i="19"/>
  <c r="C22" i="19"/>
  <c r="D22" i="19"/>
  <c r="C23" i="19"/>
  <c r="D23" i="19"/>
  <c r="C24" i="19"/>
  <c r="D24" i="19"/>
  <c r="C25" i="19"/>
  <c r="D25" i="19"/>
  <c r="C26" i="19"/>
  <c r="D26" i="19"/>
  <c r="C27" i="19"/>
  <c r="D27" i="19"/>
  <c r="C28" i="19"/>
  <c r="D28" i="19"/>
  <c r="C29" i="19"/>
  <c r="D29" i="19"/>
  <c r="C30" i="19"/>
  <c r="D30" i="19"/>
  <c r="C31" i="19"/>
  <c r="D31" i="19"/>
  <c r="C32" i="19"/>
  <c r="D32" i="19"/>
  <c r="C33" i="19"/>
  <c r="D33" i="19"/>
  <c r="C34" i="19"/>
  <c r="D34" i="19"/>
  <c r="C35" i="19"/>
  <c r="D35" i="19"/>
  <c r="C36" i="19"/>
  <c r="D36" i="19"/>
  <c r="C37" i="19"/>
  <c r="D37" i="19"/>
  <c r="C38" i="19"/>
  <c r="D38" i="19"/>
  <c r="C39" i="19"/>
  <c r="D39" i="19"/>
  <c r="C40" i="19"/>
  <c r="D40" i="19"/>
  <c r="C41" i="19"/>
  <c r="D41" i="19"/>
  <c r="C42" i="19"/>
  <c r="D42" i="19"/>
  <c r="C43" i="19"/>
  <c r="D43" i="19"/>
  <c r="C44" i="19"/>
  <c r="D44" i="19"/>
  <c r="C45" i="19"/>
  <c r="D45" i="19"/>
  <c r="C46" i="19"/>
  <c r="D46" i="19"/>
  <c r="C47" i="19"/>
  <c r="D47" i="19"/>
  <c r="C48" i="19"/>
  <c r="D48" i="19"/>
  <c r="C49" i="19"/>
  <c r="D49" i="19"/>
  <c r="C50" i="19"/>
  <c r="D50" i="19"/>
  <c r="C51" i="19"/>
  <c r="D51" i="19"/>
  <c r="C52" i="19"/>
  <c r="D52" i="19"/>
  <c r="C53" i="19"/>
  <c r="D53" i="19"/>
  <c r="C54" i="19"/>
  <c r="D54" i="19"/>
  <c r="C55" i="19"/>
  <c r="D55" i="19"/>
  <c r="C56" i="19"/>
  <c r="D56" i="19"/>
  <c r="C57" i="19"/>
  <c r="D57" i="19"/>
  <c r="C58" i="19"/>
  <c r="D58" i="19"/>
  <c r="C59" i="19"/>
  <c r="D59" i="19"/>
  <c r="C60" i="19"/>
  <c r="D60" i="19"/>
  <c r="C61" i="19"/>
  <c r="D61" i="19"/>
  <c r="C62" i="19"/>
  <c r="D62" i="19"/>
  <c r="C63" i="19"/>
  <c r="D63" i="19"/>
  <c r="C64" i="19"/>
  <c r="D64" i="19"/>
  <c r="C65" i="19"/>
  <c r="D65" i="19"/>
  <c r="C66" i="19"/>
  <c r="D66" i="19"/>
  <c r="C67" i="19"/>
  <c r="D67" i="19"/>
  <c r="C68" i="19"/>
  <c r="D68" i="19"/>
  <c r="C69" i="19"/>
  <c r="D69" i="19"/>
  <c r="C70" i="19"/>
  <c r="D70" i="19"/>
  <c r="C71" i="19"/>
  <c r="D71" i="19"/>
  <c r="C72" i="19"/>
  <c r="D72" i="19"/>
  <c r="C73" i="19"/>
  <c r="D73" i="19"/>
  <c r="C74" i="19"/>
  <c r="D74" i="19"/>
  <c r="C75" i="19"/>
  <c r="D75" i="19"/>
  <c r="C76" i="19"/>
  <c r="D76" i="19"/>
  <c r="C77" i="19"/>
  <c r="D77" i="19"/>
  <c r="C78" i="19"/>
  <c r="D78" i="19"/>
  <c r="C79" i="19"/>
  <c r="D79" i="19"/>
  <c r="C80" i="19"/>
  <c r="D80" i="19"/>
  <c r="C81" i="19"/>
  <c r="D81" i="19"/>
  <c r="C82" i="19"/>
  <c r="D82" i="19"/>
  <c r="C83" i="19"/>
  <c r="D83" i="19"/>
  <c r="C84" i="19"/>
  <c r="D84" i="19"/>
  <c r="C85" i="19"/>
  <c r="D85" i="19"/>
  <c r="C86" i="19"/>
  <c r="D86" i="19"/>
  <c r="C87" i="19"/>
  <c r="D87" i="19"/>
  <c r="C88" i="19"/>
  <c r="D88" i="19"/>
  <c r="C89" i="19"/>
  <c r="D89" i="19"/>
  <c r="C90" i="19"/>
  <c r="D90" i="19"/>
  <c r="C91" i="19"/>
  <c r="D91" i="19"/>
  <c r="C92" i="19"/>
  <c r="D92" i="19"/>
  <c r="C93" i="19"/>
  <c r="D93" i="19"/>
  <c r="C94" i="19"/>
  <c r="D94" i="19"/>
  <c r="C95" i="19"/>
  <c r="D95" i="19"/>
  <c r="C96" i="19"/>
  <c r="D96" i="19"/>
  <c r="C97" i="19"/>
  <c r="D97" i="19"/>
  <c r="C98" i="19"/>
  <c r="D98" i="19"/>
  <c r="C99" i="19"/>
  <c r="D99" i="19"/>
  <c r="C100" i="19"/>
  <c r="D100" i="19"/>
  <c r="C101" i="19"/>
  <c r="D101" i="19"/>
  <c r="C102" i="19"/>
  <c r="D102" i="19"/>
  <c r="C103" i="19"/>
  <c r="D103" i="19"/>
  <c r="C104" i="19"/>
  <c r="D104" i="19"/>
  <c r="C105" i="19"/>
  <c r="D105" i="19"/>
  <c r="C106" i="19"/>
  <c r="D106" i="19"/>
  <c r="C107" i="19"/>
  <c r="D107" i="19"/>
  <c r="C108" i="19"/>
  <c r="D108" i="19"/>
  <c r="C109" i="19"/>
  <c r="D109" i="19"/>
  <c r="C110" i="19"/>
  <c r="D110" i="19"/>
  <c r="C111" i="19"/>
  <c r="D111" i="19"/>
  <c r="C112" i="19"/>
  <c r="D112" i="19"/>
  <c r="C113" i="19"/>
  <c r="D113" i="19"/>
  <c r="C114" i="19"/>
  <c r="D114" i="19"/>
  <c r="C115" i="19"/>
  <c r="D115" i="19"/>
  <c r="C116" i="19"/>
  <c r="D116" i="19"/>
  <c r="C117" i="19"/>
  <c r="D117" i="19"/>
  <c r="C118" i="19"/>
  <c r="D118" i="19"/>
  <c r="C119" i="19"/>
  <c r="D119" i="19"/>
  <c r="C120" i="19"/>
  <c r="D120" i="19"/>
  <c r="C121" i="19"/>
  <c r="D121" i="19"/>
  <c r="C122" i="19"/>
  <c r="D122" i="19"/>
  <c r="C123" i="19"/>
  <c r="D123" i="19"/>
  <c r="C124" i="19"/>
  <c r="D124" i="19"/>
  <c r="C125" i="19"/>
  <c r="D125" i="19"/>
  <c r="C126" i="19"/>
  <c r="D126" i="19"/>
  <c r="C127" i="19"/>
  <c r="D127" i="19"/>
  <c r="C128" i="19"/>
  <c r="D128" i="19"/>
  <c r="C129" i="19"/>
  <c r="D129" i="19"/>
  <c r="C130" i="19"/>
  <c r="D130" i="19"/>
  <c r="C131" i="19"/>
  <c r="D131" i="19"/>
  <c r="C132" i="19"/>
  <c r="D132" i="19"/>
  <c r="C133" i="19"/>
  <c r="D133" i="19"/>
  <c r="C134" i="19"/>
  <c r="D134" i="19"/>
  <c r="C135" i="19"/>
  <c r="D135" i="19"/>
  <c r="C136" i="19"/>
  <c r="D136" i="19"/>
  <c r="C137" i="19"/>
  <c r="D137" i="19"/>
  <c r="C138" i="19"/>
  <c r="D138" i="19"/>
  <c r="C139" i="19"/>
  <c r="D139" i="19"/>
  <c r="C140" i="19"/>
  <c r="D140" i="19"/>
  <c r="C141" i="19"/>
  <c r="D141" i="19"/>
  <c r="C142" i="19"/>
  <c r="D142" i="19"/>
  <c r="C143" i="19"/>
  <c r="D143" i="19"/>
  <c r="C144" i="19"/>
  <c r="D144" i="19"/>
  <c r="C145" i="19"/>
  <c r="D145" i="19"/>
  <c r="C146" i="19"/>
  <c r="D146" i="19"/>
  <c r="C147" i="19"/>
  <c r="D147" i="19"/>
  <c r="C148" i="19"/>
  <c r="D148" i="19"/>
  <c r="C149" i="19"/>
  <c r="D149" i="19"/>
  <c r="C150" i="19"/>
  <c r="D150" i="19"/>
  <c r="C151" i="19"/>
  <c r="D151" i="19"/>
  <c r="C152" i="19"/>
  <c r="D152" i="19"/>
  <c r="C153" i="19"/>
  <c r="D153" i="19"/>
  <c r="C154" i="19"/>
  <c r="D154" i="19"/>
  <c r="C155" i="19"/>
  <c r="D155" i="19"/>
  <c r="C156" i="19"/>
  <c r="D156" i="19"/>
  <c r="C157" i="19"/>
  <c r="D157" i="19"/>
  <c r="C158" i="19"/>
  <c r="D158" i="19"/>
  <c r="C159" i="19"/>
  <c r="D159" i="19"/>
  <c r="C160" i="19"/>
  <c r="D160" i="19"/>
  <c r="C161" i="19"/>
  <c r="D161" i="19"/>
  <c r="C162" i="19"/>
  <c r="D162" i="19"/>
  <c r="C163" i="19"/>
  <c r="D163" i="19"/>
  <c r="C164" i="19"/>
  <c r="D164" i="19"/>
  <c r="C165" i="19"/>
  <c r="D165" i="19"/>
  <c r="C166" i="19"/>
  <c r="D166" i="19"/>
  <c r="C167" i="19"/>
  <c r="D167" i="19"/>
  <c r="C168" i="19"/>
  <c r="D168" i="19"/>
  <c r="C169" i="19"/>
  <c r="D169" i="19"/>
  <c r="C170" i="19"/>
  <c r="D170" i="19"/>
  <c r="C171" i="19"/>
  <c r="D171" i="19"/>
  <c r="C172" i="19"/>
  <c r="D172" i="19"/>
  <c r="C173" i="19"/>
  <c r="D173" i="19"/>
  <c r="C174" i="19"/>
  <c r="D174" i="19"/>
  <c r="C175" i="19"/>
  <c r="D175" i="19"/>
  <c r="C176" i="19"/>
  <c r="D176" i="19"/>
  <c r="C177" i="19"/>
  <c r="D177" i="19"/>
  <c r="C178" i="19"/>
  <c r="D178" i="19"/>
  <c r="C179" i="19"/>
  <c r="D179" i="19"/>
  <c r="C180" i="19"/>
  <c r="D180" i="19"/>
  <c r="C181" i="19"/>
  <c r="D181" i="19"/>
  <c r="C182" i="19"/>
  <c r="D182" i="19"/>
  <c r="C183" i="19"/>
  <c r="D183" i="19"/>
  <c r="C184" i="19"/>
  <c r="D184" i="19"/>
  <c r="C185" i="19"/>
  <c r="D185" i="19"/>
  <c r="C186" i="19"/>
  <c r="D186" i="19"/>
  <c r="C187" i="19"/>
  <c r="D187" i="19"/>
  <c r="C188" i="19"/>
  <c r="D188" i="19"/>
  <c r="C189" i="19"/>
  <c r="D189" i="19"/>
  <c r="C190" i="19"/>
  <c r="D190" i="19"/>
  <c r="C191" i="19"/>
  <c r="D191" i="19"/>
  <c r="C192" i="19"/>
  <c r="D192" i="19"/>
  <c r="C193" i="19"/>
  <c r="D193" i="19"/>
  <c r="C194" i="19"/>
  <c r="D194" i="19"/>
  <c r="C195" i="19"/>
  <c r="D195" i="19"/>
  <c r="C196" i="19"/>
  <c r="D196" i="19"/>
  <c r="C197" i="19"/>
  <c r="D197" i="19"/>
  <c r="C198" i="19"/>
  <c r="D198" i="19"/>
  <c r="C199" i="19"/>
  <c r="D199" i="19"/>
  <c r="C200" i="19"/>
  <c r="D200" i="19"/>
  <c r="C201" i="19"/>
  <c r="D201" i="19"/>
  <c r="C202" i="19"/>
  <c r="D202" i="19"/>
  <c r="C203" i="19"/>
  <c r="D203" i="19"/>
  <c r="C204" i="19"/>
  <c r="D204" i="19"/>
  <c r="C205" i="19"/>
  <c r="D205" i="19"/>
  <c r="C206" i="19"/>
  <c r="D206" i="19"/>
  <c r="C207" i="19"/>
  <c r="D207" i="19"/>
  <c r="C208" i="19"/>
  <c r="D208" i="19"/>
  <c r="C209" i="19"/>
  <c r="D209" i="19"/>
  <c r="C210" i="19"/>
  <c r="D210" i="19"/>
  <c r="C211" i="19"/>
  <c r="D211" i="19"/>
  <c r="C212" i="19"/>
  <c r="D212" i="19"/>
  <c r="C213" i="19"/>
  <c r="D213" i="19"/>
  <c r="C214" i="19"/>
  <c r="D214" i="19"/>
  <c r="C215" i="19"/>
  <c r="D215" i="19"/>
  <c r="C216" i="19"/>
  <c r="D216" i="19"/>
  <c r="C217" i="19"/>
  <c r="D217" i="19"/>
  <c r="C218" i="19"/>
  <c r="D218" i="19"/>
  <c r="C219" i="19"/>
  <c r="D219" i="19"/>
  <c r="C220" i="19"/>
  <c r="D220" i="19"/>
  <c r="C221" i="19"/>
  <c r="D221" i="19"/>
  <c r="C222" i="19"/>
  <c r="D222" i="19"/>
  <c r="C223" i="19"/>
  <c r="D223" i="19"/>
  <c r="C224" i="19"/>
  <c r="D224" i="19"/>
  <c r="C225" i="19"/>
  <c r="D225" i="19"/>
  <c r="C226" i="19"/>
  <c r="D226" i="19"/>
  <c r="C227" i="19"/>
  <c r="D227" i="19"/>
  <c r="C228" i="19"/>
  <c r="D228" i="19"/>
  <c r="C229" i="19"/>
  <c r="D229" i="19"/>
  <c r="C230" i="19"/>
  <c r="D230" i="19"/>
  <c r="C231" i="19"/>
  <c r="D231" i="19"/>
  <c r="C232" i="19"/>
  <c r="D232" i="19"/>
  <c r="C233" i="19"/>
  <c r="D233" i="19"/>
  <c r="C234" i="19"/>
  <c r="D234" i="19"/>
  <c r="C235" i="19"/>
  <c r="D235" i="19"/>
  <c r="C236" i="19"/>
  <c r="D236" i="19"/>
  <c r="C237" i="19"/>
  <c r="D237" i="19"/>
  <c r="C238" i="19"/>
  <c r="D238" i="19"/>
  <c r="C239" i="19"/>
  <c r="D239" i="19"/>
  <c r="C240" i="19"/>
  <c r="D240" i="19"/>
  <c r="C241" i="19"/>
  <c r="D241" i="19"/>
  <c r="C242" i="19"/>
  <c r="D242" i="19"/>
  <c r="C243" i="19"/>
  <c r="D243" i="19"/>
  <c r="C244" i="19"/>
  <c r="D244" i="19"/>
  <c r="C245" i="19"/>
  <c r="D245" i="19"/>
  <c r="C246" i="19"/>
  <c r="D246" i="19"/>
  <c r="C247" i="19"/>
  <c r="D247" i="19"/>
  <c r="C248" i="19"/>
  <c r="D248" i="19"/>
  <c r="C249" i="19"/>
  <c r="D249" i="19"/>
  <c r="C250" i="19"/>
  <c r="D250" i="19"/>
  <c r="C251" i="19"/>
  <c r="D251" i="19"/>
  <c r="C252" i="19"/>
  <c r="D252" i="19"/>
  <c r="C253" i="19"/>
  <c r="D253" i="19"/>
  <c r="C254" i="19"/>
  <c r="D254" i="19"/>
  <c r="C255" i="19"/>
  <c r="D255" i="19"/>
  <c r="C256" i="19"/>
  <c r="D256" i="19"/>
  <c r="C257" i="19"/>
  <c r="D257" i="19"/>
  <c r="C258" i="19"/>
  <c r="D258" i="19"/>
  <c r="C259" i="19"/>
  <c r="D259" i="19"/>
  <c r="C260" i="19"/>
  <c r="D260" i="19"/>
  <c r="C261" i="19"/>
  <c r="D261" i="19"/>
  <c r="C262" i="19"/>
  <c r="D262" i="19"/>
  <c r="C263" i="19"/>
  <c r="D263" i="19"/>
  <c r="C264" i="19"/>
  <c r="D264" i="19"/>
  <c r="C265" i="19"/>
  <c r="D265" i="19"/>
  <c r="C266" i="19"/>
  <c r="D266" i="19"/>
  <c r="C267" i="19"/>
  <c r="D267" i="19"/>
  <c r="C268" i="19"/>
  <c r="D268" i="19"/>
  <c r="C269" i="19"/>
  <c r="D269" i="19"/>
  <c r="C270" i="19"/>
  <c r="D270" i="19"/>
  <c r="C271" i="19"/>
  <c r="D271" i="19"/>
  <c r="C272" i="19"/>
  <c r="D272" i="19"/>
  <c r="C273" i="19"/>
  <c r="D273" i="19"/>
  <c r="C274" i="19"/>
  <c r="D274" i="19"/>
  <c r="C275" i="19"/>
  <c r="D275" i="19"/>
  <c r="C276" i="19"/>
  <c r="D276" i="19"/>
  <c r="C277" i="19"/>
  <c r="D277" i="19"/>
  <c r="C278" i="19"/>
  <c r="D278" i="19"/>
  <c r="C279" i="19"/>
  <c r="D279" i="19"/>
  <c r="C280" i="19"/>
  <c r="D280" i="19"/>
  <c r="C281" i="19"/>
  <c r="D281" i="19"/>
  <c r="C282" i="19"/>
  <c r="D282" i="19"/>
  <c r="C283" i="19"/>
  <c r="D283" i="19"/>
  <c r="C284" i="19"/>
  <c r="D284" i="19"/>
  <c r="C285" i="19"/>
  <c r="D285" i="19"/>
  <c r="C286" i="19"/>
  <c r="D286" i="19"/>
  <c r="C287" i="19"/>
  <c r="D287" i="19"/>
  <c r="C288" i="19"/>
  <c r="D288" i="19"/>
  <c r="C289" i="19"/>
  <c r="D289" i="19"/>
  <c r="C290" i="19"/>
  <c r="D290" i="19"/>
  <c r="C291" i="19"/>
  <c r="D291" i="19"/>
  <c r="C292" i="19"/>
  <c r="D292" i="19"/>
  <c r="C293" i="19"/>
  <c r="D293" i="19"/>
  <c r="C294" i="19"/>
  <c r="D294" i="19"/>
  <c r="C295" i="19"/>
  <c r="D295" i="19"/>
  <c r="C296" i="19"/>
  <c r="D296" i="19"/>
  <c r="C297" i="19"/>
  <c r="D297" i="19"/>
  <c r="C298" i="19"/>
  <c r="D298" i="19"/>
  <c r="C299" i="19"/>
  <c r="D299" i="19"/>
  <c r="C300" i="19"/>
  <c r="D300" i="19"/>
  <c r="C301" i="19"/>
  <c r="D301" i="19"/>
  <c r="C302" i="19"/>
  <c r="D302" i="19"/>
  <c r="C7" i="21"/>
  <c r="D7" i="21"/>
  <c r="C8" i="21"/>
  <c r="D8" i="21"/>
  <c r="C10" i="21"/>
  <c r="D10" i="21"/>
  <c r="C11" i="21"/>
  <c r="D11" i="21"/>
  <c r="C13" i="21"/>
  <c r="D13" i="21"/>
  <c r="C14" i="21"/>
  <c r="D14" i="21"/>
  <c r="C17" i="21"/>
  <c r="D17" i="21"/>
  <c r="C18" i="21"/>
  <c r="D18" i="21"/>
  <c r="C19" i="21"/>
  <c r="D19" i="21"/>
  <c r="C20" i="21"/>
  <c r="D20" i="21"/>
  <c r="C21" i="21"/>
  <c r="D21" i="21"/>
  <c r="C22" i="21"/>
  <c r="D22" i="21"/>
  <c r="C23" i="21"/>
  <c r="D23" i="21"/>
  <c r="C24" i="21"/>
  <c r="D24" i="21"/>
  <c r="C25" i="21"/>
  <c r="D25" i="21"/>
  <c r="C26" i="21"/>
  <c r="D26" i="21"/>
  <c r="C27" i="21"/>
  <c r="D27" i="21"/>
  <c r="C28" i="21"/>
  <c r="D28" i="21"/>
  <c r="C29" i="21"/>
  <c r="D29" i="21"/>
  <c r="C30" i="21"/>
  <c r="D30" i="21"/>
  <c r="C31" i="21"/>
  <c r="D31" i="21"/>
  <c r="C35" i="21"/>
  <c r="D35" i="21"/>
  <c r="C36" i="21"/>
  <c r="D36" i="21"/>
  <c r="C37" i="21"/>
  <c r="D37" i="21"/>
  <c r="C38" i="21"/>
  <c r="D38" i="21"/>
  <c r="C39" i="21"/>
  <c r="D39" i="21"/>
  <c r="C40" i="21"/>
  <c r="D40" i="21"/>
  <c r="C41" i="21"/>
  <c r="D41" i="21"/>
  <c r="C42" i="21"/>
  <c r="D42" i="21"/>
  <c r="C43" i="21"/>
  <c r="D43" i="21"/>
  <c r="C44" i="21"/>
  <c r="D44" i="21"/>
  <c r="C45" i="21"/>
  <c r="D45" i="21"/>
  <c r="C46" i="21"/>
  <c r="D46" i="21"/>
  <c r="C47" i="21"/>
  <c r="D47" i="21"/>
  <c r="C48" i="21"/>
  <c r="D48" i="21"/>
  <c r="C49" i="21"/>
  <c r="D49" i="21"/>
  <c r="C50" i="21"/>
  <c r="D50" i="21"/>
  <c r="C51" i="21"/>
  <c r="D51" i="21"/>
  <c r="C52" i="21"/>
  <c r="D52" i="21"/>
  <c r="C53" i="21"/>
  <c r="D53" i="21"/>
  <c r="C54" i="21"/>
  <c r="D54" i="21"/>
  <c r="C55" i="21"/>
  <c r="D55" i="21"/>
  <c r="C56" i="21"/>
  <c r="D56" i="21"/>
  <c r="C57" i="21"/>
  <c r="D57" i="21"/>
  <c r="C58" i="21"/>
  <c r="D58" i="21"/>
  <c r="C59" i="21"/>
  <c r="D59" i="21"/>
  <c r="C60" i="21"/>
  <c r="D60" i="21"/>
  <c r="C61" i="21"/>
  <c r="D61" i="21"/>
  <c r="C62" i="21"/>
  <c r="D62" i="21"/>
  <c r="C63" i="21"/>
  <c r="D63" i="21"/>
  <c r="C64" i="21"/>
  <c r="D64" i="21"/>
  <c r="C65" i="21"/>
  <c r="D65" i="21"/>
  <c r="C66" i="21"/>
  <c r="D66" i="21"/>
  <c r="C67" i="21"/>
  <c r="D67" i="21"/>
  <c r="C68" i="21"/>
  <c r="D68" i="21"/>
  <c r="C69" i="21"/>
  <c r="D69" i="21"/>
  <c r="C70" i="21"/>
  <c r="D70" i="21"/>
  <c r="C71" i="21"/>
  <c r="D71" i="21"/>
  <c r="C72" i="21"/>
  <c r="D72" i="21"/>
  <c r="C73" i="21"/>
  <c r="D73" i="21"/>
  <c r="C74" i="21"/>
  <c r="D74" i="21"/>
  <c r="C75" i="21"/>
  <c r="D75" i="21"/>
  <c r="C76" i="21"/>
  <c r="D76" i="21"/>
  <c r="C77" i="21"/>
  <c r="D77" i="21"/>
  <c r="C78" i="21"/>
  <c r="D78" i="21"/>
  <c r="C79" i="21"/>
  <c r="D79" i="21"/>
  <c r="C80" i="21"/>
  <c r="D80" i="21"/>
  <c r="C81" i="21"/>
  <c r="D81" i="21"/>
  <c r="C82" i="21"/>
  <c r="D82" i="21"/>
  <c r="C83" i="21"/>
  <c r="D83" i="21"/>
  <c r="C84" i="21"/>
  <c r="D84" i="21"/>
  <c r="C85" i="21"/>
  <c r="D85" i="21"/>
  <c r="C86" i="21"/>
  <c r="D86" i="21"/>
  <c r="C87" i="21"/>
  <c r="D87" i="21"/>
  <c r="C88" i="21"/>
  <c r="D88" i="21"/>
  <c r="C89" i="21"/>
  <c r="D89" i="21"/>
  <c r="C90" i="21"/>
  <c r="D90" i="21"/>
  <c r="C91" i="21"/>
  <c r="D91" i="21"/>
  <c r="C92" i="21"/>
  <c r="D92" i="21"/>
  <c r="C93" i="21"/>
  <c r="D93" i="21"/>
  <c r="C94" i="21"/>
  <c r="D94" i="21"/>
  <c r="C95" i="21"/>
  <c r="D95" i="21"/>
  <c r="C96" i="21"/>
  <c r="D96" i="21"/>
  <c r="C97" i="21"/>
  <c r="D97" i="21"/>
  <c r="C98" i="21"/>
  <c r="D98" i="21"/>
  <c r="C99" i="21"/>
  <c r="D99" i="21"/>
  <c r="C100" i="21"/>
  <c r="D100" i="21"/>
  <c r="C101" i="21"/>
  <c r="D101" i="21"/>
  <c r="C102" i="21"/>
  <c r="D102" i="21"/>
  <c r="C103" i="21"/>
  <c r="D103" i="21"/>
  <c r="C104" i="21"/>
  <c r="D104" i="21"/>
  <c r="C105" i="21"/>
  <c r="D105" i="21"/>
  <c r="C106" i="21"/>
  <c r="D106" i="21"/>
  <c r="C107" i="21"/>
  <c r="D107" i="21"/>
  <c r="C108" i="21"/>
  <c r="D108" i="21"/>
  <c r="C109" i="21"/>
  <c r="D109" i="21"/>
  <c r="C110" i="21"/>
  <c r="D110" i="21"/>
  <c r="C111" i="21"/>
  <c r="D111" i="21"/>
  <c r="C112" i="21"/>
  <c r="D112" i="21"/>
  <c r="C113" i="21"/>
  <c r="D113" i="21"/>
  <c r="C114" i="21"/>
  <c r="D114" i="21"/>
  <c r="C115" i="21"/>
  <c r="D115" i="21"/>
  <c r="C116" i="21"/>
  <c r="D116" i="21"/>
  <c r="C117" i="21"/>
  <c r="D117" i="21"/>
  <c r="C118" i="21"/>
  <c r="D118" i="21"/>
  <c r="C119" i="21"/>
  <c r="D119" i="21"/>
  <c r="C120" i="21"/>
  <c r="D120" i="21"/>
  <c r="C121" i="21"/>
  <c r="D121" i="21"/>
  <c r="C122" i="21"/>
  <c r="D122" i="21"/>
  <c r="C123" i="21"/>
  <c r="D123" i="21"/>
  <c r="C124" i="21"/>
  <c r="D124" i="21"/>
  <c r="C125" i="21"/>
  <c r="D125" i="21"/>
  <c r="C126" i="21"/>
  <c r="D126" i="21"/>
  <c r="C127" i="21"/>
  <c r="D127" i="21"/>
  <c r="C128" i="21"/>
  <c r="D128" i="21"/>
  <c r="C129" i="21"/>
  <c r="D129" i="21"/>
  <c r="C130" i="21"/>
  <c r="D130" i="21"/>
  <c r="C131" i="21"/>
  <c r="D131" i="21"/>
  <c r="C132" i="21"/>
  <c r="D132" i="21"/>
  <c r="C133" i="21"/>
  <c r="D133" i="21"/>
  <c r="C134" i="21"/>
  <c r="D134" i="21"/>
  <c r="C135" i="21"/>
  <c r="D135" i="21"/>
  <c r="C136" i="21"/>
  <c r="D136" i="21"/>
  <c r="C137" i="21"/>
  <c r="D137" i="21"/>
  <c r="C138" i="21"/>
  <c r="D138" i="21"/>
  <c r="C139" i="21"/>
  <c r="D139" i="21"/>
  <c r="C140" i="21"/>
  <c r="D140" i="21"/>
  <c r="C141" i="21"/>
  <c r="D141" i="21"/>
  <c r="C142" i="21"/>
  <c r="D142" i="21"/>
  <c r="C143" i="21"/>
  <c r="D143" i="21"/>
  <c r="C144" i="21"/>
  <c r="D144" i="21"/>
  <c r="C145" i="21"/>
  <c r="D145" i="21"/>
  <c r="C146" i="21"/>
  <c r="D146" i="21"/>
  <c r="C147" i="21"/>
  <c r="D147" i="21"/>
  <c r="C148" i="21"/>
  <c r="D148" i="21"/>
  <c r="C149" i="21"/>
  <c r="D149" i="21"/>
  <c r="C150" i="21"/>
  <c r="D150" i="21"/>
  <c r="C151" i="21"/>
  <c r="D151" i="21"/>
  <c r="C152" i="21"/>
  <c r="D152" i="21"/>
  <c r="C153" i="21"/>
  <c r="D153" i="21"/>
  <c r="C154" i="21"/>
  <c r="D154" i="21"/>
  <c r="C155" i="21"/>
  <c r="D155" i="21"/>
  <c r="C156" i="21"/>
  <c r="D156" i="21"/>
  <c r="C157" i="21"/>
  <c r="D157" i="21"/>
  <c r="C158" i="21"/>
  <c r="D158" i="21"/>
  <c r="C159" i="21"/>
  <c r="D159" i="21"/>
  <c r="C160" i="21"/>
  <c r="D160" i="21"/>
  <c r="C161" i="21"/>
  <c r="D161" i="21"/>
  <c r="C162" i="21"/>
  <c r="D162" i="21"/>
  <c r="C163" i="21"/>
  <c r="D163" i="21"/>
  <c r="C164" i="21"/>
  <c r="D164" i="21"/>
  <c r="C165" i="21"/>
  <c r="D165" i="21"/>
  <c r="C166" i="21"/>
  <c r="D166" i="21"/>
  <c r="C167" i="21"/>
  <c r="D167" i="21"/>
  <c r="C168" i="21"/>
  <c r="D168" i="21"/>
  <c r="C169" i="21"/>
  <c r="D169" i="21"/>
  <c r="C170" i="21"/>
  <c r="D170" i="21"/>
  <c r="C171" i="21"/>
  <c r="D171" i="21"/>
  <c r="C172" i="21"/>
  <c r="D172" i="21"/>
  <c r="C173" i="21"/>
  <c r="D173" i="21"/>
  <c r="C174" i="21"/>
  <c r="D174" i="21"/>
  <c r="C175" i="21"/>
  <c r="D175" i="21"/>
  <c r="C176" i="21"/>
  <c r="D176" i="21"/>
  <c r="C177" i="21"/>
  <c r="D177" i="21"/>
  <c r="C178" i="21"/>
  <c r="D178" i="21"/>
  <c r="C179" i="21"/>
  <c r="D179" i="2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8" i="21"/>
  <c r="D208"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8" i="21"/>
  <c r="D308"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5" i="22"/>
  <c r="D5" i="22"/>
  <c r="C6" i="22"/>
  <c r="D6" i="22"/>
  <c r="C7" i="22"/>
  <c r="D7" i="22"/>
  <c r="C8" i="22"/>
  <c r="D8" i="22"/>
  <c r="C9" i="22"/>
  <c r="D9" i="22"/>
  <c r="C10" i="22"/>
  <c r="D10" i="22"/>
  <c r="C11" i="22"/>
  <c r="D11" i="22"/>
  <c r="C12" i="22"/>
  <c r="D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108" i="22"/>
  <c r="D108" i="22"/>
  <c r="C109" i="22"/>
  <c r="D109"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208" i="22"/>
  <c r="D208" i="22"/>
  <c r="C209" i="22"/>
  <c r="D209" i="22"/>
  <c r="C210" i="22"/>
  <c r="D210" i="22"/>
  <c r="C211" i="22"/>
  <c r="D211" i="22"/>
  <c r="C212" i="22"/>
  <c r="D212" i="22"/>
  <c r="C213" i="22"/>
  <c r="D213" i="22"/>
  <c r="C214" i="22"/>
  <c r="D214" i="22"/>
  <c r="C215" i="22"/>
  <c r="D215" i="22"/>
  <c r="C216" i="22"/>
  <c r="D216" i="22"/>
  <c r="C217" i="22"/>
  <c r="D217" i="22"/>
  <c r="C218" i="22"/>
  <c r="D218" i="22"/>
  <c r="C219" i="22"/>
  <c r="D219" i="22"/>
  <c r="C220" i="22"/>
  <c r="D220" i="22"/>
  <c r="C221" i="22"/>
  <c r="D221" i="22"/>
  <c r="C222" i="22"/>
  <c r="D222" i="22"/>
  <c r="C223" i="22"/>
  <c r="D223" i="22"/>
  <c r="C224" i="22"/>
  <c r="D224" i="22"/>
  <c r="C225" i="22"/>
  <c r="D225" i="22"/>
  <c r="C226" i="22"/>
  <c r="D226" i="22"/>
  <c r="C227" i="22"/>
  <c r="D227" i="22"/>
  <c r="C228" i="22"/>
  <c r="D228" i="22"/>
  <c r="C229" i="22"/>
  <c r="D229" i="22"/>
  <c r="C230" i="22"/>
  <c r="D230" i="22"/>
  <c r="C231" i="22"/>
  <c r="D231" i="22"/>
  <c r="C232" i="22"/>
  <c r="D232" i="22"/>
  <c r="C233" i="22"/>
  <c r="D233" i="22"/>
  <c r="C234" i="22"/>
  <c r="D234" i="22"/>
  <c r="C235" i="22"/>
  <c r="D235" i="22"/>
  <c r="C236" i="22"/>
  <c r="D236" i="22"/>
  <c r="C237" i="22"/>
  <c r="D237" i="22"/>
  <c r="C238" i="22"/>
  <c r="D238" i="22"/>
  <c r="C239" i="22"/>
  <c r="D239" i="22"/>
  <c r="C240" i="22"/>
  <c r="D240" i="22"/>
  <c r="C241" i="22"/>
  <c r="D241" i="22"/>
  <c r="C242" i="22"/>
  <c r="D242" i="22"/>
  <c r="C243" i="22"/>
  <c r="D243" i="22"/>
  <c r="C244" i="22"/>
  <c r="D244" i="22"/>
  <c r="C245" i="22"/>
  <c r="D245" i="22"/>
  <c r="C246" i="22"/>
  <c r="D246" i="22"/>
  <c r="C247" i="22"/>
  <c r="D247" i="22"/>
  <c r="C248" i="22"/>
  <c r="D248" i="22"/>
  <c r="C249" i="22"/>
  <c r="D249" i="22"/>
  <c r="C250" i="22"/>
  <c r="D250" i="22"/>
  <c r="C251" i="22"/>
  <c r="D251" i="22"/>
  <c r="C252" i="22"/>
  <c r="D252" i="22"/>
  <c r="C253" i="22"/>
  <c r="D253" i="22"/>
  <c r="C254" i="22"/>
  <c r="D254" i="22"/>
  <c r="C255" i="22"/>
  <c r="D255" i="22"/>
  <c r="C256" i="22"/>
  <c r="D256" i="22"/>
  <c r="C257" i="22"/>
  <c r="D257" i="22"/>
  <c r="C258" i="22"/>
  <c r="D258" i="22"/>
  <c r="C259" i="22"/>
  <c r="D259" i="22"/>
  <c r="C260" i="22"/>
  <c r="D260" i="22"/>
  <c r="C261" i="22"/>
  <c r="D261" i="22"/>
  <c r="C262" i="22"/>
  <c r="D262" i="22"/>
  <c r="C263" i="22"/>
  <c r="D263" i="22"/>
  <c r="C264" i="22"/>
  <c r="D264" i="22"/>
  <c r="C265" i="22"/>
  <c r="D265" i="22"/>
  <c r="C266" i="22"/>
  <c r="D266" i="22"/>
  <c r="C267" i="22"/>
  <c r="D267" i="22"/>
  <c r="C268" i="22"/>
  <c r="D268" i="22"/>
  <c r="C269" i="22"/>
  <c r="D269" i="22"/>
  <c r="C270" i="22"/>
  <c r="D270" i="22"/>
  <c r="C271" i="22"/>
  <c r="D271" i="22"/>
  <c r="C272" i="22"/>
  <c r="D272" i="22"/>
  <c r="C273" i="22"/>
  <c r="D273" i="22"/>
  <c r="C274" i="22"/>
  <c r="D274" i="22"/>
  <c r="C275" i="22"/>
  <c r="D275" i="22"/>
  <c r="C276" i="22"/>
  <c r="D276" i="22"/>
  <c r="C277" i="22"/>
  <c r="D277" i="22"/>
  <c r="C278" i="22"/>
  <c r="D278" i="22"/>
  <c r="C279" i="22"/>
  <c r="D279" i="22"/>
  <c r="C280" i="22"/>
  <c r="D280" i="22"/>
  <c r="C281" i="22"/>
  <c r="D281" i="22"/>
  <c r="C282" i="22"/>
  <c r="D282" i="22"/>
  <c r="C283" i="22"/>
  <c r="D283" i="22"/>
  <c r="C284" i="22"/>
  <c r="D284" i="22"/>
  <c r="C285" i="22"/>
  <c r="D285" i="22"/>
  <c r="C286" i="22"/>
  <c r="D286" i="22"/>
  <c r="C287" i="22"/>
  <c r="D287" i="22"/>
  <c r="C288" i="22"/>
  <c r="D288" i="22"/>
  <c r="C289" i="22"/>
  <c r="D289" i="22"/>
  <c r="C290" i="22"/>
  <c r="D290" i="22"/>
  <c r="C291" i="22"/>
  <c r="D291" i="22"/>
  <c r="C292" i="22"/>
  <c r="D292" i="22"/>
  <c r="C293" i="22"/>
  <c r="D293" i="22"/>
  <c r="C294" i="22"/>
  <c r="D294" i="22"/>
  <c r="C295" i="22"/>
  <c r="D295" i="22"/>
  <c r="C296" i="22"/>
  <c r="D296" i="22"/>
  <c r="C297" i="22"/>
  <c r="D297" i="22"/>
  <c r="C298" i="22"/>
  <c r="D298" i="22"/>
  <c r="C299" i="22"/>
  <c r="D299" i="22"/>
  <c r="C300" i="22"/>
  <c r="D300" i="22"/>
  <c r="C301" i="22"/>
  <c r="D301" i="22"/>
  <c r="C302" i="22"/>
  <c r="D302" i="22"/>
  <c r="C303" i="22"/>
  <c r="D303" i="22"/>
  <c r="C304" i="22"/>
  <c r="D304" i="22"/>
  <c r="C305" i="22"/>
  <c r="D305" i="22"/>
  <c r="C306" i="22"/>
  <c r="D306" i="22"/>
  <c r="C307" i="22"/>
  <c r="D307" i="22"/>
  <c r="C308" i="22"/>
  <c r="D308" i="22"/>
  <c r="C309" i="22"/>
  <c r="D309" i="22"/>
  <c r="C310" i="22"/>
  <c r="D310" i="22"/>
  <c r="C311" i="22"/>
  <c r="D311" i="22"/>
  <c r="C312" i="22"/>
  <c r="D312" i="22"/>
  <c r="C313" i="22"/>
  <c r="D313" i="22"/>
  <c r="C314" i="22"/>
  <c r="D314" i="22"/>
  <c r="C315" i="22"/>
  <c r="D315" i="22"/>
  <c r="C316" i="22"/>
  <c r="D316" i="22"/>
  <c r="C317" i="22"/>
  <c r="D317" i="22"/>
  <c r="C318" i="22"/>
  <c r="D318" i="22"/>
  <c r="C6" i="23"/>
  <c r="D6" i="23"/>
  <c r="C7" i="23"/>
  <c r="D7" i="23"/>
  <c r="C8" i="23"/>
  <c r="D8" i="23"/>
  <c r="C9" i="23"/>
  <c r="D9" i="23"/>
  <c r="C10" i="23"/>
  <c r="D10" i="23"/>
  <c r="C11" i="23"/>
  <c r="D11" i="23"/>
  <c r="C12" i="23"/>
  <c r="D12" i="23"/>
  <c r="C13" i="23"/>
  <c r="D13" i="23"/>
  <c r="C15" i="23"/>
  <c r="D15" i="23"/>
  <c r="C16" i="23"/>
  <c r="D16" i="23"/>
  <c r="C17" i="23"/>
  <c r="D17" i="23"/>
  <c r="C18" i="23"/>
  <c r="D18" i="23"/>
  <c r="C19" i="23"/>
  <c r="D19" i="23"/>
  <c r="C20" i="23"/>
  <c r="D20" i="23"/>
  <c r="C21" i="23"/>
  <c r="D21" i="23"/>
  <c r="C22" i="23"/>
  <c r="D22" i="23"/>
  <c r="C23" i="23"/>
  <c r="D23" i="23"/>
  <c r="C24" i="23"/>
  <c r="D24" i="23"/>
  <c r="C25" i="23"/>
  <c r="D25" i="23"/>
  <c r="C26" i="23"/>
  <c r="D26" i="23"/>
  <c r="C27" i="23"/>
  <c r="D27" i="23"/>
  <c r="C28" i="23"/>
  <c r="D28" i="23"/>
  <c r="C29" i="23"/>
  <c r="D29" i="23"/>
  <c r="C30" i="23"/>
  <c r="D30" i="23"/>
  <c r="C31" i="23"/>
  <c r="D31" i="23"/>
  <c r="C32" i="23"/>
  <c r="D32" i="23"/>
  <c r="C34" i="23"/>
  <c r="D34" i="23"/>
  <c r="C35" i="23"/>
  <c r="D35" i="23"/>
  <c r="C36" i="23"/>
  <c r="D36" i="23"/>
  <c r="C37" i="23"/>
  <c r="D37" i="23"/>
  <c r="C38" i="23"/>
  <c r="D38" i="23"/>
  <c r="C39" i="23"/>
  <c r="D39" i="23"/>
  <c r="C40" i="23"/>
  <c r="D40" i="23"/>
  <c r="C41" i="23"/>
  <c r="D41" i="23"/>
  <c r="C42" i="23"/>
  <c r="D42" i="23"/>
  <c r="C43" i="23"/>
  <c r="D43" i="23"/>
  <c r="C44" i="23"/>
  <c r="D44" i="23"/>
  <c r="C45" i="23"/>
  <c r="D45" i="23"/>
  <c r="C46" i="23"/>
  <c r="D46" i="23"/>
  <c r="C47" i="23"/>
  <c r="D47" i="23"/>
  <c r="C48" i="23"/>
  <c r="D48" i="23"/>
  <c r="C49" i="23"/>
  <c r="D49" i="23"/>
  <c r="C50" i="23"/>
  <c r="D50" i="23"/>
  <c r="C51" i="23"/>
  <c r="D51" i="23"/>
  <c r="C52" i="23"/>
  <c r="D52" i="23"/>
  <c r="C53" i="23"/>
  <c r="D53" i="23"/>
  <c r="C54" i="23"/>
  <c r="D54" i="23"/>
  <c r="C55" i="23"/>
  <c r="D55" i="23"/>
  <c r="C56" i="23"/>
  <c r="D56" i="23"/>
  <c r="C57" i="23"/>
  <c r="D57" i="23"/>
  <c r="C58" i="23"/>
  <c r="D58" i="23"/>
  <c r="C59" i="23"/>
  <c r="D59" i="23"/>
  <c r="C60" i="23"/>
  <c r="D60" i="23"/>
  <c r="C61" i="23"/>
  <c r="D61" i="23"/>
  <c r="C62" i="23"/>
  <c r="D62" i="23"/>
  <c r="C63" i="23"/>
  <c r="D63" i="23"/>
  <c r="C64" i="23"/>
  <c r="D64" i="23"/>
  <c r="C65" i="23"/>
  <c r="D65" i="23"/>
  <c r="C66" i="23"/>
  <c r="D66" i="23"/>
  <c r="C67" i="23"/>
  <c r="D67" i="23"/>
  <c r="C68" i="23"/>
  <c r="D68" i="23"/>
  <c r="C69" i="23"/>
  <c r="D69" i="23"/>
  <c r="C70" i="23"/>
  <c r="D70" i="23"/>
  <c r="C71" i="23"/>
  <c r="D71" i="23"/>
  <c r="C72" i="23"/>
  <c r="D72" i="23"/>
  <c r="C73" i="23"/>
  <c r="D73" i="23"/>
  <c r="C74" i="23"/>
  <c r="D74" i="23"/>
  <c r="C75" i="23"/>
  <c r="D75" i="23"/>
  <c r="C76" i="23"/>
  <c r="D76" i="23"/>
  <c r="C77" i="23"/>
  <c r="D77" i="23"/>
  <c r="C78" i="23"/>
  <c r="D78" i="23"/>
  <c r="C79" i="23"/>
  <c r="D79" i="23"/>
  <c r="C80" i="23"/>
  <c r="D80" i="23"/>
  <c r="C81" i="23"/>
  <c r="D81" i="23"/>
  <c r="C82" i="23"/>
  <c r="D82" i="23"/>
  <c r="C83" i="23"/>
  <c r="D83" i="23"/>
  <c r="C84" i="23"/>
  <c r="D84" i="23"/>
  <c r="C85" i="23"/>
  <c r="D85" i="23"/>
  <c r="C86" i="23"/>
  <c r="D86" i="23"/>
  <c r="C87" i="23"/>
  <c r="D87" i="23"/>
  <c r="C88" i="23"/>
  <c r="D88" i="23"/>
  <c r="C89" i="23"/>
  <c r="D89" i="23"/>
  <c r="C90" i="23"/>
  <c r="D90" i="23"/>
  <c r="C91" i="23"/>
  <c r="D91" i="23"/>
  <c r="C92" i="23"/>
  <c r="D92" i="23"/>
  <c r="C93" i="23"/>
  <c r="D93" i="23"/>
  <c r="C94" i="23"/>
  <c r="D94" i="23"/>
  <c r="C95" i="23"/>
  <c r="D95" i="23"/>
  <c r="C96" i="23"/>
  <c r="D96" i="23"/>
  <c r="C97" i="23"/>
  <c r="D97" i="23"/>
  <c r="C98" i="23"/>
  <c r="D98" i="23"/>
  <c r="C99" i="23"/>
  <c r="D99" i="23"/>
  <c r="C100" i="23"/>
  <c r="D100" i="23"/>
  <c r="C101" i="23"/>
  <c r="D101" i="23"/>
  <c r="C102" i="23"/>
  <c r="D102" i="23"/>
  <c r="C103" i="23"/>
  <c r="D103" i="23"/>
  <c r="C104" i="23"/>
  <c r="D104" i="23"/>
  <c r="C105" i="23"/>
  <c r="D105" i="23"/>
  <c r="C106" i="23"/>
  <c r="D106" i="23"/>
  <c r="C107" i="23"/>
  <c r="D107" i="23"/>
  <c r="C108" i="23"/>
  <c r="D108" i="23"/>
  <c r="C109" i="23"/>
  <c r="D109" i="23"/>
  <c r="C110" i="23"/>
  <c r="D110" i="23"/>
  <c r="C111" i="23"/>
  <c r="D111" i="23"/>
  <c r="C112" i="23"/>
  <c r="D112" i="23"/>
  <c r="C113" i="23"/>
  <c r="D113" i="23"/>
  <c r="C114" i="23"/>
  <c r="D114" i="23"/>
  <c r="C115" i="23"/>
  <c r="D115" i="23"/>
  <c r="C116" i="23"/>
  <c r="D116" i="23"/>
  <c r="C117" i="23"/>
  <c r="D117" i="23"/>
  <c r="C118" i="23"/>
  <c r="D118" i="23"/>
  <c r="C119" i="23"/>
  <c r="D119" i="23"/>
  <c r="C120" i="23"/>
  <c r="D120" i="23"/>
  <c r="C121" i="23"/>
  <c r="D121" i="23"/>
  <c r="C122" i="23"/>
  <c r="D122" i="23"/>
  <c r="C123" i="23"/>
  <c r="D123" i="23"/>
  <c r="C124" i="23"/>
  <c r="D124" i="23"/>
  <c r="C125" i="23"/>
  <c r="D125" i="23"/>
  <c r="C126" i="23"/>
  <c r="D126" i="23"/>
  <c r="C127" i="23"/>
  <c r="D127" i="23"/>
  <c r="C128" i="23"/>
  <c r="D128" i="23"/>
  <c r="C129" i="23"/>
  <c r="D129" i="23"/>
  <c r="C130" i="23"/>
  <c r="D130" i="23"/>
  <c r="C131" i="23"/>
  <c r="D131" i="23"/>
  <c r="C132" i="23"/>
  <c r="D132" i="23"/>
  <c r="C133" i="23"/>
  <c r="D133" i="23"/>
  <c r="C134" i="23"/>
  <c r="D134" i="23"/>
  <c r="C135" i="23"/>
  <c r="D135" i="23"/>
  <c r="C136" i="23"/>
  <c r="D136" i="23"/>
  <c r="C137" i="23"/>
  <c r="D137" i="23"/>
  <c r="C138" i="23"/>
  <c r="D138" i="23"/>
  <c r="C139" i="23"/>
  <c r="D139" i="23"/>
  <c r="C140" i="23"/>
  <c r="D140" i="23"/>
  <c r="C141" i="23"/>
  <c r="D141" i="23"/>
  <c r="C142" i="23"/>
  <c r="D142" i="23"/>
  <c r="C143" i="23"/>
  <c r="D143" i="23"/>
  <c r="C144" i="23"/>
  <c r="D144" i="23"/>
  <c r="C145" i="23"/>
  <c r="D145" i="23"/>
  <c r="C146" i="23"/>
  <c r="D146" i="23"/>
  <c r="C147" i="23"/>
  <c r="D147" i="23"/>
  <c r="C148" i="23"/>
  <c r="D148" i="23"/>
  <c r="C149" i="23"/>
  <c r="D149" i="23"/>
  <c r="C150" i="23"/>
  <c r="D150" i="23"/>
  <c r="C151" i="23"/>
  <c r="D151" i="23"/>
  <c r="C152" i="23"/>
  <c r="D152" i="23"/>
  <c r="C153" i="23"/>
  <c r="D153" i="23"/>
  <c r="C154" i="23"/>
  <c r="D154" i="23"/>
  <c r="C155" i="23"/>
  <c r="D155" i="23"/>
  <c r="C156" i="23"/>
  <c r="D156" i="23"/>
  <c r="C157" i="23"/>
  <c r="D157" i="23"/>
  <c r="C158" i="23"/>
  <c r="D158" i="23"/>
  <c r="C159" i="23"/>
  <c r="D159" i="23"/>
  <c r="C160" i="23"/>
  <c r="D160" i="23"/>
  <c r="C161" i="23"/>
  <c r="D161" i="23"/>
  <c r="C162" i="23"/>
  <c r="D162" i="23"/>
  <c r="C163" i="23"/>
  <c r="D163" i="23"/>
  <c r="C164" i="23"/>
  <c r="D164" i="23"/>
  <c r="C165" i="23"/>
  <c r="D165" i="23"/>
  <c r="C166" i="23"/>
  <c r="D166" i="23"/>
  <c r="C167" i="23"/>
  <c r="D167" i="23"/>
  <c r="C168" i="23"/>
  <c r="D168" i="23"/>
  <c r="C169" i="23"/>
  <c r="D169" i="23"/>
  <c r="C170" i="23"/>
  <c r="D170" i="23"/>
  <c r="C171" i="23"/>
  <c r="D171" i="23"/>
  <c r="C172" i="23"/>
  <c r="D172" i="23"/>
  <c r="C173" i="23"/>
  <c r="D173" i="23"/>
  <c r="C174" i="23"/>
  <c r="D174" i="23"/>
  <c r="C175" i="23"/>
  <c r="D175" i="23"/>
  <c r="C176" i="23"/>
  <c r="D176" i="23"/>
  <c r="C177" i="23"/>
  <c r="D177" i="23"/>
  <c r="C178" i="23"/>
  <c r="D178" i="23"/>
  <c r="C179" i="23"/>
  <c r="D179" i="23"/>
  <c r="C180" i="23"/>
  <c r="D180" i="23"/>
  <c r="C181" i="23"/>
  <c r="D181" i="23"/>
  <c r="C182" i="23"/>
  <c r="D182" i="23"/>
  <c r="C183" i="23"/>
  <c r="D183" i="23"/>
  <c r="C184" i="23"/>
  <c r="D184" i="23"/>
  <c r="C185" i="23"/>
  <c r="D185" i="23"/>
  <c r="C186" i="23"/>
  <c r="D186" i="23"/>
  <c r="C187" i="23"/>
  <c r="D187" i="23"/>
  <c r="C188" i="23"/>
  <c r="D188" i="23"/>
  <c r="C189" i="23"/>
  <c r="D189" i="23"/>
  <c r="C190" i="23"/>
  <c r="D190" i="23"/>
  <c r="C191" i="23"/>
  <c r="D191" i="23"/>
  <c r="C192" i="23"/>
  <c r="D192" i="23"/>
  <c r="C193" i="23"/>
  <c r="D193" i="23"/>
  <c r="C194" i="23"/>
  <c r="D194" i="23"/>
  <c r="C195" i="23"/>
  <c r="D195" i="23"/>
  <c r="C196" i="23"/>
  <c r="D196" i="23"/>
  <c r="C197" i="23"/>
  <c r="D197" i="23"/>
  <c r="C198" i="23"/>
  <c r="D198" i="23"/>
  <c r="C199" i="23"/>
  <c r="D199" i="23"/>
  <c r="C200" i="23"/>
  <c r="D200" i="23"/>
  <c r="C201" i="23"/>
  <c r="D201" i="23"/>
  <c r="C202" i="23"/>
  <c r="D202" i="23"/>
  <c r="C203" i="23"/>
  <c r="D203" i="23"/>
  <c r="C204" i="23"/>
  <c r="D204" i="23"/>
  <c r="C205" i="23"/>
  <c r="D205" i="23"/>
  <c r="C206" i="23"/>
  <c r="D206" i="23"/>
  <c r="C207" i="23"/>
  <c r="D207" i="23"/>
  <c r="C208" i="23"/>
  <c r="D208" i="23"/>
  <c r="C209" i="23"/>
  <c r="D209" i="23"/>
  <c r="C210" i="23"/>
  <c r="D210" i="23"/>
  <c r="C211" i="23"/>
  <c r="D211" i="23"/>
  <c r="C212" i="23"/>
  <c r="D212" i="23"/>
  <c r="C213" i="23"/>
  <c r="D213" i="23"/>
  <c r="C214" i="23"/>
  <c r="D214" i="23"/>
  <c r="C215" i="23"/>
  <c r="D215" i="23"/>
  <c r="C216" i="23"/>
  <c r="D216" i="23"/>
  <c r="C217" i="23"/>
  <c r="D217" i="23"/>
  <c r="C218" i="23"/>
  <c r="D218" i="23"/>
  <c r="C219" i="23"/>
  <c r="D219" i="23"/>
  <c r="C220" i="23"/>
  <c r="D220" i="23"/>
  <c r="C221" i="23"/>
  <c r="D221" i="23"/>
  <c r="C222" i="23"/>
  <c r="D222" i="23"/>
  <c r="C223" i="23"/>
  <c r="D223" i="23"/>
  <c r="C224" i="23"/>
  <c r="D224" i="23"/>
  <c r="C225" i="23"/>
  <c r="D225" i="23"/>
  <c r="C226" i="23"/>
  <c r="D226" i="23"/>
  <c r="C227" i="23"/>
  <c r="D227" i="23"/>
  <c r="C228" i="23"/>
  <c r="D228" i="23"/>
  <c r="C229" i="23"/>
  <c r="D229" i="23"/>
  <c r="C230" i="23"/>
  <c r="D230" i="23"/>
  <c r="C231" i="23"/>
  <c r="D231" i="23"/>
  <c r="C232" i="23"/>
  <c r="D232" i="23"/>
  <c r="C233" i="23"/>
  <c r="D233" i="23"/>
  <c r="C234" i="23"/>
  <c r="D234" i="23"/>
  <c r="C235" i="23"/>
  <c r="D235" i="23"/>
  <c r="C236" i="23"/>
  <c r="D236" i="23"/>
  <c r="C237" i="23"/>
  <c r="D237" i="23"/>
  <c r="C238" i="23"/>
  <c r="D238" i="23"/>
  <c r="C239" i="23"/>
  <c r="D239" i="23"/>
  <c r="C240" i="23"/>
  <c r="D240" i="23"/>
  <c r="C241" i="23"/>
  <c r="D241" i="23"/>
  <c r="C242" i="23"/>
  <c r="D242" i="23"/>
  <c r="C243" i="23"/>
  <c r="D243" i="23"/>
  <c r="C244" i="23"/>
  <c r="D244" i="23"/>
  <c r="C245" i="23"/>
  <c r="D245" i="23"/>
  <c r="C246" i="23"/>
  <c r="D246" i="23"/>
  <c r="C247" i="23"/>
  <c r="D247" i="23"/>
  <c r="C248" i="23"/>
  <c r="D248" i="23"/>
  <c r="C249" i="23"/>
  <c r="D249" i="23"/>
  <c r="C250" i="23"/>
  <c r="D250" i="23"/>
  <c r="C251" i="23"/>
  <c r="D251" i="23"/>
  <c r="C252" i="23"/>
  <c r="D252" i="23"/>
  <c r="C253" i="23"/>
  <c r="D253" i="23"/>
  <c r="C254" i="23"/>
  <c r="D254" i="23"/>
  <c r="C255" i="23"/>
  <c r="D255" i="23"/>
  <c r="C256" i="23"/>
  <c r="D256" i="23"/>
  <c r="C257" i="23"/>
  <c r="D257" i="23"/>
  <c r="C258" i="23"/>
  <c r="D258" i="23"/>
  <c r="C259" i="23"/>
  <c r="D259" i="23"/>
  <c r="C260" i="23"/>
  <c r="D260" i="23"/>
  <c r="C261" i="23"/>
  <c r="D261" i="23"/>
  <c r="C262" i="23"/>
  <c r="D262" i="23"/>
  <c r="C263" i="23"/>
  <c r="D263" i="23"/>
  <c r="C264" i="23"/>
  <c r="D264" i="23"/>
  <c r="C265" i="23"/>
  <c r="D265" i="23"/>
  <c r="C266" i="23"/>
  <c r="D266" i="23"/>
  <c r="C267" i="23"/>
  <c r="D267" i="23"/>
  <c r="C268" i="23"/>
  <c r="D268" i="23"/>
  <c r="C269" i="23"/>
  <c r="D269" i="23"/>
  <c r="C270" i="23"/>
  <c r="D270" i="23"/>
  <c r="C271" i="23"/>
  <c r="D271" i="23"/>
  <c r="C272" i="23"/>
  <c r="D272" i="23"/>
  <c r="C273" i="23"/>
  <c r="D273" i="23"/>
  <c r="C274" i="23"/>
  <c r="D274" i="23"/>
  <c r="C275" i="23"/>
  <c r="D275" i="23"/>
  <c r="C276" i="23"/>
  <c r="D276" i="23"/>
  <c r="C277" i="23"/>
  <c r="D277" i="23"/>
  <c r="C278" i="23"/>
  <c r="D278" i="23"/>
  <c r="C279" i="23"/>
  <c r="D279" i="23"/>
  <c r="C280" i="23"/>
  <c r="D280" i="23"/>
  <c r="C281" i="23"/>
  <c r="D281" i="23"/>
  <c r="C282" i="23"/>
  <c r="D282" i="23"/>
  <c r="C283" i="23"/>
  <c r="D283" i="23"/>
  <c r="C284" i="23"/>
  <c r="D284" i="23"/>
  <c r="C285" i="23"/>
  <c r="D285" i="23"/>
  <c r="C286" i="23"/>
  <c r="D286" i="23"/>
  <c r="C287" i="23"/>
  <c r="D287" i="23"/>
  <c r="C288" i="23"/>
  <c r="D288" i="23"/>
  <c r="C289" i="23"/>
  <c r="D289" i="23"/>
  <c r="C290" i="23"/>
  <c r="D290" i="23"/>
  <c r="C291" i="23"/>
  <c r="D291" i="23"/>
  <c r="C292" i="23"/>
  <c r="D292" i="23"/>
  <c r="C293" i="23"/>
  <c r="D293" i="23"/>
  <c r="C294" i="23"/>
  <c r="D294" i="23"/>
  <c r="C295" i="23"/>
  <c r="D295" i="23"/>
  <c r="C296" i="23"/>
  <c r="D296" i="23"/>
  <c r="C297" i="23"/>
  <c r="D297" i="23"/>
  <c r="C298" i="23"/>
  <c r="D298" i="23"/>
  <c r="C299" i="23"/>
  <c r="D299" i="23"/>
  <c r="C300" i="23"/>
  <c r="D300" i="23"/>
  <c r="C301" i="23"/>
  <c r="D301" i="23"/>
  <c r="C302" i="23"/>
  <c r="D302" i="23"/>
  <c r="C303" i="23"/>
  <c r="D303" i="23"/>
  <c r="C304" i="23"/>
  <c r="D304" i="23"/>
  <c r="C305" i="23"/>
  <c r="D305" i="23"/>
  <c r="C306" i="23"/>
  <c r="D306" i="23"/>
  <c r="C307" i="23"/>
  <c r="D307" i="23"/>
  <c r="C308" i="23"/>
  <c r="D308" i="23"/>
  <c r="C309" i="23"/>
  <c r="D309" i="23"/>
  <c r="C310" i="23"/>
  <c r="D310" i="23"/>
  <c r="C311" i="23"/>
  <c r="D311" i="23"/>
  <c r="C312" i="23"/>
  <c r="D312" i="23"/>
  <c r="C313" i="23"/>
  <c r="D313" i="23"/>
  <c r="C314" i="23"/>
  <c r="D314" i="23"/>
  <c r="C315" i="23"/>
  <c r="D315" i="23"/>
  <c r="C316" i="23"/>
  <c r="D316" i="23"/>
  <c r="C317" i="23"/>
  <c r="D317" i="23"/>
  <c r="C318" i="23"/>
  <c r="D318" i="23"/>
  <c r="C319" i="23"/>
  <c r="D319" i="23"/>
  <c r="C320" i="23"/>
  <c r="D320" i="23"/>
  <c r="C321" i="23"/>
  <c r="D321" i="23"/>
  <c r="C322" i="23"/>
  <c r="D322" i="23"/>
  <c r="C323" i="23"/>
  <c r="D323" i="23"/>
  <c r="C324" i="23"/>
  <c r="D324" i="23"/>
  <c r="C325" i="23"/>
  <c r="D325" i="23"/>
  <c r="C326" i="23"/>
  <c r="D326" i="23"/>
  <c r="C327" i="23"/>
  <c r="D327" i="23"/>
  <c r="C328" i="23"/>
  <c r="D328" i="23"/>
  <c r="C329" i="23"/>
  <c r="D329" i="23"/>
  <c r="C5" i="24"/>
  <c r="D5" i="24"/>
  <c r="C6" i="24"/>
  <c r="D6" i="24"/>
  <c r="C7" i="24"/>
  <c r="D7" i="24"/>
  <c r="C8" i="24"/>
  <c r="D8" i="24"/>
  <c r="C9" i="24"/>
  <c r="D9" i="24"/>
  <c r="C10" i="24"/>
  <c r="D10" i="24"/>
  <c r="C11" i="24"/>
  <c r="D11" i="24"/>
  <c r="C12" i="24"/>
  <c r="D12" i="24"/>
  <c r="C13" i="24"/>
  <c r="D13" i="24"/>
  <c r="C15" i="24"/>
  <c r="D15" i="24"/>
  <c r="C16" i="24"/>
  <c r="D16" i="24"/>
  <c r="C17" i="24"/>
  <c r="D17" i="24"/>
  <c r="C18" i="24"/>
  <c r="D18" i="24"/>
  <c r="C19" i="24"/>
  <c r="D19" i="24"/>
  <c r="C20" i="24"/>
  <c r="D20" i="24"/>
  <c r="C21" i="24"/>
  <c r="D21" i="24"/>
  <c r="C22" i="24"/>
  <c r="D22" i="24"/>
  <c r="C23" i="24"/>
  <c r="D23" i="24"/>
  <c r="C24" i="24"/>
  <c r="D24" i="24"/>
  <c r="C25" i="24"/>
  <c r="D25" i="24"/>
  <c r="C26" i="24"/>
  <c r="D26" i="24"/>
  <c r="C27" i="24"/>
  <c r="D27" i="24"/>
  <c r="C28" i="24"/>
  <c r="D28" i="24"/>
  <c r="C29" i="24"/>
  <c r="D29" i="24"/>
  <c r="C30" i="24"/>
  <c r="D30" i="24"/>
  <c r="C31" i="24"/>
  <c r="D31" i="24"/>
  <c r="C32" i="24"/>
  <c r="D32" i="24"/>
  <c r="C33" i="24"/>
  <c r="D33" i="24"/>
  <c r="C34" i="24"/>
  <c r="D34" i="24"/>
  <c r="C35" i="24"/>
  <c r="D35" i="24"/>
  <c r="C36" i="24"/>
  <c r="D36" i="24"/>
  <c r="C37" i="24"/>
  <c r="D37" i="24"/>
  <c r="C38" i="24"/>
  <c r="D38" i="24"/>
  <c r="C39" i="24"/>
  <c r="D39" i="24"/>
  <c r="C40" i="24"/>
  <c r="D40" i="24"/>
  <c r="C41" i="24"/>
  <c r="D41" i="24"/>
  <c r="C42" i="24"/>
  <c r="D42" i="24"/>
  <c r="C43" i="24"/>
  <c r="D43" i="24"/>
  <c r="C44" i="24"/>
  <c r="D44" i="24"/>
  <c r="C45" i="24"/>
  <c r="D45" i="24"/>
  <c r="C46" i="24"/>
  <c r="D46" i="24"/>
  <c r="C47" i="24"/>
  <c r="D47" i="24"/>
  <c r="C48" i="24"/>
  <c r="D48" i="24"/>
  <c r="C49" i="24"/>
  <c r="D49" i="24"/>
  <c r="C50" i="24"/>
  <c r="D50" i="24"/>
  <c r="C51" i="24"/>
  <c r="D51" i="24"/>
  <c r="C52" i="24"/>
  <c r="D52" i="24"/>
  <c r="C53" i="24"/>
  <c r="D53" i="24"/>
  <c r="C54" i="24"/>
  <c r="D54" i="24"/>
  <c r="C55" i="24"/>
  <c r="D55" i="24"/>
  <c r="C56" i="24"/>
  <c r="D56" i="24"/>
  <c r="C57" i="24"/>
  <c r="D57" i="24"/>
  <c r="C58" i="24"/>
  <c r="D58" i="24"/>
  <c r="C59" i="24"/>
  <c r="D59" i="24"/>
  <c r="C60" i="24"/>
  <c r="D60" i="24"/>
  <c r="C61" i="24"/>
  <c r="D61" i="24"/>
  <c r="C62" i="24"/>
  <c r="D62" i="24"/>
  <c r="C63" i="24"/>
  <c r="D63" i="24"/>
  <c r="C64" i="24"/>
  <c r="D64" i="24"/>
  <c r="C65" i="24"/>
  <c r="D65" i="24"/>
  <c r="C66" i="24"/>
  <c r="D66" i="24"/>
  <c r="C67" i="24"/>
  <c r="D67" i="24"/>
  <c r="C68" i="24"/>
  <c r="D68" i="24"/>
  <c r="C69" i="24"/>
  <c r="D69" i="24"/>
  <c r="C70" i="24"/>
  <c r="D70" i="24"/>
  <c r="C71" i="24"/>
  <c r="D71" i="24"/>
  <c r="C72" i="24"/>
  <c r="D72" i="24"/>
  <c r="C73" i="24"/>
  <c r="D73" i="24"/>
  <c r="C74" i="24"/>
  <c r="D74" i="24"/>
  <c r="C75" i="24"/>
  <c r="D75" i="24"/>
  <c r="C76" i="24"/>
  <c r="D76" i="24"/>
  <c r="C77" i="24"/>
  <c r="D77" i="24"/>
  <c r="C78" i="24"/>
  <c r="D78" i="24"/>
  <c r="C79" i="24"/>
  <c r="D79" i="24"/>
  <c r="C80" i="24"/>
  <c r="D80" i="24"/>
  <c r="C81" i="24"/>
  <c r="D81" i="24"/>
  <c r="C82" i="24"/>
  <c r="D82" i="24"/>
  <c r="C83" i="24"/>
  <c r="D83" i="24"/>
  <c r="C84" i="24"/>
  <c r="D84" i="24"/>
  <c r="C85" i="24"/>
  <c r="D85" i="24"/>
  <c r="C86" i="24"/>
  <c r="D86" i="24"/>
  <c r="C87" i="24"/>
  <c r="D87" i="24"/>
  <c r="C88" i="24"/>
  <c r="D88" i="24"/>
  <c r="C89" i="24"/>
  <c r="D89" i="24"/>
  <c r="C90" i="24"/>
  <c r="D90" i="24"/>
  <c r="C91" i="24"/>
  <c r="D91" i="24"/>
  <c r="C92" i="24"/>
  <c r="D92" i="24"/>
  <c r="C93" i="24"/>
  <c r="D93" i="24"/>
  <c r="C94" i="24"/>
  <c r="D94" i="24"/>
  <c r="C95" i="24"/>
  <c r="D95" i="24"/>
  <c r="C96" i="24"/>
  <c r="D96" i="24"/>
  <c r="C97" i="24"/>
  <c r="D97" i="24"/>
  <c r="C98" i="24"/>
  <c r="D98" i="24"/>
  <c r="C99" i="24"/>
  <c r="D99" i="24"/>
  <c r="C100" i="24"/>
  <c r="D100" i="24"/>
  <c r="C101" i="24"/>
  <c r="D101" i="24"/>
  <c r="C102" i="24"/>
  <c r="D102" i="24"/>
  <c r="C103" i="24"/>
  <c r="D103" i="24"/>
  <c r="C104" i="24"/>
  <c r="D104" i="24"/>
  <c r="C105" i="24"/>
  <c r="D105" i="24"/>
  <c r="C106" i="24"/>
  <c r="D106" i="24"/>
  <c r="C107" i="24"/>
  <c r="D107" i="24"/>
  <c r="C108" i="24"/>
  <c r="D108" i="24"/>
  <c r="C109" i="24"/>
  <c r="D109" i="24"/>
  <c r="C110" i="24"/>
  <c r="D110" i="24"/>
  <c r="C111" i="24"/>
  <c r="D111" i="24"/>
  <c r="C112" i="24"/>
  <c r="D112" i="24"/>
  <c r="C113" i="24"/>
  <c r="D113" i="24"/>
  <c r="C114" i="24"/>
  <c r="D114" i="24"/>
  <c r="C115" i="24"/>
  <c r="D115" i="24"/>
  <c r="C116" i="24"/>
  <c r="D116" i="24"/>
  <c r="C117" i="24"/>
  <c r="D117" i="24"/>
  <c r="C118" i="24"/>
  <c r="D118" i="24"/>
  <c r="C119" i="24"/>
  <c r="D119" i="24"/>
  <c r="C120" i="24"/>
  <c r="D120" i="24"/>
  <c r="C121" i="24"/>
  <c r="D121" i="24"/>
  <c r="C122" i="24"/>
  <c r="D122" i="24"/>
  <c r="C123" i="24"/>
  <c r="D123" i="24"/>
  <c r="C124" i="24"/>
  <c r="D124" i="24"/>
  <c r="C125" i="24"/>
  <c r="D125" i="24"/>
  <c r="C126" i="24"/>
  <c r="D126" i="24"/>
  <c r="C127" i="24"/>
  <c r="D127" i="24"/>
  <c r="C128" i="24"/>
  <c r="D128" i="24"/>
  <c r="C129" i="24"/>
  <c r="D129" i="24"/>
  <c r="C130" i="24"/>
  <c r="D130" i="24"/>
  <c r="C131" i="24"/>
  <c r="D131" i="24"/>
  <c r="C132" i="24"/>
  <c r="D132" i="24"/>
  <c r="C133" i="24"/>
  <c r="D133" i="24"/>
  <c r="C134" i="24"/>
  <c r="D134" i="24"/>
  <c r="C135" i="24"/>
  <c r="D135" i="24"/>
  <c r="C136" i="24"/>
  <c r="D136" i="24"/>
  <c r="C137" i="24"/>
  <c r="D137" i="24"/>
  <c r="C138" i="24"/>
  <c r="D138" i="24"/>
  <c r="C139" i="24"/>
  <c r="D139" i="24"/>
  <c r="C140" i="24"/>
  <c r="D140" i="24"/>
  <c r="C141" i="24"/>
  <c r="D141" i="24"/>
  <c r="C142" i="24"/>
  <c r="D142" i="24"/>
  <c r="C143" i="24"/>
  <c r="D143" i="24"/>
  <c r="C144" i="24"/>
  <c r="D144" i="24"/>
  <c r="C145" i="24"/>
  <c r="D145" i="24"/>
  <c r="C146" i="24"/>
  <c r="D146" i="24"/>
  <c r="C147" i="24"/>
  <c r="D147" i="24"/>
  <c r="C148" i="24"/>
  <c r="D148" i="24"/>
  <c r="C149" i="24"/>
  <c r="D149" i="24"/>
  <c r="C150" i="24"/>
  <c r="D150" i="24"/>
  <c r="C151" i="24"/>
  <c r="D151" i="24"/>
  <c r="C152" i="24"/>
  <c r="D152" i="24"/>
  <c r="C153" i="24"/>
  <c r="D153" i="24"/>
  <c r="C154" i="24"/>
  <c r="D154" i="24"/>
  <c r="C155" i="24"/>
  <c r="D155" i="24"/>
  <c r="C156" i="24"/>
  <c r="D156" i="24"/>
  <c r="C157" i="24"/>
  <c r="D157" i="24"/>
  <c r="C158" i="24"/>
  <c r="D158" i="24"/>
  <c r="C159" i="24"/>
  <c r="D159" i="24"/>
  <c r="C160" i="24"/>
  <c r="D160" i="24"/>
  <c r="C161" i="24"/>
  <c r="D161" i="24"/>
  <c r="C162" i="24"/>
  <c r="D162" i="24"/>
  <c r="C163" i="24"/>
  <c r="D163" i="24"/>
  <c r="C164" i="24"/>
  <c r="D164" i="24"/>
  <c r="C165" i="24"/>
  <c r="D165" i="24"/>
  <c r="C166" i="24"/>
  <c r="D166" i="24"/>
  <c r="C167" i="24"/>
  <c r="D167" i="24"/>
  <c r="C168" i="24"/>
  <c r="D168" i="24"/>
  <c r="C169" i="24"/>
  <c r="D169" i="24"/>
  <c r="C170" i="24"/>
  <c r="D170" i="24"/>
  <c r="C171" i="24"/>
  <c r="D171" i="24"/>
  <c r="C172" i="24"/>
  <c r="D172" i="24"/>
  <c r="C173" i="24"/>
  <c r="D173" i="24"/>
  <c r="C174" i="24"/>
  <c r="D174" i="24"/>
  <c r="C175" i="24"/>
  <c r="D175" i="24"/>
  <c r="C176" i="24"/>
  <c r="D176" i="24"/>
  <c r="C177" i="24"/>
  <c r="D177" i="24"/>
  <c r="C178" i="24"/>
  <c r="D178" i="24"/>
  <c r="C179" i="24"/>
  <c r="D179" i="24"/>
  <c r="C180" i="24"/>
  <c r="D180" i="24"/>
  <c r="C181" i="24"/>
  <c r="D181" i="24"/>
  <c r="C182" i="24"/>
  <c r="D182" i="24"/>
  <c r="C183" i="24"/>
  <c r="D183" i="24"/>
  <c r="C184" i="24"/>
  <c r="D184" i="24"/>
  <c r="C185" i="24"/>
  <c r="D185" i="24"/>
  <c r="C186" i="24"/>
  <c r="D186" i="24"/>
  <c r="C187" i="24"/>
  <c r="D187" i="24"/>
  <c r="C188" i="24"/>
  <c r="D188" i="24"/>
  <c r="C189" i="24"/>
  <c r="D189" i="24"/>
  <c r="C190" i="24"/>
  <c r="D190" i="24"/>
  <c r="C191" i="24"/>
  <c r="D191" i="24"/>
  <c r="C192" i="24"/>
  <c r="D192" i="24"/>
  <c r="C193" i="24"/>
  <c r="D193" i="24"/>
  <c r="C194" i="24"/>
  <c r="D194" i="24"/>
  <c r="C195" i="24"/>
  <c r="D195" i="24"/>
  <c r="C196" i="24"/>
  <c r="D196" i="24"/>
  <c r="C197" i="24"/>
  <c r="D197" i="24"/>
  <c r="C198" i="24"/>
  <c r="D198" i="24"/>
  <c r="C199" i="24"/>
  <c r="D199" i="24"/>
  <c r="C200" i="24"/>
  <c r="D200" i="24"/>
  <c r="C201" i="24"/>
  <c r="D201" i="24"/>
  <c r="C202" i="24"/>
  <c r="D202" i="24"/>
  <c r="C203" i="24"/>
  <c r="D203" i="24"/>
  <c r="C204" i="24"/>
  <c r="D204" i="24"/>
  <c r="C205" i="24"/>
  <c r="D205" i="24"/>
  <c r="C206" i="24"/>
  <c r="D206" i="24"/>
  <c r="C207" i="24"/>
  <c r="D207" i="24"/>
  <c r="C208" i="24"/>
  <c r="D208" i="24"/>
  <c r="C209" i="24"/>
  <c r="D209" i="24"/>
  <c r="C210" i="24"/>
  <c r="D210" i="24"/>
  <c r="C211" i="24"/>
  <c r="D211" i="24"/>
  <c r="C212" i="24"/>
  <c r="D212" i="24"/>
  <c r="C213" i="24"/>
  <c r="D213" i="24"/>
  <c r="C214" i="24"/>
  <c r="D214" i="24"/>
  <c r="C215" i="24"/>
  <c r="D215" i="24"/>
  <c r="C216" i="24"/>
  <c r="D216" i="24"/>
  <c r="C217" i="24"/>
  <c r="D217" i="24"/>
  <c r="C218" i="24"/>
  <c r="D218" i="24"/>
  <c r="C219" i="24"/>
  <c r="D219" i="24"/>
  <c r="C220" i="24"/>
  <c r="D220" i="24"/>
  <c r="C221" i="24"/>
  <c r="D221" i="24"/>
  <c r="C222" i="24"/>
  <c r="D222" i="24"/>
  <c r="C223" i="24"/>
  <c r="D223" i="24"/>
  <c r="C224" i="24"/>
  <c r="D224" i="24"/>
  <c r="C225" i="24"/>
  <c r="D225" i="24"/>
  <c r="C226" i="24"/>
  <c r="D226" i="24"/>
  <c r="C227" i="24"/>
  <c r="D227" i="24"/>
  <c r="C228" i="24"/>
  <c r="D228" i="24"/>
  <c r="C229" i="24"/>
  <c r="D229" i="24"/>
  <c r="C230" i="24"/>
  <c r="D230" i="24"/>
  <c r="C231" i="24"/>
  <c r="D231" i="24"/>
  <c r="C232" i="24"/>
  <c r="D232" i="24"/>
  <c r="C233" i="24"/>
  <c r="D233" i="24"/>
  <c r="C234" i="24"/>
  <c r="D234" i="24"/>
  <c r="C235" i="24"/>
  <c r="D235" i="24"/>
  <c r="C236" i="24"/>
  <c r="D236" i="24"/>
  <c r="C237" i="24"/>
  <c r="D237" i="24"/>
  <c r="C238" i="24"/>
  <c r="D238" i="24"/>
  <c r="C239" i="24"/>
  <c r="D239" i="24"/>
  <c r="C240" i="24"/>
  <c r="D240" i="24"/>
  <c r="C241" i="24"/>
  <c r="D241" i="24"/>
  <c r="C242" i="24"/>
  <c r="D242" i="24"/>
  <c r="C243" i="24"/>
  <c r="D243" i="24"/>
  <c r="C244" i="24"/>
  <c r="D244" i="24"/>
  <c r="C245" i="24"/>
  <c r="D245" i="24"/>
  <c r="C246" i="24"/>
  <c r="D246" i="24"/>
  <c r="C247" i="24"/>
  <c r="D247" i="24"/>
  <c r="C248" i="24"/>
  <c r="D248" i="24"/>
  <c r="C249" i="24"/>
  <c r="D249" i="24"/>
  <c r="C250" i="24"/>
  <c r="D250" i="24"/>
  <c r="C251" i="24"/>
  <c r="D251" i="24"/>
  <c r="C252" i="24"/>
  <c r="D252" i="24"/>
  <c r="C253" i="24"/>
  <c r="D253" i="24"/>
  <c r="C254" i="24"/>
  <c r="D254" i="24"/>
  <c r="C255" i="24"/>
  <c r="D255" i="24"/>
  <c r="C256" i="24"/>
  <c r="D256" i="24"/>
  <c r="C257" i="24"/>
  <c r="D257" i="24"/>
  <c r="C258" i="24"/>
  <c r="D258" i="24"/>
  <c r="C259" i="24"/>
  <c r="D259" i="24"/>
  <c r="C260" i="24"/>
  <c r="D260" i="24"/>
  <c r="C261" i="24"/>
  <c r="D261" i="24"/>
  <c r="C262" i="24"/>
  <c r="D262" i="24"/>
  <c r="C263" i="24"/>
  <c r="D263" i="24"/>
  <c r="C264" i="24"/>
  <c r="D264" i="24"/>
  <c r="C265" i="24"/>
  <c r="D265" i="24"/>
  <c r="C266" i="24"/>
  <c r="D266" i="24"/>
  <c r="C267" i="24"/>
  <c r="D267" i="24"/>
  <c r="C268" i="24"/>
  <c r="D268" i="24"/>
  <c r="C269" i="24"/>
  <c r="D269" i="24"/>
  <c r="C270" i="24"/>
  <c r="D270" i="24"/>
  <c r="C271" i="24"/>
  <c r="D271" i="24"/>
  <c r="C272" i="24"/>
  <c r="D272" i="24"/>
  <c r="C273" i="24"/>
  <c r="D273" i="24"/>
  <c r="C274" i="24"/>
  <c r="D274" i="24"/>
  <c r="C275" i="24"/>
  <c r="D275" i="24"/>
  <c r="C276" i="24"/>
  <c r="D276" i="24"/>
  <c r="C277" i="24"/>
  <c r="D277" i="24"/>
  <c r="C278" i="24"/>
  <c r="D278" i="24"/>
  <c r="C279" i="24"/>
  <c r="D279" i="24"/>
  <c r="C280" i="24"/>
  <c r="D280" i="24"/>
  <c r="C281" i="24"/>
  <c r="D281" i="24"/>
  <c r="C282" i="24"/>
  <c r="D282" i="24"/>
  <c r="C283" i="24"/>
  <c r="D283" i="24"/>
  <c r="C284" i="24"/>
  <c r="D284" i="24"/>
  <c r="C285" i="24"/>
  <c r="D285" i="24"/>
  <c r="C286" i="24"/>
  <c r="D286" i="24"/>
  <c r="C287" i="24"/>
  <c r="D287" i="24"/>
  <c r="C288" i="24"/>
  <c r="D288" i="24"/>
  <c r="C289" i="24"/>
  <c r="D289" i="24"/>
  <c r="C290" i="24"/>
  <c r="D290" i="24"/>
  <c r="C291" i="24"/>
  <c r="D291" i="24"/>
  <c r="C292" i="24"/>
  <c r="D292" i="24"/>
  <c r="C293" i="24"/>
  <c r="D293" i="24"/>
  <c r="C294" i="24"/>
  <c r="D294" i="24"/>
  <c r="C295" i="24"/>
  <c r="D295" i="24"/>
  <c r="C296" i="24"/>
  <c r="D296" i="24"/>
  <c r="C297" i="24"/>
  <c r="D297" i="24"/>
  <c r="C298" i="24"/>
  <c r="D298" i="24"/>
  <c r="C299" i="24"/>
  <c r="D299" i="24"/>
  <c r="C300" i="24"/>
  <c r="D300" i="24"/>
  <c r="C301" i="24"/>
  <c r="D301" i="24"/>
  <c r="C302" i="24"/>
  <c r="D302" i="24"/>
  <c r="C303" i="24"/>
  <c r="D303" i="24"/>
  <c r="C304" i="24"/>
  <c r="D304" i="24"/>
  <c r="C305" i="24"/>
  <c r="D305" i="24"/>
  <c r="C306" i="24"/>
  <c r="D306" i="24"/>
  <c r="C307" i="24"/>
  <c r="D307" i="24"/>
  <c r="C308" i="24"/>
  <c r="D308" i="24"/>
  <c r="C309" i="24"/>
  <c r="D309" i="24"/>
  <c r="C310" i="24"/>
  <c r="D310" i="24"/>
  <c r="C311" i="24"/>
  <c r="D311" i="24"/>
  <c r="C6" i="25"/>
  <c r="D6" i="25"/>
  <c r="C7" i="25"/>
  <c r="D7" i="25"/>
  <c r="C8" i="25"/>
  <c r="D8" i="25"/>
  <c r="C9" i="25"/>
  <c r="D9" i="25"/>
  <c r="C10" i="25"/>
  <c r="D10" i="25"/>
  <c r="C11" i="25"/>
  <c r="D11" i="25"/>
  <c r="C12" i="25"/>
  <c r="D12" i="25"/>
  <c r="C13" i="25"/>
  <c r="D13" i="25"/>
  <c r="C15" i="25"/>
  <c r="D15" i="25"/>
  <c r="C16" i="25"/>
  <c r="D16" i="25"/>
  <c r="C17" i="25"/>
  <c r="D17" i="25"/>
  <c r="C19" i="25"/>
  <c r="D19" i="25"/>
  <c r="C20" i="25"/>
  <c r="D20" i="25"/>
  <c r="C21" i="25"/>
  <c r="D21" i="25"/>
  <c r="C22" i="25"/>
  <c r="D22" i="25"/>
  <c r="C23" i="25"/>
  <c r="D23" i="25"/>
  <c r="C24" i="25"/>
  <c r="D24" i="25"/>
  <c r="C25" i="25"/>
  <c r="D25" i="25"/>
  <c r="C26" i="25"/>
  <c r="D26" i="25"/>
  <c r="C27" i="25"/>
  <c r="D27" i="25"/>
  <c r="C28" i="25"/>
  <c r="D28" i="25"/>
  <c r="C29" i="25"/>
  <c r="D29" i="25"/>
  <c r="C30" i="25"/>
  <c r="D30" i="25"/>
  <c r="C31" i="25"/>
  <c r="D31" i="25"/>
  <c r="C32" i="25"/>
  <c r="D32" i="25"/>
  <c r="C33" i="25"/>
  <c r="D33" i="25"/>
  <c r="C34" i="25"/>
  <c r="D34" i="25"/>
  <c r="C35" i="25"/>
  <c r="D35" i="25"/>
  <c r="C36" i="25"/>
  <c r="D36" i="25"/>
  <c r="C37" i="25"/>
  <c r="D37" i="25"/>
  <c r="C38" i="25"/>
  <c r="D38" i="25"/>
  <c r="C39" i="25"/>
  <c r="D39" i="25"/>
  <c r="C40" i="25"/>
  <c r="D40" i="25"/>
  <c r="C41" i="25"/>
  <c r="D41" i="25"/>
  <c r="C42" i="25"/>
  <c r="D42" i="25"/>
  <c r="C43" i="25"/>
  <c r="D43" i="25"/>
  <c r="C44" i="25"/>
  <c r="D44" i="25"/>
  <c r="C45" i="25"/>
  <c r="D45" i="25"/>
  <c r="C46" i="25"/>
  <c r="D46" i="25"/>
  <c r="C47" i="25"/>
  <c r="D47" i="25"/>
  <c r="C48" i="25"/>
  <c r="D48" i="25"/>
  <c r="C49" i="25"/>
  <c r="D49" i="25"/>
  <c r="C50" i="25"/>
  <c r="D50" i="25"/>
  <c r="C51" i="25"/>
  <c r="D51" i="25"/>
  <c r="C52" i="25"/>
  <c r="D52" i="25"/>
  <c r="C53" i="25"/>
  <c r="D53" i="25"/>
  <c r="C54" i="25"/>
  <c r="D54" i="25"/>
  <c r="C55" i="25"/>
  <c r="D55" i="25"/>
  <c r="C56" i="25"/>
  <c r="D56" i="25"/>
  <c r="C57" i="25"/>
  <c r="D57" i="25"/>
  <c r="C58" i="25"/>
  <c r="D58" i="25"/>
  <c r="C59" i="25"/>
  <c r="D59" i="25"/>
  <c r="C60" i="25"/>
  <c r="D60" i="25"/>
  <c r="C61" i="25"/>
  <c r="D61" i="25"/>
  <c r="C62" i="25"/>
  <c r="D62" i="25"/>
  <c r="C63" i="25"/>
  <c r="D63" i="25"/>
  <c r="C64" i="25"/>
  <c r="D64" i="25"/>
  <c r="C65" i="25"/>
  <c r="D65" i="25"/>
  <c r="C66" i="25"/>
  <c r="D66" i="25"/>
  <c r="C67" i="25"/>
  <c r="D67" i="25"/>
  <c r="C68" i="25"/>
  <c r="D68" i="25"/>
  <c r="C69" i="25"/>
  <c r="D69" i="25"/>
  <c r="C70" i="25"/>
  <c r="D70" i="25"/>
  <c r="C71" i="25"/>
  <c r="D71" i="25"/>
  <c r="C72" i="25"/>
  <c r="D72" i="25"/>
  <c r="C73" i="25"/>
  <c r="D73" i="25"/>
  <c r="C74" i="25"/>
  <c r="D74" i="25"/>
  <c r="C75" i="25"/>
  <c r="D75" i="25"/>
  <c r="C76" i="25"/>
  <c r="D76" i="25"/>
  <c r="C77" i="25"/>
  <c r="D77" i="25"/>
  <c r="C78" i="25"/>
  <c r="D78" i="25"/>
  <c r="C79" i="25"/>
  <c r="D79" i="25"/>
  <c r="C80" i="25"/>
  <c r="D80" i="25"/>
  <c r="C81" i="25"/>
  <c r="D81" i="25"/>
  <c r="C82" i="25"/>
  <c r="D82" i="25"/>
  <c r="C83" i="25"/>
  <c r="D83" i="25"/>
  <c r="C84" i="25"/>
  <c r="D84" i="25"/>
  <c r="C85" i="25"/>
  <c r="D85" i="25"/>
  <c r="C86" i="25"/>
  <c r="D86" i="25"/>
  <c r="C87" i="25"/>
  <c r="D87" i="25"/>
  <c r="C88" i="25"/>
  <c r="D88" i="25"/>
  <c r="C89" i="25"/>
  <c r="D89" i="25"/>
  <c r="C90" i="25"/>
  <c r="D90" i="25"/>
  <c r="C91" i="25"/>
  <c r="D91" i="25"/>
  <c r="C92" i="25"/>
  <c r="D92" i="25"/>
  <c r="C93" i="25"/>
  <c r="D93" i="25"/>
  <c r="C94" i="25"/>
  <c r="D94" i="25"/>
  <c r="C95" i="25"/>
  <c r="D95" i="25"/>
  <c r="C96" i="25"/>
  <c r="D96" i="25"/>
  <c r="C97" i="25"/>
  <c r="D97" i="25"/>
  <c r="C98" i="25"/>
  <c r="D98" i="25"/>
  <c r="C99" i="25"/>
  <c r="D99" i="25"/>
  <c r="C100" i="25"/>
  <c r="D100" i="25"/>
  <c r="C101" i="25"/>
  <c r="D101" i="25"/>
  <c r="C102" i="25"/>
  <c r="D102" i="25"/>
  <c r="C103" i="25"/>
  <c r="D103" i="25"/>
  <c r="C104" i="25"/>
  <c r="D104" i="25"/>
  <c r="C105" i="25"/>
  <c r="D105" i="25"/>
  <c r="C106" i="25"/>
  <c r="D106" i="25"/>
  <c r="C107" i="25"/>
  <c r="D107" i="25"/>
  <c r="C108" i="25"/>
  <c r="D108" i="25"/>
  <c r="C109" i="25"/>
  <c r="D109" i="25"/>
  <c r="C110" i="25"/>
  <c r="D110" i="25"/>
  <c r="C111" i="25"/>
  <c r="D111" i="25"/>
  <c r="C112" i="25"/>
  <c r="D112" i="25"/>
  <c r="C113" i="25"/>
  <c r="D113" i="25"/>
  <c r="C114" i="25"/>
  <c r="D114" i="25"/>
  <c r="C115" i="25"/>
  <c r="D115" i="25"/>
  <c r="C116" i="25"/>
  <c r="D116" i="25"/>
  <c r="C117" i="25"/>
  <c r="D117" i="25"/>
  <c r="C118" i="25"/>
  <c r="D118" i="25"/>
  <c r="C119" i="25"/>
  <c r="D119" i="25"/>
  <c r="C120" i="25"/>
  <c r="D120" i="25"/>
  <c r="C121" i="25"/>
  <c r="D121" i="25"/>
  <c r="C122" i="25"/>
  <c r="D122" i="25"/>
  <c r="C123" i="25"/>
  <c r="D123" i="25"/>
  <c r="C124" i="25"/>
  <c r="D124" i="25"/>
  <c r="C125" i="25"/>
  <c r="D125" i="25"/>
  <c r="C126" i="25"/>
  <c r="D126" i="25"/>
  <c r="C127" i="25"/>
  <c r="D127" i="25"/>
  <c r="C128" i="25"/>
  <c r="D128" i="25"/>
  <c r="C129" i="25"/>
  <c r="D129" i="25"/>
  <c r="C130" i="25"/>
  <c r="D130" i="25"/>
  <c r="C131" i="25"/>
  <c r="D131" i="25"/>
  <c r="C132" i="25"/>
  <c r="D132" i="25"/>
  <c r="C133" i="25"/>
  <c r="D133" i="25"/>
  <c r="C134" i="25"/>
  <c r="D134" i="25"/>
  <c r="C135" i="25"/>
  <c r="D135" i="25"/>
  <c r="C136" i="25"/>
  <c r="D136" i="25"/>
  <c r="C137" i="25"/>
  <c r="D137" i="25"/>
  <c r="C138" i="25"/>
  <c r="D138" i="25"/>
  <c r="C139" i="25"/>
  <c r="D139" i="25"/>
  <c r="C140" i="25"/>
  <c r="D140" i="25"/>
  <c r="C141" i="25"/>
  <c r="D141" i="25"/>
  <c r="C142" i="25"/>
  <c r="D142" i="25"/>
  <c r="C143" i="25"/>
  <c r="D143" i="25"/>
  <c r="C144" i="25"/>
  <c r="D144" i="25"/>
  <c r="C145" i="25"/>
  <c r="D145" i="25"/>
  <c r="C146" i="25"/>
  <c r="D146" i="25"/>
  <c r="C147" i="25"/>
  <c r="D147" i="25"/>
  <c r="C148" i="25"/>
  <c r="D148" i="25"/>
  <c r="C149" i="25"/>
  <c r="D149" i="25"/>
  <c r="C150" i="25"/>
  <c r="D150" i="25"/>
  <c r="C151" i="25"/>
  <c r="D151" i="25"/>
  <c r="C152" i="25"/>
  <c r="D152" i="25"/>
  <c r="C153" i="25"/>
  <c r="D153" i="25"/>
  <c r="C154" i="25"/>
  <c r="D154" i="25"/>
  <c r="C155" i="25"/>
  <c r="D155" i="25"/>
  <c r="C156" i="25"/>
  <c r="D156" i="25"/>
  <c r="C157" i="25"/>
  <c r="D157" i="25"/>
  <c r="C158" i="25"/>
  <c r="D158" i="25"/>
  <c r="C159" i="25"/>
  <c r="D159" i="25"/>
  <c r="C160" i="25"/>
  <c r="D160" i="25"/>
  <c r="C161" i="25"/>
  <c r="D161" i="25"/>
  <c r="C162" i="25"/>
  <c r="D162" i="25"/>
  <c r="C163" i="25"/>
  <c r="D163" i="25"/>
  <c r="C164" i="25"/>
  <c r="D164" i="25"/>
  <c r="C165" i="25"/>
  <c r="D165" i="25"/>
  <c r="C166" i="25"/>
  <c r="D166" i="25"/>
  <c r="C167" i="25"/>
  <c r="D167" i="25"/>
  <c r="C168" i="25"/>
  <c r="D168" i="25"/>
  <c r="C169" i="25"/>
  <c r="D169" i="25"/>
  <c r="C170" i="25"/>
  <c r="D170" i="25"/>
  <c r="C171" i="25"/>
  <c r="D171" i="25"/>
  <c r="C172" i="25"/>
  <c r="D172" i="25"/>
  <c r="C173" i="25"/>
  <c r="D173" i="25"/>
  <c r="C174" i="25"/>
  <c r="D174" i="25"/>
  <c r="C175" i="25"/>
  <c r="D175" i="25"/>
  <c r="C176" i="25"/>
  <c r="D176" i="25"/>
  <c r="C177" i="25"/>
  <c r="D177" i="25"/>
  <c r="C178" i="25"/>
  <c r="D178" i="25"/>
  <c r="C179" i="25"/>
  <c r="D179" i="25"/>
  <c r="C180" i="25"/>
  <c r="D180" i="25"/>
  <c r="C181" i="25"/>
  <c r="D181" i="25"/>
  <c r="C182" i="25"/>
  <c r="D182" i="25"/>
  <c r="C183" i="25"/>
  <c r="D183" i="25"/>
  <c r="C184" i="25"/>
  <c r="D184" i="25"/>
  <c r="C185" i="25"/>
  <c r="D185" i="25"/>
  <c r="C186" i="25"/>
  <c r="D186" i="25"/>
  <c r="C187" i="25"/>
  <c r="D187" i="25"/>
  <c r="C188" i="25"/>
  <c r="D188" i="25"/>
  <c r="C189" i="25"/>
  <c r="D189" i="25"/>
  <c r="C190" i="25"/>
  <c r="D190" i="25"/>
  <c r="C191" i="25"/>
  <c r="D191" i="25"/>
  <c r="C192" i="25"/>
  <c r="D192" i="25"/>
  <c r="C193" i="25"/>
  <c r="D193" i="25"/>
  <c r="C194" i="25"/>
  <c r="D194" i="25"/>
  <c r="C195" i="25"/>
  <c r="D195" i="25"/>
  <c r="C196" i="25"/>
  <c r="D196" i="25"/>
  <c r="C197" i="25"/>
  <c r="D197" i="25"/>
  <c r="C198" i="25"/>
  <c r="D198" i="25"/>
  <c r="C199" i="25"/>
  <c r="D199" i="25"/>
  <c r="C200" i="25"/>
  <c r="D200" i="25"/>
  <c r="C201" i="25"/>
  <c r="D201" i="25"/>
  <c r="C202" i="25"/>
  <c r="D202" i="25"/>
  <c r="C203" i="25"/>
  <c r="D203" i="25"/>
  <c r="C204" i="25"/>
  <c r="D204" i="25"/>
  <c r="C205" i="25"/>
  <c r="D205" i="25"/>
  <c r="C206" i="25"/>
  <c r="D206" i="25"/>
  <c r="C207" i="25"/>
  <c r="D207" i="25"/>
  <c r="C208" i="25"/>
  <c r="D208" i="25"/>
  <c r="C209" i="25"/>
  <c r="D209" i="25"/>
  <c r="C210" i="25"/>
  <c r="D210" i="25"/>
  <c r="C211" i="25"/>
  <c r="D211" i="25"/>
  <c r="C212" i="25"/>
  <c r="D212" i="25"/>
  <c r="C213" i="25"/>
  <c r="D213" i="25"/>
  <c r="C214" i="25"/>
  <c r="D214" i="25"/>
  <c r="C215" i="25"/>
  <c r="D215" i="25"/>
  <c r="C216" i="25"/>
  <c r="D216" i="25"/>
  <c r="C217" i="25"/>
  <c r="D217" i="25"/>
  <c r="C218" i="25"/>
  <c r="D218" i="25"/>
  <c r="C219" i="25"/>
  <c r="D219" i="25"/>
  <c r="C220" i="25"/>
  <c r="D220" i="25"/>
  <c r="C221" i="25"/>
  <c r="D221" i="25"/>
  <c r="C222" i="25"/>
  <c r="D222" i="25"/>
  <c r="C223" i="25"/>
  <c r="D223" i="25"/>
  <c r="C224" i="25"/>
  <c r="D224" i="25"/>
  <c r="C225" i="25"/>
  <c r="D225" i="25"/>
  <c r="C226" i="25"/>
  <c r="D226" i="25"/>
  <c r="C227" i="25"/>
  <c r="D227" i="25"/>
  <c r="C228" i="25"/>
  <c r="D228" i="25"/>
  <c r="C229" i="25"/>
  <c r="D229" i="25"/>
  <c r="C230" i="25"/>
  <c r="D230" i="25"/>
  <c r="C231" i="25"/>
  <c r="D231" i="25"/>
  <c r="C232" i="25"/>
  <c r="D232" i="25"/>
  <c r="C233" i="25"/>
  <c r="D233" i="25"/>
  <c r="C234" i="25"/>
  <c r="D234" i="25"/>
  <c r="C235" i="25"/>
  <c r="D235" i="25"/>
  <c r="C236" i="25"/>
  <c r="D236" i="25"/>
  <c r="C237" i="25"/>
  <c r="D237" i="25"/>
  <c r="C238" i="25"/>
  <c r="D238" i="25"/>
  <c r="C239" i="25"/>
  <c r="D239" i="25"/>
  <c r="C240" i="25"/>
  <c r="D240" i="25"/>
  <c r="C241" i="25"/>
  <c r="D241" i="25"/>
  <c r="C242" i="25"/>
  <c r="D242" i="25"/>
  <c r="C243" i="25"/>
  <c r="D243" i="25"/>
  <c r="C244" i="25"/>
  <c r="D244" i="25"/>
  <c r="C245" i="25"/>
  <c r="D245" i="25"/>
  <c r="C246" i="25"/>
  <c r="D246" i="25"/>
  <c r="C247" i="25"/>
  <c r="D247" i="25"/>
  <c r="C248" i="25"/>
  <c r="D248" i="25"/>
  <c r="C249" i="25"/>
  <c r="D249" i="25"/>
  <c r="C250" i="25"/>
  <c r="D250" i="25"/>
  <c r="C251" i="25"/>
  <c r="D251" i="25"/>
  <c r="C252" i="25"/>
  <c r="D252" i="25"/>
  <c r="C253" i="25"/>
  <c r="D253" i="25"/>
  <c r="C254" i="25"/>
  <c r="D254" i="25"/>
  <c r="C255" i="25"/>
  <c r="D255" i="25"/>
  <c r="C256" i="25"/>
  <c r="D256" i="25"/>
  <c r="C257" i="25"/>
  <c r="D257" i="25"/>
  <c r="C258" i="25"/>
  <c r="D258" i="25"/>
  <c r="C259" i="25"/>
  <c r="D259" i="25"/>
  <c r="C260" i="25"/>
  <c r="D260" i="25"/>
  <c r="C261" i="25"/>
  <c r="D261" i="25"/>
  <c r="C262" i="25"/>
  <c r="D262" i="25"/>
  <c r="C263" i="25"/>
  <c r="D263" i="25"/>
  <c r="C264" i="25"/>
  <c r="D264" i="25"/>
  <c r="C265" i="25"/>
  <c r="D265" i="25"/>
  <c r="C266" i="25"/>
  <c r="D266" i="25"/>
  <c r="C267" i="25"/>
  <c r="D267" i="25"/>
  <c r="C268" i="25"/>
  <c r="D268" i="25"/>
  <c r="C269" i="25"/>
  <c r="D269" i="25"/>
  <c r="C270" i="25"/>
  <c r="D270" i="25"/>
  <c r="C271" i="25"/>
  <c r="D271" i="25"/>
  <c r="C272" i="25"/>
  <c r="D272" i="25"/>
  <c r="C273" i="25"/>
  <c r="D273" i="25"/>
  <c r="C274" i="25"/>
  <c r="D274" i="25"/>
  <c r="C275" i="25"/>
  <c r="D275" i="25"/>
  <c r="C276" i="25"/>
  <c r="D276" i="25"/>
  <c r="C277" i="25"/>
  <c r="D277" i="25"/>
  <c r="C278" i="25"/>
  <c r="D278" i="25"/>
  <c r="C279" i="25"/>
  <c r="D279" i="25"/>
  <c r="C280" i="25"/>
  <c r="D280" i="25"/>
  <c r="C281" i="25"/>
  <c r="D281" i="25"/>
  <c r="C282" i="25"/>
  <c r="D282" i="25"/>
  <c r="C283" i="25"/>
  <c r="D283" i="25"/>
  <c r="C284" i="25"/>
  <c r="D284" i="25"/>
  <c r="C285" i="25"/>
  <c r="D285" i="25"/>
  <c r="C286" i="25"/>
  <c r="D286" i="25"/>
  <c r="C287" i="25"/>
  <c r="D287" i="25"/>
  <c r="C288" i="25"/>
  <c r="D288" i="25"/>
  <c r="C289" i="25"/>
  <c r="D289" i="25"/>
  <c r="C290" i="25"/>
  <c r="D290" i="25"/>
  <c r="C291" i="25"/>
  <c r="D291" i="25"/>
  <c r="C292" i="25"/>
  <c r="D292" i="25"/>
  <c r="C293" i="25"/>
  <c r="D293" i="25"/>
  <c r="C294" i="25"/>
  <c r="D294" i="25"/>
  <c r="C295" i="25"/>
  <c r="D295" i="25"/>
  <c r="C296" i="25"/>
  <c r="D296" i="25"/>
  <c r="C297" i="25"/>
  <c r="D297" i="25"/>
  <c r="C298" i="25"/>
  <c r="D298" i="25"/>
  <c r="C299" i="25"/>
  <c r="D299" i="25"/>
  <c r="C300" i="25"/>
  <c r="D300" i="25"/>
  <c r="C301" i="25"/>
  <c r="D301" i="25"/>
  <c r="C302" i="25"/>
  <c r="D302" i="25"/>
  <c r="C303" i="25"/>
  <c r="D303" i="25"/>
  <c r="C304" i="25"/>
  <c r="D304" i="25"/>
  <c r="C305" i="25"/>
  <c r="D305" i="25"/>
  <c r="C306" i="25"/>
  <c r="D306" i="25"/>
  <c r="C307" i="25"/>
  <c r="D307" i="25"/>
  <c r="C308" i="25"/>
  <c r="D308" i="25"/>
  <c r="C309" i="25"/>
  <c r="D309" i="25"/>
  <c r="C310" i="25"/>
  <c r="D310" i="25"/>
  <c r="C311" i="25"/>
  <c r="D311" i="25"/>
  <c r="C312" i="25"/>
  <c r="D312" i="25"/>
  <c r="C313" i="25"/>
  <c r="D313" i="25"/>
  <c r="C314" i="25"/>
  <c r="D314" i="25"/>
  <c r="C315" i="25"/>
  <c r="D315" i="25"/>
  <c r="C316" i="25"/>
  <c r="D316" i="25"/>
  <c r="C6" i="26"/>
  <c r="D6" i="26"/>
  <c r="C7" i="26"/>
  <c r="D7" i="26"/>
  <c r="C8" i="26"/>
  <c r="D8" i="26"/>
  <c r="C9" i="26"/>
  <c r="D9" i="26"/>
  <c r="C10" i="26"/>
  <c r="D10" i="26"/>
  <c r="C11" i="26"/>
  <c r="D11" i="26"/>
  <c r="C12" i="26"/>
  <c r="D12" i="26"/>
  <c r="C13" i="26"/>
  <c r="D13" i="26"/>
  <c r="C15" i="26"/>
  <c r="D15" i="26"/>
  <c r="C16" i="26"/>
  <c r="D16" i="26"/>
  <c r="C17" i="26"/>
  <c r="D17" i="26"/>
  <c r="C18" i="26"/>
  <c r="D18" i="26"/>
  <c r="C19" i="26"/>
  <c r="D19" i="26"/>
  <c r="C20" i="26"/>
  <c r="D20" i="26"/>
  <c r="C21" i="26"/>
  <c r="D21" i="26"/>
  <c r="C22" i="26"/>
  <c r="D22" i="26"/>
  <c r="C23" i="26"/>
  <c r="D23" i="26"/>
  <c r="C43" i="26"/>
  <c r="D43" i="26"/>
  <c r="C44" i="26"/>
  <c r="D44" i="26"/>
  <c r="C45" i="26"/>
  <c r="D45" i="26"/>
  <c r="C46" i="26"/>
  <c r="D46" i="26"/>
  <c r="C47" i="26"/>
  <c r="D47" i="26"/>
  <c r="C48" i="26"/>
  <c r="D48" i="26"/>
  <c r="C49" i="26"/>
  <c r="D49" i="26"/>
  <c r="C50" i="26"/>
  <c r="D50" i="26"/>
  <c r="C51" i="26"/>
  <c r="D51" i="26"/>
  <c r="C52" i="26"/>
  <c r="D52" i="26"/>
  <c r="C53" i="26"/>
  <c r="D53" i="26"/>
  <c r="C54" i="26"/>
  <c r="D54" i="26"/>
  <c r="C55" i="26"/>
  <c r="D55" i="26"/>
  <c r="C56" i="26"/>
  <c r="D56" i="26"/>
  <c r="C57" i="26"/>
  <c r="D57" i="26"/>
  <c r="C58" i="26"/>
  <c r="D58" i="26"/>
  <c r="C59" i="26"/>
  <c r="D59" i="26"/>
  <c r="C60" i="26"/>
  <c r="D60" i="26"/>
  <c r="C61" i="26"/>
  <c r="D61" i="26"/>
  <c r="C62" i="26"/>
  <c r="D62" i="26"/>
  <c r="C63" i="26"/>
  <c r="D63" i="26"/>
  <c r="C64" i="26"/>
  <c r="D64" i="26"/>
  <c r="C65" i="26"/>
  <c r="D65" i="26"/>
  <c r="C66" i="26"/>
  <c r="D66" i="26"/>
  <c r="C67" i="26"/>
  <c r="D67" i="26"/>
  <c r="C68" i="26"/>
  <c r="D68" i="26"/>
  <c r="C69" i="26"/>
  <c r="D69" i="26"/>
  <c r="C70" i="26"/>
  <c r="D70" i="26"/>
  <c r="C71" i="26"/>
  <c r="D71" i="26"/>
  <c r="C72" i="26"/>
  <c r="D72" i="26"/>
  <c r="C73" i="26"/>
  <c r="D73" i="26"/>
  <c r="C74" i="26"/>
  <c r="D74" i="26"/>
  <c r="C75" i="26"/>
  <c r="D75" i="26"/>
  <c r="C76" i="26"/>
  <c r="D76" i="26"/>
  <c r="C77" i="26"/>
  <c r="D77" i="26"/>
  <c r="C78" i="26"/>
  <c r="D78" i="26"/>
  <c r="C79" i="26"/>
  <c r="D79" i="26"/>
  <c r="C80" i="26"/>
  <c r="D80" i="26"/>
  <c r="C81" i="26"/>
  <c r="D81" i="26"/>
  <c r="C82" i="26"/>
  <c r="D82" i="26"/>
  <c r="C83" i="26"/>
  <c r="D83" i="26"/>
  <c r="C84" i="26"/>
  <c r="D84" i="26"/>
  <c r="C85" i="26"/>
  <c r="D85" i="26"/>
  <c r="C86" i="26"/>
  <c r="D86" i="26"/>
  <c r="C87" i="26"/>
  <c r="D87" i="26"/>
  <c r="C88" i="26"/>
  <c r="D88" i="26"/>
  <c r="C89" i="26"/>
  <c r="D89" i="26"/>
  <c r="C90" i="26"/>
  <c r="D90" i="26"/>
  <c r="C91" i="26"/>
  <c r="D91" i="26"/>
  <c r="C92" i="26"/>
  <c r="D92" i="26"/>
  <c r="C93" i="26"/>
  <c r="D93" i="26"/>
  <c r="C94" i="26"/>
  <c r="D94" i="26"/>
  <c r="C95" i="26"/>
  <c r="D95" i="26"/>
  <c r="C96" i="26"/>
  <c r="D96" i="26"/>
  <c r="C97" i="26"/>
  <c r="D97" i="26"/>
  <c r="C98" i="26"/>
  <c r="D98" i="26"/>
  <c r="C99" i="26"/>
  <c r="D99" i="26"/>
  <c r="C100" i="26"/>
  <c r="D100" i="26"/>
  <c r="C101" i="26"/>
  <c r="D101" i="26"/>
  <c r="C102" i="26"/>
  <c r="D102" i="26"/>
  <c r="C103" i="26"/>
  <c r="D103" i="26"/>
  <c r="C104" i="26"/>
  <c r="D104" i="26"/>
  <c r="C105" i="26"/>
  <c r="D105" i="26"/>
  <c r="C106" i="26"/>
  <c r="D106" i="26"/>
  <c r="C107" i="26"/>
  <c r="D107" i="26"/>
  <c r="C108" i="26"/>
  <c r="D108" i="26"/>
  <c r="C109" i="26"/>
  <c r="D109" i="26"/>
  <c r="C110" i="26"/>
  <c r="D110" i="26"/>
  <c r="C111" i="26"/>
  <c r="D111" i="26"/>
  <c r="C112" i="26"/>
  <c r="D112" i="26"/>
  <c r="C113" i="26"/>
  <c r="D113" i="26"/>
  <c r="C114" i="26"/>
  <c r="D114" i="26"/>
  <c r="C115" i="26"/>
  <c r="D115" i="26"/>
  <c r="C116" i="26"/>
  <c r="D116" i="26"/>
  <c r="C117" i="26"/>
  <c r="D117" i="26"/>
  <c r="C118" i="26"/>
  <c r="D118" i="26"/>
  <c r="C119" i="26"/>
  <c r="D119" i="26"/>
  <c r="C120" i="26"/>
  <c r="D120" i="26"/>
  <c r="C121" i="26"/>
  <c r="D121" i="26"/>
  <c r="C122" i="26"/>
  <c r="D122" i="26"/>
  <c r="C123" i="26"/>
  <c r="D123" i="26"/>
  <c r="C124" i="26"/>
  <c r="D124" i="26"/>
  <c r="C125" i="26"/>
  <c r="D125" i="26"/>
  <c r="C126" i="26"/>
  <c r="D126" i="26"/>
  <c r="C127" i="26"/>
  <c r="D127" i="26"/>
  <c r="C128" i="26"/>
  <c r="D128" i="26"/>
  <c r="C129" i="26"/>
  <c r="D129" i="26"/>
  <c r="C130" i="26"/>
  <c r="D130" i="26"/>
  <c r="C131" i="26"/>
  <c r="D131" i="26"/>
  <c r="C132" i="26"/>
  <c r="D132" i="26"/>
  <c r="C133" i="26"/>
  <c r="D133" i="26"/>
  <c r="C134" i="26"/>
  <c r="D134" i="26"/>
  <c r="C135" i="26"/>
  <c r="D135" i="26"/>
  <c r="C136" i="26"/>
  <c r="D136" i="26"/>
  <c r="C137" i="26"/>
  <c r="D137" i="26"/>
  <c r="C138" i="26"/>
  <c r="D138" i="26"/>
  <c r="C139" i="26"/>
  <c r="D139" i="26"/>
  <c r="C140" i="26"/>
  <c r="D140" i="26"/>
  <c r="C141" i="26"/>
  <c r="D141" i="26"/>
  <c r="C142" i="26"/>
  <c r="D142" i="26"/>
  <c r="C143" i="26"/>
  <c r="D143" i="26"/>
  <c r="C144" i="26"/>
  <c r="D144" i="26"/>
  <c r="C145" i="26"/>
  <c r="D145" i="26"/>
  <c r="C146" i="26"/>
  <c r="D146" i="26"/>
  <c r="C147" i="26"/>
  <c r="D147" i="26"/>
  <c r="C148" i="26"/>
  <c r="D148" i="26"/>
  <c r="C149" i="26"/>
  <c r="D149" i="26"/>
  <c r="C150" i="26"/>
  <c r="D150" i="26"/>
  <c r="C151" i="26"/>
  <c r="D151" i="26"/>
  <c r="C152" i="26"/>
  <c r="D152" i="26"/>
  <c r="C153" i="26"/>
  <c r="D153" i="26"/>
  <c r="C154" i="26"/>
  <c r="D154" i="26"/>
  <c r="C155" i="26"/>
  <c r="D155" i="26"/>
  <c r="C156" i="26"/>
  <c r="D156" i="26"/>
  <c r="C157" i="26"/>
  <c r="D157" i="26"/>
  <c r="C158" i="26"/>
  <c r="D158" i="26"/>
  <c r="C159" i="26"/>
  <c r="D159" i="26"/>
  <c r="C160" i="26"/>
  <c r="D160" i="26"/>
  <c r="C161" i="26"/>
  <c r="D161" i="26"/>
  <c r="C162" i="26"/>
  <c r="D162" i="26"/>
  <c r="C163" i="26"/>
  <c r="D163" i="26"/>
  <c r="C164" i="26"/>
  <c r="D164" i="26"/>
  <c r="C165" i="26"/>
  <c r="D165" i="26"/>
  <c r="C166" i="26"/>
  <c r="D166" i="26"/>
  <c r="C167" i="26"/>
  <c r="D167" i="26"/>
  <c r="C168" i="26"/>
  <c r="D168" i="26"/>
  <c r="C169" i="26"/>
  <c r="D169" i="26"/>
  <c r="C170" i="26"/>
  <c r="D170" i="26"/>
  <c r="C171" i="26"/>
  <c r="D171" i="26"/>
  <c r="C172" i="26"/>
  <c r="D172" i="26"/>
  <c r="C173" i="26"/>
  <c r="D173" i="26"/>
  <c r="C174" i="26"/>
  <c r="D174" i="26"/>
  <c r="C175" i="26"/>
  <c r="D175" i="26"/>
  <c r="C176" i="26"/>
  <c r="D176" i="26"/>
  <c r="C177" i="26"/>
  <c r="D177" i="26"/>
  <c r="C178" i="26"/>
  <c r="D178" i="26"/>
  <c r="C179" i="26"/>
  <c r="D179" i="26"/>
  <c r="C180" i="26"/>
  <c r="D180" i="26"/>
  <c r="C181" i="26"/>
  <c r="D181" i="26"/>
  <c r="C182" i="26"/>
  <c r="D182" i="26"/>
  <c r="C183" i="26"/>
  <c r="D183" i="26"/>
  <c r="C184" i="26"/>
  <c r="D184" i="26"/>
  <c r="C185" i="26"/>
  <c r="D185" i="26"/>
  <c r="C186" i="26"/>
  <c r="D186" i="26"/>
  <c r="C187" i="26"/>
  <c r="D187" i="26"/>
  <c r="C188" i="26"/>
  <c r="D188" i="26"/>
  <c r="C189" i="26"/>
  <c r="D189" i="26"/>
  <c r="C190" i="26"/>
  <c r="D190" i="26"/>
  <c r="C191" i="26"/>
  <c r="D191" i="26"/>
  <c r="C192" i="26"/>
  <c r="D192" i="26"/>
  <c r="C193" i="26"/>
  <c r="D193" i="26"/>
  <c r="C194" i="26"/>
  <c r="D194" i="26"/>
  <c r="C195" i="26"/>
  <c r="D195" i="26"/>
  <c r="C196" i="26"/>
  <c r="D196" i="26"/>
  <c r="C197" i="26"/>
  <c r="D197" i="26"/>
  <c r="C198" i="26"/>
  <c r="D198" i="26"/>
  <c r="C199" i="26"/>
  <c r="D199" i="26"/>
  <c r="C200" i="26"/>
  <c r="D200" i="26"/>
  <c r="C201" i="26"/>
  <c r="D201" i="26"/>
  <c r="C202" i="26"/>
  <c r="D202" i="26"/>
  <c r="C203" i="26"/>
  <c r="D203" i="26"/>
  <c r="C204" i="26"/>
  <c r="D204" i="26"/>
  <c r="C205" i="26"/>
  <c r="D205" i="26"/>
  <c r="C206" i="26"/>
  <c r="D206" i="26"/>
  <c r="C207" i="26"/>
  <c r="D207" i="26"/>
  <c r="C208" i="26"/>
  <c r="D208" i="26"/>
  <c r="C209" i="26"/>
  <c r="D209" i="26"/>
  <c r="C210" i="26"/>
  <c r="D210" i="26"/>
  <c r="C211" i="26"/>
  <c r="D211" i="26"/>
  <c r="C212" i="26"/>
  <c r="D212" i="26"/>
  <c r="C213" i="26"/>
  <c r="D213" i="26"/>
  <c r="C214" i="26"/>
  <c r="D214" i="26"/>
  <c r="C215" i="26"/>
  <c r="D215" i="26"/>
  <c r="C216" i="26"/>
  <c r="D216" i="26"/>
  <c r="C217" i="26"/>
  <c r="D217" i="26"/>
  <c r="C218" i="26"/>
  <c r="D218" i="26"/>
  <c r="C219" i="26"/>
  <c r="D219" i="26"/>
  <c r="C220" i="26"/>
  <c r="D220" i="26"/>
  <c r="C221" i="26"/>
  <c r="D221" i="26"/>
  <c r="C222" i="26"/>
  <c r="D222" i="26"/>
  <c r="C223" i="26"/>
  <c r="D223" i="26"/>
  <c r="C224" i="26"/>
  <c r="D224" i="26"/>
  <c r="C225" i="26"/>
  <c r="D225" i="26"/>
  <c r="C226" i="26"/>
  <c r="D226" i="26"/>
  <c r="C227" i="26"/>
  <c r="D227" i="26"/>
  <c r="C228" i="26"/>
  <c r="D228" i="26"/>
  <c r="C229" i="26"/>
  <c r="D229" i="26"/>
  <c r="C230" i="26"/>
  <c r="D230" i="26"/>
  <c r="C231" i="26"/>
  <c r="D231" i="26"/>
  <c r="C232" i="26"/>
  <c r="D232" i="26"/>
  <c r="C233" i="26"/>
  <c r="D233" i="26"/>
  <c r="C234" i="26"/>
  <c r="D234" i="26"/>
  <c r="C235" i="26"/>
  <c r="D235" i="26"/>
  <c r="C236" i="26"/>
  <c r="D236" i="26"/>
  <c r="C237" i="26"/>
  <c r="D237" i="26"/>
  <c r="C238" i="26"/>
  <c r="D238" i="26"/>
  <c r="C239" i="26"/>
  <c r="D239" i="26"/>
  <c r="C240" i="26"/>
  <c r="D240" i="26"/>
  <c r="C241" i="26"/>
  <c r="D241" i="26"/>
  <c r="C242" i="26"/>
  <c r="D242" i="26"/>
  <c r="C243" i="26"/>
  <c r="D243" i="26"/>
  <c r="C244" i="26"/>
  <c r="D244" i="26"/>
  <c r="C245" i="26"/>
  <c r="D245" i="26"/>
  <c r="C246" i="26"/>
  <c r="D246" i="26"/>
  <c r="C247" i="26"/>
  <c r="D247" i="26"/>
  <c r="C248" i="26"/>
  <c r="D248" i="26"/>
  <c r="C249" i="26"/>
  <c r="D249" i="26"/>
  <c r="C250" i="26"/>
  <c r="D250" i="26"/>
  <c r="C251" i="26"/>
  <c r="D251" i="26"/>
  <c r="C252" i="26"/>
  <c r="D252" i="26"/>
  <c r="C253" i="26"/>
  <c r="D253" i="26"/>
  <c r="C254" i="26"/>
  <c r="D254" i="26"/>
  <c r="C255" i="26"/>
  <c r="D255" i="26"/>
  <c r="C256" i="26"/>
  <c r="D256" i="26"/>
  <c r="C257" i="26"/>
  <c r="D257" i="26"/>
  <c r="C258" i="26"/>
  <c r="D258" i="26"/>
  <c r="C259" i="26"/>
  <c r="D259" i="26"/>
  <c r="C260" i="26"/>
  <c r="D260" i="26"/>
  <c r="C261" i="26"/>
  <c r="D261" i="26"/>
  <c r="C262" i="26"/>
  <c r="D262" i="26"/>
  <c r="C263" i="26"/>
  <c r="D263" i="26"/>
  <c r="C264" i="26"/>
  <c r="D264" i="26"/>
  <c r="C265" i="26"/>
  <c r="D265" i="26"/>
  <c r="C266" i="26"/>
  <c r="D266" i="26"/>
  <c r="C267" i="26"/>
  <c r="D267" i="26"/>
  <c r="C268" i="26"/>
  <c r="D268" i="26"/>
  <c r="C269" i="26"/>
  <c r="D269" i="26"/>
  <c r="C270" i="26"/>
  <c r="D270" i="26"/>
  <c r="C271" i="26"/>
  <c r="D271" i="26"/>
  <c r="C272" i="26"/>
  <c r="D272" i="26"/>
  <c r="C273" i="26"/>
  <c r="D273" i="26"/>
  <c r="C274" i="26"/>
  <c r="D274" i="26"/>
  <c r="C275" i="26"/>
  <c r="D275" i="26"/>
  <c r="C276" i="26"/>
  <c r="D276" i="26"/>
  <c r="C277" i="26"/>
  <c r="D277" i="26"/>
  <c r="C278" i="26"/>
  <c r="D278" i="26"/>
  <c r="C279" i="26"/>
  <c r="D279" i="26"/>
  <c r="C280" i="26"/>
  <c r="D280" i="26"/>
  <c r="C281" i="26"/>
  <c r="D281" i="26"/>
  <c r="C282" i="26"/>
  <c r="D282" i="26"/>
  <c r="C283" i="26"/>
  <c r="D283" i="26"/>
  <c r="C284" i="26"/>
  <c r="D284" i="26"/>
  <c r="C285" i="26"/>
  <c r="D285" i="26"/>
  <c r="C286" i="26"/>
  <c r="D286" i="26"/>
  <c r="C287" i="26"/>
  <c r="D287" i="26"/>
  <c r="C288" i="26"/>
  <c r="D288" i="26"/>
  <c r="C289" i="26"/>
  <c r="D289" i="26"/>
  <c r="C290" i="26"/>
  <c r="D290" i="26"/>
  <c r="C291" i="26"/>
  <c r="D291" i="26"/>
  <c r="C292" i="26"/>
  <c r="D292" i="26"/>
  <c r="C293" i="26"/>
  <c r="D293" i="26"/>
  <c r="C294" i="26"/>
  <c r="D294" i="26"/>
  <c r="C295" i="26"/>
  <c r="D295" i="26"/>
  <c r="C296" i="26"/>
  <c r="D296" i="26"/>
  <c r="C297" i="26"/>
  <c r="D297" i="26"/>
  <c r="C298" i="26"/>
  <c r="D298" i="26"/>
  <c r="C299" i="26"/>
  <c r="D299" i="26"/>
  <c r="C300" i="26"/>
  <c r="D300" i="26"/>
  <c r="C301" i="26"/>
  <c r="D301" i="26"/>
  <c r="C302" i="26"/>
  <c r="D302" i="26"/>
  <c r="C303" i="26"/>
  <c r="D303" i="26"/>
  <c r="C304" i="26"/>
  <c r="D304" i="26"/>
  <c r="C305" i="26"/>
  <c r="D305" i="26"/>
  <c r="C306" i="26"/>
  <c r="D306" i="26"/>
  <c r="C307" i="26"/>
  <c r="D307" i="26"/>
  <c r="C308" i="26"/>
  <c r="D308" i="26"/>
  <c r="C309" i="26"/>
  <c r="D309" i="26"/>
  <c r="C310" i="26"/>
  <c r="D310" i="26"/>
  <c r="C311" i="26"/>
  <c r="D311" i="26"/>
  <c r="C312" i="26"/>
  <c r="D312" i="26"/>
  <c r="C7" i="27"/>
  <c r="D7" i="27"/>
  <c r="C12" i="27"/>
  <c r="D12" i="27"/>
  <c r="C13" i="27"/>
  <c r="D13" i="27"/>
  <c r="C14" i="27"/>
  <c r="D14" i="27"/>
  <c r="C16" i="27"/>
  <c r="D16" i="27"/>
  <c r="C17" i="27"/>
  <c r="D17" i="27"/>
  <c r="C18" i="27"/>
  <c r="D18" i="27"/>
  <c r="C19" i="27"/>
  <c r="D19" i="27"/>
  <c r="C20" i="27"/>
  <c r="D20" i="27"/>
  <c r="C21" i="27"/>
  <c r="D21" i="27"/>
  <c r="C22" i="27"/>
  <c r="D22" i="27"/>
  <c r="C23" i="27"/>
  <c r="D23" i="27"/>
  <c r="C24" i="27"/>
  <c r="D24" i="27"/>
  <c r="C25" i="27"/>
  <c r="D25" i="27"/>
  <c r="C26" i="27"/>
  <c r="D26" i="27"/>
  <c r="C27" i="27"/>
  <c r="D27" i="27"/>
  <c r="C28" i="27"/>
  <c r="D28" i="27"/>
  <c r="C29" i="27"/>
  <c r="D29" i="27"/>
  <c r="C30" i="27"/>
  <c r="D30" i="27"/>
  <c r="C31" i="27"/>
  <c r="D31" i="27"/>
  <c r="C32" i="27"/>
  <c r="D32" i="27"/>
  <c r="C33" i="27"/>
  <c r="D33" i="27"/>
  <c r="C34" i="27"/>
  <c r="D34" i="27"/>
  <c r="C35" i="27"/>
  <c r="D35" i="27"/>
  <c r="C36" i="27"/>
  <c r="D36" i="27"/>
  <c r="C37" i="27"/>
  <c r="D37" i="27"/>
  <c r="C38" i="27"/>
  <c r="D38" i="27"/>
  <c r="C39" i="27"/>
  <c r="D39" i="27"/>
  <c r="C40" i="27"/>
  <c r="D40" i="27"/>
  <c r="C41" i="27"/>
  <c r="D41" i="27"/>
  <c r="C42" i="27"/>
  <c r="D42" i="27"/>
  <c r="C43" i="27"/>
  <c r="D43" i="27"/>
  <c r="C44" i="27"/>
  <c r="D44" i="27"/>
  <c r="C45" i="27"/>
  <c r="D45" i="27"/>
  <c r="C46" i="27"/>
  <c r="D46" i="27"/>
  <c r="C47" i="27"/>
  <c r="D47" i="27"/>
  <c r="C48" i="27"/>
  <c r="D48" i="27"/>
  <c r="C49" i="27"/>
  <c r="D49" i="27"/>
  <c r="C50" i="27"/>
  <c r="D50" i="27"/>
  <c r="C51" i="27"/>
  <c r="D51" i="27"/>
  <c r="C52" i="27"/>
  <c r="D52" i="27"/>
  <c r="C53" i="27"/>
  <c r="D53" i="27"/>
  <c r="C54" i="27"/>
  <c r="D54" i="27"/>
  <c r="C55" i="27"/>
  <c r="D55" i="27"/>
  <c r="C56" i="27"/>
  <c r="D56" i="27"/>
  <c r="C57" i="27"/>
  <c r="D57" i="27"/>
  <c r="C58" i="27"/>
  <c r="D58" i="27"/>
  <c r="C59" i="27"/>
  <c r="D59" i="27"/>
  <c r="C60" i="27"/>
  <c r="D60" i="27"/>
  <c r="C61" i="27"/>
  <c r="D61" i="27"/>
  <c r="C62" i="27"/>
  <c r="D62" i="27"/>
  <c r="C63" i="27"/>
  <c r="D63" i="27"/>
  <c r="C64" i="27"/>
  <c r="D64" i="27"/>
  <c r="C65" i="27"/>
  <c r="D65" i="27"/>
  <c r="C66" i="27"/>
  <c r="D66" i="27"/>
  <c r="C67" i="27"/>
  <c r="D67" i="27"/>
  <c r="C68" i="27"/>
  <c r="D68" i="27"/>
  <c r="C69" i="27"/>
  <c r="D69" i="27"/>
  <c r="C70" i="27"/>
  <c r="D70" i="27"/>
  <c r="C71" i="27"/>
  <c r="D71" i="27"/>
  <c r="C72" i="27"/>
  <c r="D72" i="27"/>
  <c r="C73" i="27"/>
  <c r="D73" i="27"/>
  <c r="C74" i="27"/>
  <c r="D74" i="27"/>
  <c r="C75" i="27"/>
  <c r="D75" i="27"/>
  <c r="C76" i="27"/>
  <c r="D76" i="27"/>
  <c r="C77" i="27"/>
  <c r="D77" i="27"/>
  <c r="C78" i="27"/>
  <c r="D78" i="27"/>
  <c r="C79" i="27"/>
  <c r="D79" i="27"/>
  <c r="C80" i="27"/>
  <c r="D80" i="27"/>
  <c r="C81" i="27"/>
  <c r="D81" i="27"/>
  <c r="C82" i="27"/>
  <c r="D82" i="27"/>
  <c r="C83" i="27"/>
  <c r="D83" i="27"/>
  <c r="C84" i="27"/>
  <c r="D84" i="27"/>
  <c r="C85" i="27"/>
  <c r="D85" i="27"/>
  <c r="C86" i="27"/>
  <c r="D86" i="27"/>
  <c r="C87" i="27"/>
  <c r="D87" i="27"/>
  <c r="C88" i="27"/>
  <c r="D88" i="27"/>
  <c r="C89" i="27"/>
  <c r="D89" i="27"/>
  <c r="C90" i="27"/>
  <c r="D90" i="27"/>
  <c r="C91" i="27"/>
  <c r="D91" i="27"/>
  <c r="C92" i="27"/>
  <c r="D92" i="27"/>
  <c r="C93" i="27"/>
  <c r="D93" i="27"/>
  <c r="C94" i="27"/>
  <c r="D94" i="27"/>
  <c r="C95" i="27"/>
  <c r="D95" i="27"/>
  <c r="C96" i="27"/>
  <c r="D96" i="27"/>
  <c r="C97" i="27"/>
  <c r="D97" i="27"/>
  <c r="C98" i="27"/>
  <c r="D98" i="27"/>
  <c r="C99" i="27"/>
  <c r="D99" i="27"/>
  <c r="C100" i="27"/>
  <c r="D100" i="27"/>
  <c r="C101" i="27"/>
  <c r="D101" i="27"/>
  <c r="C102" i="27"/>
  <c r="D102" i="27"/>
  <c r="C103" i="27"/>
  <c r="D103" i="27"/>
  <c r="C104" i="27"/>
  <c r="D104" i="27"/>
  <c r="C105" i="27"/>
  <c r="D105" i="27"/>
  <c r="C106" i="27"/>
  <c r="D106" i="27"/>
  <c r="C107" i="27"/>
  <c r="D107" i="27"/>
  <c r="C108" i="27"/>
  <c r="D108" i="27"/>
  <c r="C109" i="27"/>
  <c r="D109" i="27"/>
  <c r="C110" i="27"/>
  <c r="D110" i="27"/>
  <c r="C111" i="27"/>
  <c r="D111" i="27"/>
  <c r="C112" i="27"/>
  <c r="D112" i="27"/>
  <c r="C113" i="27"/>
  <c r="D113" i="27"/>
  <c r="C114" i="27"/>
  <c r="D114" i="27"/>
  <c r="C115" i="27"/>
  <c r="D115" i="27"/>
  <c r="C116" i="27"/>
  <c r="D116" i="27"/>
  <c r="C117" i="27"/>
  <c r="D117" i="27"/>
  <c r="C118" i="27"/>
  <c r="D118" i="27"/>
  <c r="C119" i="27"/>
  <c r="D119" i="27"/>
  <c r="C120" i="27"/>
  <c r="D120" i="27"/>
  <c r="C121" i="27"/>
  <c r="D121" i="27"/>
  <c r="C122" i="27"/>
  <c r="D122" i="27"/>
  <c r="C123" i="27"/>
  <c r="D123" i="27"/>
  <c r="C124" i="27"/>
  <c r="D124" i="27"/>
  <c r="C125" i="27"/>
  <c r="D125" i="27"/>
  <c r="C126" i="27"/>
  <c r="D126" i="27"/>
  <c r="C127" i="27"/>
  <c r="D127" i="27"/>
  <c r="C128" i="27"/>
  <c r="D128" i="27"/>
  <c r="C129" i="27"/>
  <c r="D129" i="27"/>
  <c r="C130" i="27"/>
  <c r="D130" i="27"/>
  <c r="C131" i="27"/>
  <c r="D131" i="27"/>
  <c r="C132" i="27"/>
  <c r="D132" i="27"/>
  <c r="C133" i="27"/>
  <c r="D133" i="27"/>
  <c r="C134" i="27"/>
  <c r="D134" i="27"/>
  <c r="C135" i="27"/>
  <c r="D135" i="27"/>
  <c r="C136" i="27"/>
  <c r="D136" i="27"/>
  <c r="C137" i="27"/>
  <c r="D137" i="27"/>
  <c r="C138" i="27"/>
  <c r="D138" i="27"/>
  <c r="C139" i="27"/>
  <c r="D139" i="27"/>
  <c r="C140" i="27"/>
  <c r="D140" i="27"/>
  <c r="C141" i="27"/>
  <c r="D141" i="27"/>
  <c r="C142" i="27"/>
  <c r="D142" i="27"/>
  <c r="C143" i="27"/>
  <c r="D143" i="27"/>
  <c r="C144" i="27"/>
  <c r="D144" i="27"/>
  <c r="C145" i="27"/>
  <c r="D145" i="27"/>
  <c r="C146" i="27"/>
  <c r="D146" i="27"/>
  <c r="C147" i="27"/>
  <c r="D147" i="27"/>
  <c r="C148" i="27"/>
  <c r="D148" i="27"/>
  <c r="C149" i="27"/>
  <c r="D149" i="27"/>
  <c r="C150" i="27"/>
  <c r="D150" i="27"/>
  <c r="C151" i="27"/>
  <c r="D151" i="27"/>
  <c r="C152" i="27"/>
  <c r="D152" i="27"/>
  <c r="C153" i="27"/>
  <c r="D153" i="27"/>
  <c r="C154" i="27"/>
  <c r="D154" i="27"/>
  <c r="C155" i="27"/>
  <c r="D155" i="27"/>
  <c r="C156" i="27"/>
  <c r="D156" i="27"/>
  <c r="C157" i="27"/>
  <c r="D157" i="27"/>
  <c r="C158" i="27"/>
  <c r="D158" i="27"/>
  <c r="C159" i="27"/>
  <c r="D159" i="27"/>
  <c r="C160" i="27"/>
  <c r="D160" i="27"/>
  <c r="C161" i="27"/>
  <c r="D161" i="27"/>
  <c r="C162" i="27"/>
  <c r="D162" i="27"/>
  <c r="C163" i="27"/>
  <c r="D163" i="27"/>
  <c r="C164" i="27"/>
  <c r="D164" i="27"/>
  <c r="C165" i="27"/>
  <c r="D165" i="27"/>
  <c r="C166" i="27"/>
  <c r="D166" i="27"/>
  <c r="C167" i="27"/>
  <c r="D167" i="27"/>
  <c r="C168" i="27"/>
  <c r="D168" i="27"/>
  <c r="C169" i="27"/>
  <c r="D169" i="27"/>
  <c r="C170" i="27"/>
  <c r="D170" i="27"/>
  <c r="C171" i="27"/>
  <c r="D171" i="27"/>
  <c r="C172" i="27"/>
  <c r="D172" i="27"/>
  <c r="C173" i="27"/>
  <c r="D173" i="27"/>
  <c r="C174" i="27"/>
  <c r="D174" i="27"/>
  <c r="C175" i="27"/>
  <c r="D175" i="27"/>
  <c r="C176" i="27"/>
  <c r="D176" i="27"/>
  <c r="C177" i="27"/>
  <c r="D177" i="27"/>
  <c r="C178" i="27"/>
  <c r="D178" i="27"/>
  <c r="C179" i="27"/>
  <c r="D179" i="27"/>
  <c r="C180" i="27"/>
  <c r="D180" i="27"/>
  <c r="C181" i="27"/>
  <c r="D181" i="27"/>
  <c r="C182" i="27"/>
  <c r="D182" i="27"/>
  <c r="C183" i="27"/>
  <c r="D183" i="27"/>
  <c r="C184" i="27"/>
  <c r="D184" i="27"/>
  <c r="C185" i="27"/>
  <c r="D185" i="27"/>
  <c r="C186" i="27"/>
  <c r="D186" i="27"/>
  <c r="C187" i="27"/>
  <c r="D187" i="27"/>
  <c r="C188" i="27"/>
  <c r="D188" i="27"/>
  <c r="C189" i="27"/>
  <c r="D189" i="27"/>
  <c r="C190" i="27"/>
  <c r="D190" i="27"/>
  <c r="C191" i="27"/>
  <c r="D191" i="27"/>
  <c r="C192" i="27"/>
  <c r="D192" i="27"/>
  <c r="C193" i="27"/>
  <c r="D193" i="27"/>
  <c r="C194" i="27"/>
  <c r="D194" i="27"/>
  <c r="C195" i="27"/>
  <c r="D195" i="27"/>
  <c r="C196" i="27"/>
  <c r="D196" i="27"/>
  <c r="C197" i="27"/>
  <c r="D197" i="27"/>
  <c r="C198" i="27"/>
  <c r="D198" i="27"/>
  <c r="C199" i="27"/>
  <c r="D199" i="27"/>
  <c r="C200" i="27"/>
  <c r="D200" i="27"/>
  <c r="C201" i="27"/>
  <c r="D201" i="27"/>
  <c r="C202" i="27"/>
  <c r="D202" i="27"/>
  <c r="C203" i="27"/>
  <c r="D203" i="27"/>
  <c r="C204" i="27"/>
  <c r="D204" i="27"/>
  <c r="C205" i="27"/>
  <c r="D205" i="27"/>
  <c r="C206" i="27"/>
  <c r="D206" i="27"/>
  <c r="C207" i="27"/>
  <c r="D207" i="27"/>
  <c r="C208" i="27"/>
  <c r="D208" i="27"/>
  <c r="C209" i="27"/>
  <c r="D209" i="27"/>
  <c r="C210" i="27"/>
  <c r="D210" i="27"/>
  <c r="C211" i="27"/>
  <c r="D211" i="27"/>
  <c r="C212" i="27"/>
  <c r="D212" i="27"/>
  <c r="C213" i="27"/>
  <c r="D213" i="27"/>
  <c r="C214" i="27"/>
  <c r="D214" i="27"/>
  <c r="C215" i="27"/>
  <c r="D215" i="27"/>
  <c r="C216" i="27"/>
  <c r="D216" i="27"/>
  <c r="C217" i="27"/>
  <c r="D217" i="27"/>
  <c r="C218" i="27"/>
  <c r="D218" i="27"/>
  <c r="C219" i="27"/>
  <c r="D219" i="27"/>
  <c r="C220" i="27"/>
  <c r="D220" i="27"/>
  <c r="C221" i="27"/>
  <c r="D221" i="27"/>
  <c r="C222" i="27"/>
  <c r="D222" i="27"/>
  <c r="C223" i="27"/>
  <c r="D223" i="27"/>
  <c r="C224" i="27"/>
  <c r="D224" i="27"/>
  <c r="C225" i="27"/>
  <c r="D225" i="27"/>
  <c r="C226" i="27"/>
  <c r="D226" i="27"/>
  <c r="C227" i="27"/>
  <c r="D227" i="27"/>
  <c r="C228" i="27"/>
  <c r="D228" i="27"/>
  <c r="C229" i="27"/>
  <c r="D229" i="27"/>
  <c r="C230" i="27"/>
  <c r="D230" i="27"/>
  <c r="C231" i="27"/>
  <c r="D231" i="27"/>
  <c r="C232" i="27"/>
  <c r="D232" i="27"/>
  <c r="C233" i="27"/>
  <c r="D233" i="27"/>
  <c r="C234" i="27"/>
  <c r="D234" i="27"/>
  <c r="C235" i="27"/>
  <c r="D235" i="27"/>
  <c r="C236" i="27"/>
  <c r="D236" i="27"/>
  <c r="C237" i="27"/>
  <c r="D237" i="27"/>
  <c r="C238" i="27"/>
  <c r="D238" i="27"/>
  <c r="C239" i="27"/>
  <c r="D239" i="27"/>
  <c r="C240" i="27"/>
  <c r="D240" i="27"/>
  <c r="C241" i="27"/>
  <c r="D241" i="27"/>
  <c r="C242" i="27"/>
  <c r="D242" i="27"/>
  <c r="C243" i="27"/>
  <c r="D243" i="27"/>
  <c r="C244" i="27"/>
  <c r="D244" i="27"/>
  <c r="C245" i="27"/>
  <c r="D245" i="27"/>
  <c r="C246" i="27"/>
  <c r="D246" i="27"/>
  <c r="C247" i="27"/>
  <c r="D247" i="27"/>
  <c r="C248" i="27"/>
  <c r="D248" i="27"/>
  <c r="C249" i="27"/>
  <c r="D249" i="27"/>
  <c r="C250" i="27"/>
  <c r="D250" i="27"/>
  <c r="C251" i="27"/>
  <c r="D251" i="27"/>
  <c r="C252" i="27"/>
  <c r="D252" i="27"/>
  <c r="C253" i="27"/>
  <c r="D253" i="27"/>
  <c r="C254" i="27"/>
  <c r="D254" i="27"/>
  <c r="C255" i="27"/>
  <c r="D255" i="27"/>
  <c r="C256" i="27"/>
  <c r="D256" i="27"/>
  <c r="C257" i="27"/>
  <c r="D257" i="27"/>
  <c r="C258" i="27"/>
  <c r="D258" i="27"/>
  <c r="C259" i="27"/>
  <c r="D259" i="27"/>
  <c r="C260" i="27"/>
  <c r="D260" i="27"/>
  <c r="C261" i="27"/>
  <c r="D261" i="27"/>
  <c r="C262" i="27"/>
  <c r="D262" i="27"/>
  <c r="C263" i="27"/>
  <c r="D263" i="27"/>
  <c r="C264" i="27"/>
  <c r="D264" i="27"/>
  <c r="C265" i="27"/>
  <c r="D265" i="27"/>
  <c r="C266" i="27"/>
  <c r="D266" i="27"/>
  <c r="C267" i="27"/>
  <c r="D267" i="27"/>
  <c r="C268" i="27"/>
  <c r="D268" i="27"/>
  <c r="C269" i="27"/>
  <c r="D269" i="27"/>
  <c r="C270" i="27"/>
  <c r="D270" i="27"/>
  <c r="C271" i="27"/>
  <c r="D271" i="27"/>
  <c r="C272" i="27"/>
  <c r="D272" i="27"/>
  <c r="C273" i="27"/>
  <c r="D273" i="27"/>
  <c r="C274" i="27"/>
  <c r="D274" i="27"/>
  <c r="C275" i="27"/>
  <c r="D275" i="27"/>
  <c r="C276" i="27"/>
  <c r="D276" i="27"/>
  <c r="C277" i="27"/>
  <c r="D277" i="27"/>
  <c r="C278" i="27"/>
  <c r="D278" i="27"/>
  <c r="C279" i="27"/>
  <c r="D279" i="27"/>
  <c r="C280" i="27"/>
  <c r="D280" i="27"/>
  <c r="C281" i="27"/>
  <c r="D281" i="27"/>
  <c r="C282" i="27"/>
  <c r="D282" i="27"/>
  <c r="C283" i="27"/>
  <c r="D283" i="27"/>
  <c r="C284" i="27"/>
  <c r="D284" i="27"/>
  <c r="C285" i="27"/>
  <c r="D285" i="27"/>
  <c r="C286" i="27"/>
  <c r="D286" i="27"/>
  <c r="C287" i="27"/>
  <c r="D287" i="27"/>
  <c r="C288" i="27"/>
  <c r="D288" i="27"/>
  <c r="C289" i="27"/>
  <c r="D289" i="27"/>
  <c r="C290" i="27"/>
  <c r="D290" i="27"/>
  <c r="C291" i="27"/>
  <c r="D291" i="27"/>
  <c r="C292" i="27"/>
  <c r="D292" i="27"/>
  <c r="C293" i="27"/>
  <c r="D293" i="27"/>
  <c r="C294" i="27"/>
  <c r="D294" i="27"/>
  <c r="C295" i="27"/>
  <c r="D295" i="27"/>
  <c r="C296" i="27"/>
  <c r="D296" i="27"/>
  <c r="C297" i="27"/>
  <c r="D297" i="27"/>
  <c r="C298" i="27"/>
  <c r="D298" i="27"/>
  <c r="C299" i="27"/>
  <c r="D299" i="27"/>
  <c r="C300" i="27"/>
  <c r="D300" i="27"/>
  <c r="C301" i="27"/>
  <c r="D301" i="27"/>
  <c r="C302" i="27"/>
  <c r="D302" i="27"/>
  <c r="C303" i="27"/>
  <c r="D303" i="27"/>
  <c r="C304" i="27"/>
  <c r="D304" i="27"/>
  <c r="C305" i="27"/>
  <c r="D305" i="27"/>
  <c r="C306" i="27"/>
  <c r="D306" i="27"/>
  <c r="C307" i="27"/>
  <c r="D307" i="27"/>
  <c r="C308" i="27"/>
  <c r="D308" i="27"/>
  <c r="C309" i="27"/>
  <c r="D309" i="27"/>
  <c r="C310" i="27"/>
  <c r="D310" i="27"/>
  <c r="C6" i="28"/>
  <c r="D6" i="28"/>
  <c r="C7" i="28"/>
  <c r="D7" i="28"/>
  <c r="C8" i="28"/>
  <c r="D8" i="28"/>
  <c r="C33" i="28"/>
  <c r="D33" i="28"/>
  <c r="C34" i="28"/>
  <c r="D34" i="28"/>
  <c r="C35" i="28"/>
  <c r="D35" i="28"/>
  <c r="C36" i="28"/>
  <c r="D36" i="28"/>
  <c r="C37" i="28"/>
  <c r="D37" i="28"/>
  <c r="C38" i="28"/>
  <c r="D38" i="28"/>
  <c r="C39" i="28"/>
  <c r="D39" i="28"/>
  <c r="C40" i="28"/>
  <c r="D40" i="28"/>
  <c r="C41" i="28"/>
  <c r="D41" i="28"/>
  <c r="C42" i="28"/>
  <c r="D42" i="28"/>
  <c r="C43" i="28"/>
  <c r="D43" i="28"/>
  <c r="C44" i="28"/>
  <c r="D44" i="28"/>
  <c r="C45" i="28"/>
  <c r="D45" i="28"/>
  <c r="C46" i="28"/>
  <c r="D46" i="28"/>
  <c r="C47" i="28"/>
  <c r="D47" i="28"/>
  <c r="C48" i="28"/>
  <c r="D48" i="28"/>
  <c r="C49" i="28"/>
  <c r="D49" i="28"/>
  <c r="C50" i="28"/>
  <c r="D50" i="28"/>
  <c r="C51" i="28"/>
  <c r="D51" i="28"/>
  <c r="C52" i="28"/>
  <c r="D52" i="28"/>
  <c r="C53" i="28"/>
  <c r="D53" i="28"/>
  <c r="C54" i="28"/>
  <c r="D54" i="28"/>
  <c r="C55" i="28"/>
  <c r="D55" i="28"/>
  <c r="C56" i="28"/>
  <c r="D56" i="28"/>
  <c r="C57" i="28"/>
  <c r="D57" i="28"/>
  <c r="C58" i="28"/>
  <c r="D58" i="28"/>
  <c r="C59" i="28"/>
  <c r="D59" i="28"/>
  <c r="C60" i="28"/>
  <c r="D60" i="28"/>
  <c r="C61" i="28"/>
  <c r="D61" i="28"/>
  <c r="C62" i="28"/>
  <c r="D62" i="28"/>
  <c r="C63" i="28"/>
  <c r="D63" i="28"/>
  <c r="C64" i="28"/>
  <c r="D64" i="28"/>
  <c r="C65" i="28"/>
  <c r="D65" i="28"/>
  <c r="C66" i="28"/>
  <c r="D66" i="28"/>
  <c r="C67" i="28"/>
  <c r="D67" i="28"/>
  <c r="C68" i="28"/>
  <c r="D68" i="28"/>
  <c r="C69" i="28"/>
  <c r="D69" i="28"/>
  <c r="C70" i="28"/>
  <c r="D70" i="28"/>
  <c r="C71" i="28"/>
  <c r="D71" i="28"/>
  <c r="C72" i="28"/>
  <c r="D72" i="28"/>
  <c r="C73" i="28"/>
  <c r="D73" i="28"/>
  <c r="C74" i="28"/>
  <c r="D74" i="28"/>
  <c r="C75" i="28"/>
  <c r="D75" i="28"/>
  <c r="C76" i="28"/>
  <c r="D76" i="28"/>
  <c r="C77" i="28"/>
  <c r="D77" i="28"/>
  <c r="C78" i="28"/>
  <c r="D78" i="28"/>
  <c r="C79" i="28"/>
  <c r="D79" i="28"/>
  <c r="C80" i="28"/>
  <c r="D80" i="28"/>
  <c r="C81" i="28"/>
  <c r="D81" i="28"/>
  <c r="C82" i="28"/>
  <c r="D82" i="28"/>
  <c r="C83" i="28"/>
  <c r="D83" i="28"/>
  <c r="C84" i="28"/>
  <c r="D84" i="28"/>
  <c r="C85" i="28"/>
  <c r="D85" i="28"/>
  <c r="C86" i="28"/>
  <c r="D86" i="28"/>
  <c r="C87" i="28"/>
  <c r="D87" i="28"/>
  <c r="C88" i="28"/>
  <c r="D88" i="28"/>
  <c r="C89" i="28"/>
  <c r="D89" i="28"/>
  <c r="C90" i="28"/>
  <c r="D90" i="28"/>
  <c r="C91" i="28"/>
  <c r="D91" i="28"/>
  <c r="C92" i="28"/>
  <c r="D92" i="28"/>
  <c r="C93" i="28"/>
  <c r="D93" i="28"/>
  <c r="C94" i="28"/>
  <c r="D94" i="28"/>
  <c r="C95" i="28"/>
  <c r="D95" i="28"/>
  <c r="C96" i="28"/>
  <c r="D96" i="28"/>
  <c r="C97" i="28"/>
  <c r="D97" i="28"/>
  <c r="C98" i="28"/>
  <c r="D98" i="28"/>
  <c r="C99" i="28"/>
  <c r="D99" i="28"/>
  <c r="C100" i="28"/>
  <c r="D100" i="28"/>
  <c r="C101" i="28"/>
  <c r="D101" i="28"/>
  <c r="C102" i="28"/>
  <c r="D102" i="28"/>
  <c r="C103" i="28"/>
  <c r="D103" i="28"/>
  <c r="C104" i="28"/>
  <c r="D104" i="28"/>
  <c r="C105" i="28"/>
  <c r="D105" i="28"/>
  <c r="C106" i="28"/>
  <c r="D106" i="28"/>
  <c r="C107" i="28"/>
  <c r="D107" i="28"/>
  <c r="C108" i="28"/>
  <c r="D108" i="28"/>
  <c r="C109" i="28"/>
  <c r="D109" i="28"/>
  <c r="C110" i="28"/>
  <c r="D110" i="28"/>
  <c r="C111" i="28"/>
  <c r="D111" i="28"/>
  <c r="C112" i="28"/>
  <c r="D112" i="28"/>
  <c r="C113" i="28"/>
  <c r="D113" i="28"/>
  <c r="C114" i="28"/>
  <c r="D114" i="28"/>
  <c r="C115" i="28"/>
  <c r="D115" i="28"/>
  <c r="C116" i="28"/>
  <c r="D116" i="28"/>
  <c r="C117" i="28"/>
  <c r="D117" i="28"/>
  <c r="C118" i="28"/>
  <c r="D118" i="28"/>
  <c r="C119" i="28"/>
  <c r="D119" i="28"/>
  <c r="C120" i="28"/>
  <c r="D120" i="28"/>
  <c r="C121" i="28"/>
  <c r="D121" i="28"/>
  <c r="C122" i="28"/>
  <c r="D122" i="28"/>
  <c r="C123" i="28"/>
  <c r="D123" i="28"/>
  <c r="C124" i="28"/>
  <c r="D124" i="28"/>
  <c r="C125" i="28"/>
  <c r="D125" i="28"/>
  <c r="C126" i="28"/>
  <c r="D126" i="28"/>
  <c r="C127" i="28"/>
  <c r="D127" i="28"/>
  <c r="C128" i="28"/>
  <c r="D128" i="28"/>
  <c r="C129" i="28"/>
  <c r="D129" i="28"/>
  <c r="C130" i="28"/>
  <c r="D130" i="28"/>
  <c r="C131" i="28"/>
  <c r="D131" i="28"/>
  <c r="C132" i="28"/>
  <c r="D132" i="28"/>
  <c r="C133" i="28"/>
  <c r="D133" i="28"/>
  <c r="C134" i="28"/>
  <c r="D134" i="28"/>
  <c r="C135" i="28"/>
  <c r="D135" i="28"/>
  <c r="C136" i="28"/>
  <c r="D136" i="28"/>
  <c r="C137" i="28"/>
  <c r="D137" i="28"/>
  <c r="C138" i="28"/>
  <c r="D138" i="28"/>
  <c r="C139" i="28"/>
  <c r="D139" i="28"/>
  <c r="C140" i="28"/>
  <c r="D140" i="28"/>
  <c r="C141" i="28"/>
  <c r="D141" i="28"/>
  <c r="C142" i="28"/>
  <c r="D142" i="28"/>
  <c r="C143" i="28"/>
  <c r="D143" i="28"/>
  <c r="C144" i="28"/>
  <c r="D144" i="28"/>
  <c r="C145" i="28"/>
  <c r="D145" i="28"/>
  <c r="C146" i="28"/>
  <c r="D146" i="28"/>
  <c r="C147" i="28"/>
  <c r="D147" i="28"/>
  <c r="C148" i="28"/>
  <c r="D148" i="28"/>
  <c r="C149" i="28"/>
  <c r="D149" i="28"/>
  <c r="C150" i="28"/>
  <c r="D150" i="28"/>
  <c r="C151" i="28"/>
  <c r="D151" i="28"/>
  <c r="C152" i="28"/>
  <c r="D152" i="28"/>
  <c r="C153" i="28"/>
  <c r="D153" i="28"/>
  <c r="C154" i="28"/>
  <c r="D154" i="28"/>
  <c r="C155" i="28"/>
  <c r="D155" i="28"/>
  <c r="C156" i="28"/>
  <c r="D156" i="28"/>
  <c r="C157" i="28"/>
  <c r="D157" i="28"/>
  <c r="C158" i="28"/>
  <c r="D158" i="28"/>
  <c r="C159" i="28"/>
  <c r="D159" i="28"/>
  <c r="C160" i="28"/>
  <c r="D160" i="28"/>
  <c r="C161" i="28"/>
  <c r="D161" i="28"/>
  <c r="C162" i="28"/>
  <c r="D162" i="28"/>
  <c r="C163" i="28"/>
  <c r="D163" i="28"/>
  <c r="C164" i="28"/>
  <c r="D164" i="28"/>
  <c r="C165" i="28"/>
  <c r="D165" i="28"/>
  <c r="C166" i="28"/>
  <c r="D166" i="28"/>
  <c r="C167" i="28"/>
  <c r="D167" i="28"/>
  <c r="C168" i="28"/>
  <c r="D168" i="28"/>
  <c r="C169" i="28"/>
  <c r="D169" i="28"/>
  <c r="C170" i="28"/>
  <c r="D170" i="28"/>
  <c r="C171" i="28"/>
  <c r="D171" i="28"/>
  <c r="C172" i="28"/>
  <c r="D172" i="28"/>
  <c r="C173" i="28"/>
  <c r="D173" i="28"/>
  <c r="C174" i="28"/>
  <c r="D174" i="28"/>
  <c r="C175" i="28"/>
  <c r="D175" i="28"/>
  <c r="C176" i="28"/>
  <c r="D176" i="28"/>
  <c r="C177" i="28"/>
  <c r="D177" i="28"/>
  <c r="C178" i="28"/>
  <c r="D178" i="28"/>
  <c r="C179" i="28"/>
  <c r="D179" i="28"/>
  <c r="C180" i="28"/>
  <c r="D180" i="28"/>
  <c r="C181" i="28"/>
  <c r="D181" i="28"/>
  <c r="C182" i="28"/>
  <c r="D182" i="28"/>
  <c r="C183" i="28"/>
  <c r="D183" i="28"/>
  <c r="C184" i="28"/>
  <c r="D184" i="28"/>
  <c r="C185" i="28"/>
  <c r="D185" i="28"/>
  <c r="C186" i="28"/>
  <c r="D186" i="28"/>
  <c r="C187" i="28"/>
  <c r="D187" i="28"/>
  <c r="C188" i="28"/>
  <c r="D188" i="28"/>
  <c r="C189" i="28"/>
  <c r="D189" i="28"/>
  <c r="C190" i="28"/>
  <c r="D190" i="28"/>
  <c r="C191" i="28"/>
  <c r="D191" i="28"/>
  <c r="C192" i="28"/>
  <c r="D192" i="28"/>
  <c r="C193" i="28"/>
  <c r="D193" i="28"/>
  <c r="C194" i="28"/>
  <c r="D194" i="28"/>
  <c r="C195" i="28"/>
  <c r="D195" i="28"/>
  <c r="C196" i="28"/>
  <c r="D196" i="28"/>
  <c r="C197" i="28"/>
  <c r="D197" i="28"/>
  <c r="C198" i="28"/>
  <c r="D198" i="28"/>
  <c r="C199" i="28"/>
  <c r="D199" i="28"/>
  <c r="C200" i="28"/>
  <c r="D200" i="28"/>
  <c r="C201" i="28"/>
  <c r="D201" i="28"/>
  <c r="C202" i="28"/>
  <c r="D202" i="28"/>
  <c r="C203" i="28"/>
  <c r="D203" i="28"/>
  <c r="C204" i="28"/>
  <c r="D204" i="28"/>
  <c r="C205" i="28"/>
  <c r="D205" i="28"/>
  <c r="C206" i="28"/>
  <c r="D206" i="28"/>
  <c r="C207" i="28"/>
  <c r="D207" i="28"/>
  <c r="C208" i="28"/>
  <c r="D208" i="28"/>
  <c r="C209" i="28"/>
  <c r="D209" i="28"/>
  <c r="C210" i="28"/>
  <c r="D210" i="28"/>
  <c r="C211" i="28"/>
  <c r="D211" i="28"/>
  <c r="C212" i="28"/>
  <c r="D212" i="28"/>
  <c r="C213" i="28"/>
  <c r="D213" i="28"/>
  <c r="C214" i="28"/>
  <c r="D214" i="28"/>
  <c r="C215" i="28"/>
  <c r="D215" i="28"/>
  <c r="C216" i="28"/>
  <c r="D216" i="28"/>
  <c r="C217" i="28"/>
  <c r="D217" i="28"/>
  <c r="C218" i="28"/>
  <c r="D218" i="28"/>
  <c r="C219" i="28"/>
  <c r="D219" i="28"/>
  <c r="C220" i="28"/>
  <c r="D220" i="28"/>
  <c r="C221" i="28"/>
  <c r="D221" i="28"/>
  <c r="C222" i="28"/>
  <c r="D222" i="28"/>
  <c r="C223" i="28"/>
  <c r="D223" i="28"/>
  <c r="C224" i="28"/>
  <c r="D224" i="28"/>
  <c r="C225" i="28"/>
  <c r="D225" i="28"/>
  <c r="C226" i="28"/>
  <c r="D226" i="28"/>
  <c r="C227" i="28"/>
  <c r="D227" i="28"/>
  <c r="C228" i="28"/>
  <c r="D228" i="28"/>
  <c r="C229" i="28"/>
  <c r="D229" i="28"/>
  <c r="C230" i="28"/>
  <c r="D230" i="28"/>
  <c r="C231" i="28"/>
  <c r="D231" i="28"/>
  <c r="C232" i="28"/>
  <c r="D232" i="28"/>
  <c r="C233" i="28"/>
  <c r="D233" i="28"/>
  <c r="C234" i="28"/>
  <c r="D234" i="28"/>
  <c r="C235" i="28"/>
  <c r="D235" i="28"/>
  <c r="C236" i="28"/>
  <c r="D236" i="28"/>
  <c r="C237" i="28"/>
  <c r="D237" i="28"/>
  <c r="C238" i="28"/>
  <c r="D238" i="28"/>
  <c r="C239" i="28"/>
  <c r="D239" i="28"/>
  <c r="C240" i="28"/>
  <c r="D240" i="28"/>
  <c r="C241" i="28"/>
  <c r="D241" i="28"/>
  <c r="C242" i="28"/>
  <c r="D242" i="28"/>
  <c r="C243" i="28"/>
  <c r="D243" i="28"/>
  <c r="C244" i="28"/>
  <c r="D244" i="28"/>
  <c r="C245" i="28"/>
  <c r="D245" i="28"/>
  <c r="C246" i="28"/>
  <c r="D246" i="28"/>
  <c r="C247" i="28"/>
  <c r="D247" i="28"/>
  <c r="C248" i="28"/>
  <c r="D248" i="28"/>
  <c r="C249" i="28"/>
  <c r="D249" i="28"/>
  <c r="C250" i="28"/>
  <c r="D250" i="28"/>
  <c r="C251" i="28"/>
  <c r="D251" i="28"/>
  <c r="C252" i="28"/>
  <c r="D252" i="28"/>
  <c r="C253" i="28"/>
  <c r="D253" i="28"/>
  <c r="C254" i="28"/>
  <c r="D254" i="28"/>
  <c r="C255" i="28"/>
  <c r="D255" i="28"/>
  <c r="C256" i="28"/>
  <c r="D256" i="28"/>
  <c r="C257" i="28"/>
  <c r="D257" i="28"/>
  <c r="C258" i="28"/>
  <c r="D258" i="28"/>
  <c r="C259" i="28"/>
  <c r="D259" i="28"/>
  <c r="C260" i="28"/>
  <c r="D260" i="28"/>
  <c r="C261" i="28"/>
  <c r="D261" i="28"/>
  <c r="C262" i="28"/>
  <c r="D262" i="28"/>
  <c r="C263" i="28"/>
  <c r="D263" i="28"/>
  <c r="C264" i="28"/>
  <c r="D264" i="28"/>
  <c r="C265" i="28"/>
  <c r="D265" i="28"/>
  <c r="C266" i="28"/>
  <c r="D266" i="28"/>
  <c r="C267" i="28"/>
  <c r="D267" i="28"/>
  <c r="C268" i="28"/>
  <c r="D268" i="28"/>
  <c r="C269" i="28"/>
  <c r="D269" i="28"/>
  <c r="C270" i="28"/>
  <c r="D270" i="28"/>
  <c r="C271" i="28"/>
  <c r="D271" i="28"/>
  <c r="C272" i="28"/>
  <c r="D272" i="28"/>
  <c r="C273" i="28"/>
  <c r="D273" i="28"/>
  <c r="C274" i="28"/>
  <c r="D274" i="28"/>
  <c r="C275" i="28"/>
  <c r="D275" i="28"/>
  <c r="C276" i="28"/>
  <c r="D276" i="28"/>
  <c r="C277" i="28"/>
  <c r="D277" i="28"/>
  <c r="C278" i="28"/>
  <c r="D278" i="28"/>
  <c r="C279" i="28"/>
  <c r="D279" i="28"/>
  <c r="C280" i="28"/>
  <c r="D280" i="28"/>
  <c r="C281" i="28"/>
  <c r="D281" i="28"/>
  <c r="C282" i="28"/>
  <c r="D282" i="28"/>
  <c r="C283" i="28"/>
  <c r="D283" i="28"/>
  <c r="C284" i="28"/>
  <c r="D284" i="28"/>
  <c r="C285" i="28"/>
  <c r="D285" i="28"/>
  <c r="C286" i="28"/>
  <c r="D286" i="28"/>
  <c r="C287" i="28"/>
  <c r="D287" i="28"/>
  <c r="C288" i="28"/>
  <c r="D288" i="28"/>
  <c r="C289" i="28"/>
  <c r="D289" i="28"/>
  <c r="C290" i="28"/>
  <c r="D290" i="28"/>
  <c r="C291" i="28"/>
  <c r="D291" i="28"/>
  <c r="C292" i="28"/>
  <c r="D292" i="28"/>
  <c r="C293" i="28"/>
  <c r="D293" i="28"/>
  <c r="C294" i="28"/>
  <c r="D294" i="28"/>
  <c r="C295" i="28"/>
  <c r="D295" i="28"/>
  <c r="C296" i="28"/>
  <c r="D296" i="28"/>
  <c r="C297" i="28"/>
  <c r="D297" i="28"/>
  <c r="C298" i="28"/>
  <c r="D298" i="28"/>
  <c r="C299" i="28"/>
  <c r="D299" i="28"/>
  <c r="C300" i="28"/>
  <c r="D300" i="28"/>
  <c r="C301" i="28"/>
  <c r="D301" i="28"/>
  <c r="C302" i="28"/>
  <c r="D302" i="28"/>
  <c r="C303" i="28"/>
  <c r="D303" i="28"/>
  <c r="C304" i="28"/>
  <c r="D304" i="28"/>
  <c r="C305" i="28"/>
  <c r="D305" i="28"/>
  <c r="C306" i="28"/>
  <c r="D306" i="28"/>
  <c r="C307" i="28"/>
  <c r="D307" i="28"/>
  <c r="C6" i="29"/>
  <c r="D6" i="29"/>
  <c r="C7" i="29"/>
  <c r="D7" i="29"/>
  <c r="C26" i="29"/>
  <c r="D26" i="29"/>
  <c r="C27" i="29"/>
  <c r="D27" i="29"/>
  <c r="C28" i="29"/>
  <c r="D28" i="29"/>
  <c r="C29" i="29"/>
  <c r="D29" i="29"/>
  <c r="C30" i="29"/>
  <c r="D30" i="29"/>
  <c r="C31" i="29"/>
  <c r="D31" i="29"/>
  <c r="C32" i="29"/>
  <c r="D32" i="29"/>
  <c r="C33" i="29"/>
  <c r="D33" i="29"/>
  <c r="C34" i="29"/>
  <c r="D34" i="29"/>
  <c r="C35" i="29"/>
  <c r="D35" i="29"/>
  <c r="C36" i="29"/>
  <c r="D36" i="29"/>
  <c r="C37" i="29"/>
  <c r="D37" i="29"/>
  <c r="C38" i="29"/>
  <c r="D38" i="29"/>
  <c r="C39" i="29"/>
  <c r="D39" i="29"/>
  <c r="C40" i="29"/>
  <c r="D40" i="29"/>
  <c r="C41" i="29"/>
  <c r="D41" i="29"/>
  <c r="C42" i="29"/>
  <c r="D42" i="29"/>
  <c r="C43" i="29"/>
  <c r="D43" i="29"/>
  <c r="C44" i="29"/>
  <c r="D44" i="29"/>
  <c r="C45" i="29"/>
  <c r="D45" i="29"/>
  <c r="C46" i="29"/>
  <c r="D46" i="29"/>
  <c r="C47" i="29"/>
  <c r="D47" i="29"/>
  <c r="C48" i="29"/>
  <c r="D48" i="29"/>
  <c r="C49" i="29"/>
  <c r="D49" i="29"/>
  <c r="C50" i="29"/>
  <c r="D50" i="29"/>
  <c r="C51" i="29"/>
  <c r="D51" i="29"/>
  <c r="C52" i="29"/>
  <c r="D52" i="29"/>
  <c r="C53" i="29"/>
  <c r="D53" i="29"/>
  <c r="C54" i="29"/>
  <c r="D54" i="29"/>
  <c r="C55" i="29"/>
  <c r="D55" i="29"/>
  <c r="C56" i="29"/>
  <c r="D56" i="29"/>
  <c r="C57" i="29"/>
  <c r="D57" i="29"/>
  <c r="C58" i="29"/>
  <c r="D58" i="29"/>
  <c r="C59" i="29"/>
  <c r="D59" i="29"/>
  <c r="C60" i="29"/>
  <c r="D60" i="29"/>
  <c r="C61" i="29"/>
  <c r="D61" i="29"/>
  <c r="C62" i="29"/>
  <c r="D62" i="29"/>
  <c r="C63" i="29"/>
  <c r="D63" i="29"/>
  <c r="C64" i="29"/>
  <c r="D64" i="29"/>
  <c r="C65" i="29"/>
  <c r="D65" i="29"/>
  <c r="C66" i="29"/>
  <c r="D66" i="29"/>
  <c r="C67" i="29"/>
  <c r="D67" i="29"/>
  <c r="C68" i="29"/>
  <c r="D68" i="29"/>
  <c r="C69" i="29"/>
  <c r="D69" i="29"/>
  <c r="C70" i="29"/>
  <c r="D70" i="29"/>
  <c r="C71" i="29"/>
  <c r="D71" i="29"/>
  <c r="C72" i="29"/>
  <c r="D72" i="29"/>
  <c r="C73" i="29"/>
  <c r="D73" i="29"/>
  <c r="C74" i="29"/>
  <c r="D74" i="29"/>
  <c r="C75" i="29"/>
  <c r="D75" i="29"/>
  <c r="C76" i="29"/>
  <c r="D76" i="29"/>
  <c r="C77" i="29"/>
  <c r="D77" i="29"/>
  <c r="C78" i="29"/>
  <c r="D78" i="29"/>
  <c r="C79" i="29"/>
  <c r="D79" i="29"/>
  <c r="C80" i="29"/>
  <c r="D80" i="29"/>
  <c r="C81" i="29"/>
  <c r="D81" i="29"/>
  <c r="C82" i="29"/>
  <c r="D82" i="29"/>
  <c r="C83" i="29"/>
  <c r="D83" i="29"/>
  <c r="C84" i="29"/>
  <c r="D84" i="29"/>
  <c r="C85" i="29"/>
  <c r="D85" i="29"/>
  <c r="C86" i="29"/>
  <c r="D86" i="29"/>
  <c r="C87" i="29"/>
  <c r="D87" i="29"/>
  <c r="C88" i="29"/>
  <c r="D88" i="29"/>
  <c r="C89" i="29"/>
  <c r="D89" i="29"/>
  <c r="C90" i="29"/>
  <c r="D90" i="29"/>
  <c r="C91" i="29"/>
  <c r="D91" i="29"/>
  <c r="C92" i="29"/>
  <c r="D92" i="29"/>
  <c r="C93" i="29"/>
  <c r="D93" i="29"/>
  <c r="C94" i="29"/>
  <c r="D94" i="29"/>
  <c r="C95" i="29"/>
  <c r="D95" i="29"/>
  <c r="C96" i="29"/>
  <c r="D96" i="29"/>
  <c r="C97" i="29"/>
  <c r="D97" i="29"/>
  <c r="C98" i="29"/>
  <c r="D98" i="29"/>
  <c r="C99" i="29"/>
  <c r="D99" i="29"/>
  <c r="C100" i="29"/>
  <c r="D100" i="29"/>
  <c r="C101" i="29"/>
  <c r="D101" i="29"/>
  <c r="C102" i="29"/>
  <c r="D102" i="29"/>
  <c r="C103" i="29"/>
  <c r="D103" i="29"/>
  <c r="C104" i="29"/>
  <c r="D104" i="29"/>
  <c r="C105" i="29"/>
  <c r="D105" i="29"/>
  <c r="C106" i="29"/>
  <c r="D106" i="29"/>
  <c r="C107" i="29"/>
  <c r="D107" i="29"/>
  <c r="C108" i="29"/>
  <c r="D108" i="29"/>
  <c r="C109" i="29"/>
  <c r="D109" i="29"/>
  <c r="C110" i="29"/>
  <c r="D110" i="29"/>
  <c r="C111" i="29"/>
  <c r="D111" i="29"/>
  <c r="C112" i="29"/>
  <c r="D112" i="29"/>
  <c r="C113" i="29"/>
  <c r="D113" i="29"/>
  <c r="C114" i="29"/>
  <c r="D114" i="29"/>
  <c r="C115" i="29"/>
  <c r="D115" i="29"/>
  <c r="C116" i="29"/>
  <c r="D116" i="29"/>
  <c r="C117" i="29"/>
  <c r="D117" i="29"/>
  <c r="C118" i="29"/>
  <c r="D118" i="29"/>
  <c r="C119" i="29"/>
  <c r="D119" i="29"/>
  <c r="C120" i="29"/>
  <c r="D120" i="29"/>
  <c r="C121" i="29"/>
  <c r="D121" i="29"/>
  <c r="C122" i="29"/>
  <c r="D122" i="29"/>
  <c r="C123" i="29"/>
  <c r="D123" i="29"/>
  <c r="C124" i="29"/>
  <c r="D124" i="29"/>
  <c r="C125" i="29"/>
  <c r="D125" i="29"/>
  <c r="C126" i="29"/>
  <c r="D126" i="29"/>
  <c r="C127" i="29"/>
  <c r="D127" i="29"/>
  <c r="C128" i="29"/>
  <c r="D128" i="29"/>
  <c r="C129" i="29"/>
  <c r="D129" i="29"/>
  <c r="C130" i="29"/>
  <c r="D130" i="29"/>
  <c r="C131" i="29"/>
  <c r="D131" i="29"/>
  <c r="C132" i="29"/>
  <c r="D132" i="29"/>
  <c r="C133" i="29"/>
  <c r="D133" i="29"/>
  <c r="C134" i="29"/>
  <c r="D134" i="29"/>
  <c r="C135" i="29"/>
  <c r="D135" i="29"/>
  <c r="C136" i="29"/>
  <c r="D136" i="29"/>
  <c r="C137" i="29"/>
  <c r="D137" i="29"/>
  <c r="C138" i="29"/>
  <c r="D138" i="29"/>
  <c r="C139" i="29"/>
  <c r="D139" i="29"/>
  <c r="C140" i="29"/>
  <c r="D140" i="29"/>
  <c r="C141" i="29"/>
  <c r="D141" i="29"/>
  <c r="C142" i="29"/>
  <c r="D142" i="29"/>
  <c r="C143" i="29"/>
  <c r="D143" i="29"/>
  <c r="C144" i="29"/>
  <c r="D144" i="29"/>
  <c r="C145" i="29"/>
  <c r="D145" i="29"/>
  <c r="C146" i="29"/>
  <c r="D146" i="29"/>
  <c r="C147" i="29"/>
  <c r="D147" i="29"/>
  <c r="C148" i="29"/>
  <c r="D148" i="29"/>
  <c r="C149" i="29"/>
  <c r="D149" i="29"/>
  <c r="C150" i="29"/>
  <c r="D150" i="29"/>
  <c r="C151" i="29"/>
  <c r="D151" i="29"/>
  <c r="C152" i="29"/>
  <c r="D152" i="29"/>
  <c r="C153" i="29"/>
  <c r="D153" i="29"/>
  <c r="C154" i="29"/>
  <c r="D154" i="29"/>
  <c r="C155" i="29"/>
  <c r="D155" i="29"/>
  <c r="C156" i="29"/>
  <c r="D156" i="29"/>
  <c r="C157" i="29"/>
  <c r="D157" i="29"/>
  <c r="C158" i="29"/>
  <c r="D158" i="29"/>
  <c r="C159" i="29"/>
  <c r="D159" i="29"/>
  <c r="C160" i="29"/>
  <c r="D160" i="29"/>
  <c r="C161" i="29"/>
  <c r="D161" i="29"/>
  <c r="C162" i="29"/>
  <c r="D162" i="29"/>
  <c r="C163" i="29"/>
  <c r="D163" i="29"/>
  <c r="C164" i="29"/>
  <c r="D164" i="29"/>
  <c r="C165" i="29"/>
  <c r="D165" i="29"/>
  <c r="C166" i="29"/>
  <c r="D166" i="29"/>
  <c r="C167" i="29"/>
  <c r="D167" i="29"/>
  <c r="C168" i="29"/>
  <c r="D168" i="29"/>
  <c r="C169" i="29"/>
  <c r="D169" i="29"/>
  <c r="C170" i="29"/>
  <c r="D170" i="29"/>
  <c r="C171" i="29"/>
  <c r="D171" i="29"/>
  <c r="C172" i="29"/>
  <c r="D172" i="29"/>
  <c r="C173" i="29"/>
  <c r="D173" i="29"/>
  <c r="C174" i="29"/>
  <c r="D174" i="29"/>
  <c r="C175" i="29"/>
  <c r="D175" i="29"/>
  <c r="C176" i="29"/>
  <c r="D176" i="29"/>
  <c r="C177" i="29"/>
  <c r="D177" i="29"/>
  <c r="C178" i="29"/>
  <c r="D178" i="29"/>
  <c r="C179" i="29"/>
  <c r="D179" i="29"/>
  <c r="C180" i="29"/>
  <c r="D180" i="29"/>
  <c r="C181" i="29"/>
  <c r="D181" i="29"/>
  <c r="C182" i="29"/>
  <c r="D182" i="29"/>
  <c r="C183" i="29"/>
  <c r="D183" i="29"/>
  <c r="C184" i="29"/>
  <c r="D184" i="29"/>
  <c r="C185" i="29"/>
  <c r="D185" i="29"/>
  <c r="C186" i="29"/>
  <c r="D186" i="29"/>
  <c r="C187" i="29"/>
  <c r="D187" i="29"/>
  <c r="C188" i="29"/>
  <c r="D188" i="29"/>
  <c r="C189" i="29"/>
  <c r="D189" i="29"/>
  <c r="C190" i="29"/>
  <c r="D190" i="29"/>
  <c r="C191" i="29"/>
  <c r="D191" i="29"/>
  <c r="C192" i="29"/>
  <c r="D192" i="29"/>
  <c r="C193" i="29"/>
  <c r="D193" i="29"/>
  <c r="C194" i="29"/>
  <c r="D194" i="29"/>
  <c r="C195" i="29"/>
  <c r="D195" i="29"/>
  <c r="C196" i="29"/>
  <c r="D196" i="29"/>
  <c r="C197" i="29"/>
  <c r="D197" i="29"/>
  <c r="C198" i="29"/>
  <c r="D198" i="29"/>
  <c r="C199" i="29"/>
  <c r="D199" i="29"/>
  <c r="C200" i="29"/>
  <c r="D200" i="29"/>
  <c r="C201" i="29"/>
  <c r="D201" i="29"/>
  <c r="C202" i="29"/>
  <c r="D202" i="29"/>
  <c r="C203" i="29"/>
  <c r="D203" i="29"/>
  <c r="C204" i="29"/>
  <c r="D204" i="29"/>
  <c r="C205" i="29"/>
  <c r="D205" i="29"/>
  <c r="C206" i="29"/>
  <c r="D206" i="29"/>
  <c r="C207" i="29"/>
  <c r="D207" i="29"/>
  <c r="C208" i="29"/>
  <c r="D208" i="29"/>
  <c r="C209" i="29"/>
  <c r="D209" i="29"/>
  <c r="C210" i="29"/>
  <c r="D210" i="29"/>
  <c r="C211" i="29"/>
  <c r="D211" i="29"/>
  <c r="C212" i="29"/>
  <c r="D212" i="29"/>
  <c r="C213" i="29"/>
  <c r="D213" i="29"/>
  <c r="C214" i="29"/>
  <c r="D214" i="29"/>
  <c r="C215" i="29"/>
  <c r="D215" i="29"/>
  <c r="C216" i="29"/>
  <c r="D216" i="29"/>
  <c r="C217" i="29"/>
  <c r="D217" i="29"/>
  <c r="C218" i="29"/>
  <c r="D218" i="29"/>
  <c r="C219" i="29"/>
  <c r="D219" i="29"/>
  <c r="C220" i="29"/>
  <c r="D220" i="29"/>
  <c r="C221" i="29"/>
  <c r="D221" i="29"/>
  <c r="C222" i="29"/>
  <c r="D222" i="29"/>
  <c r="C223" i="29"/>
  <c r="D223" i="29"/>
  <c r="C224" i="29"/>
  <c r="D224" i="29"/>
  <c r="C225" i="29"/>
  <c r="D225" i="29"/>
  <c r="C226" i="29"/>
  <c r="D226" i="29"/>
  <c r="C227" i="29"/>
  <c r="D227" i="29"/>
  <c r="C228" i="29"/>
  <c r="D228" i="29"/>
  <c r="C229" i="29"/>
  <c r="D229" i="29"/>
  <c r="C230" i="29"/>
  <c r="D230" i="29"/>
  <c r="C231" i="29"/>
  <c r="D231" i="29"/>
  <c r="C232" i="29"/>
  <c r="D232" i="29"/>
  <c r="C233" i="29"/>
  <c r="D233" i="29"/>
  <c r="C234" i="29"/>
  <c r="D234" i="29"/>
  <c r="C235" i="29"/>
  <c r="D235" i="29"/>
  <c r="C236" i="29"/>
  <c r="D236" i="29"/>
  <c r="C237" i="29"/>
  <c r="D237" i="29"/>
  <c r="C238" i="29"/>
  <c r="D238" i="29"/>
  <c r="C239" i="29"/>
  <c r="D239" i="29"/>
  <c r="C240" i="29"/>
  <c r="D240" i="29"/>
  <c r="C241" i="29"/>
  <c r="D241" i="29"/>
  <c r="C242" i="29"/>
  <c r="D242" i="29"/>
  <c r="C243" i="29"/>
  <c r="D243" i="29"/>
  <c r="C244" i="29"/>
  <c r="D244" i="29"/>
  <c r="C245" i="29"/>
  <c r="D245" i="29"/>
  <c r="C246" i="29"/>
  <c r="D246" i="29"/>
  <c r="C247" i="29"/>
  <c r="D247" i="29"/>
  <c r="C248" i="29"/>
  <c r="D248" i="29"/>
  <c r="C249" i="29"/>
  <c r="D249" i="29"/>
  <c r="C250" i="29"/>
  <c r="D250" i="29"/>
  <c r="C251" i="29"/>
  <c r="D251" i="29"/>
  <c r="C252" i="29"/>
  <c r="D252" i="29"/>
  <c r="C253" i="29"/>
  <c r="D253" i="29"/>
  <c r="C254" i="29"/>
  <c r="D254" i="29"/>
  <c r="C255" i="29"/>
  <c r="D255" i="29"/>
  <c r="C256" i="29"/>
  <c r="D256" i="29"/>
  <c r="C257" i="29"/>
  <c r="D257" i="29"/>
  <c r="C258" i="29"/>
  <c r="D258" i="29"/>
  <c r="C259" i="29"/>
  <c r="D259" i="29"/>
  <c r="C260" i="29"/>
  <c r="D260" i="29"/>
  <c r="C261" i="29"/>
  <c r="D261" i="29"/>
  <c r="C262" i="29"/>
  <c r="D262" i="29"/>
  <c r="C263" i="29"/>
  <c r="D263" i="29"/>
  <c r="C264" i="29"/>
  <c r="D264" i="29"/>
  <c r="C265" i="29"/>
  <c r="D265" i="29"/>
  <c r="C266" i="29"/>
  <c r="D266" i="29"/>
  <c r="C267" i="29"/>
  <c r="D267" i="29"/>
  <c r="C268" i="29"/>
  <c r="D268" i="29"/>
  <c r="C269" i="29"/>
  <c r="D269" i="29"/>
  <c r="C270" i="29"/>
  <c r="D270" i="29"/>
  <c r="C271" i="29"/>
  <c r="D271" i="29"/>
  <c r="C272" i="29"/>
  <c r="D272" i="29"/>
  <c r="C273" i="29"/>
  <c r="D273" i="29"/>
  <c r="C274" i="29"/>
  <c r="D274" i="29"/>
  <c r="C275" i="29"/>
  <c r="D275" i="29"/>
  <c r="C276" i="29"/>
  <c r="D276" i="29"/>
  <c r="C277" i="29"/>
  <c r="D277" i="29"/>
  <c r="C278" i="29"/>
  <c r="D278" i="29"/>
  <c r="C279" i="29"/>
  <c r="D279" i="29"/>
  <c r="C280" i="29"/>
  <c r="D280" i="29"/>
  <c r="C281" i="29"/>
  <c r="D281" i="29"/>
  <c r="C282" i="29"/>
  <c r="D282" i="29"/>
  <c r="C283" i="29"/>
  <c r="D283" i="29"/>
  <c r="C284" i="29"/>
  <c r="D284" i="29"/>
  <c r="C285" i="29"/>
  <c r="D285" i="29"/>
  <c r="C286" i="29"/>
  <c r="D286" i="29"/>
  <c r="C287" i="29"/>
  <c r="D287" i="29"/>
  <c r="C288" i="29"/>
  <c r="D288" i="29"/>
  <c r="C289" i="29"/>
  <c r="D289" i="29"/>
  <c r="C290" i="29"/>
  <c r="D290" i="29"/>
  <c r="C291" i="29"/>
  <c r="D291" i="29"/>
  <c r="C292" i="29"/>
  <c r="D292" i="29"/>
  <c r="C293" i="29"/>
  <c r="D293" i="29"/>
  <c r="C294" i="29"/>
  <c r="D294" i="29"/>
  <c r="C295" i="29"/>
  <c r="D295" i="29"/>
  <c r="C296" i="29"/>
  <c r="D296" i="29"/>
  <c r="C297" i="29"/>
  <c r="D297" i="29"/>
  <c r="C298" i="29"/>
  <c r="D298" i="29"/>
  <c r="C299" i="29"/>
  <c r="D299" i="29"/>
  <c r="C300" i="29"/>
  <c r="D300" i="29"/>
  <c r="C301" i="29"/>
  <c r="D301" i="29"/>
  <c r="C302" i="29"/>
  <c r="D302" i="29"/>
  <c r="C303" i="29"/>
  <c r="D303" i="29"/>
  <c r="C304" i="29"/>
  <c r="D304" i="29"/>
  <c r="C305" i="29"/>
  <c r="D305" i="29"/>
  <c r="C306" i="29"/>
  <c r="D306" i="29"/>
  <c r="C307" i="29"/>
  <c r="D307" i="29"/>
  <c r="C6" i="30"/>
  <c r="D6" i="30"/>
  <c r="C7" i="30"/>
  <c r="D7" i="30"/>
  <c r="C8" i="30"/>
  <c r="D8" i="30"/>
  <c r="C9" i="30"/>
  <c r="C11" i="30"/>
  <c r="C12" i="30"/>
  <c r="C14" i="30"/>
  <c r="D14" i="30"/>
  <c r="C15" i="30"/>
  <c r="D15" i="30"/>
  <c r="C16" i="30"/>
  <c r="D16" i="30"/>
  <c r="C17" i="30"/>
  <c r="D17" i="30"/>
  <c r="C18" i="30"/>
  <c r="D18" i="30"/>
  <c r="C19" i="30"/>
  <c r="D19" i="30"/>
  <c r="C20" i="30"/>
  <c r="D20" i="30"/>
  <c r="C21" i="30"/>
  <c r="D21" i="30"/>
  <c r="C22" i="30"/>
  <c r="D22" i="30"/>
  <c r="C23" i="30"/>
  <c r="D23" i="30"/>
  <c r="C24" i="30"/>
  <c r="D24" i="30"/>
  <c r="C25" i="30"/>
  <c r="D25" i="30"/>
  <c r="C26" i="30"/>
  <c r="D26" i="30"/>
  <c r="C27" i="30"/>
  <c r="D27" i="30"/>
  <c r="C28" i="30"/>
  <c r="D28" i="30"/>
  <c r="C29" i="30"/>
  <c r="D29" i="30"/>
  <c r="C30" i="30"/>
  <c r="D30" i="30"/>
  <c r="C31" i="30"/>
  <c r="D31" i="30"/>
  <c r="C32" i="30"/>
  <c r="D32" i="30"/>
  <c r="C33" i="30"/>
  <c r="D33" i="30"/>
  <c r="C34" i="30"/>
  <c r="D34" i="30"/>
  <c r="C35" i="30"/>
  <c r="D35" i="30"/>
  <c r="C36" i="30"/>
  <c r="D36" i="30"/>
  <c r="C37" i="30"/>
  <c r="D37" i="30"/>
  <c r="C38" i="30"/>
  <c r="D38" i="30"/>
  <c r="C39" i="30"/>
  <c r="D39" i="30"/>
  <c r="C40" i="30"/>
  <c r="D40" i="30"/>
  <c r="C41" i="30"/>
  <c r="D41" i="30"/>
  <c r="C42" i="30"/>
  <c r="D42" i="30"/>
  <c r="C43" i="30"/>
  <c r="D43" i="30"/>
  <c r="C44" i="30"/>
  <c r="D44" i="30"/>
  <c r="C45" i="30"/>
  <c r="D45" i="30"/>
  <c r="C46" i="30"/>
  <c r="D46" i="30"/>
  <c r="C47" i="30"/>
  <c r="D47" i="30"/>
  <c r="C48" i="30"/>
  <c r="D48" i="30"/>
  <c r="C49" i="30"/>
  <c r="D49" i="30"/>
  <c r="C50" i="30"/>
  <c r="D50" i="30"/>
  <c r="C51" i="30"/>
  <c r="D51" i="30"/>
  <c r="C52" i="30"/>
  <c r="D52" i="30"/>
  <c r="C53" i="30"/>
  <c r="D53" i="30"/>
  <c r="C54" i="30"/>
  <c r="D54" i="30"/>
  <c r="C55" i="30"/>
  <c r="D55" i="30"/>
  <c r="C56" i="30"/>
  <c r="D56" i="30"/>
  <c r="C57" i="30"/>
  <c r="D57" i="30"/>
  <c r="C58" i="30"/>
  <c r="D58" i="30"/>
  <c r="C59" i="30"/>
  <c r="D59" i="30"/>
  <c r="C60" i="30"/>
  <c r="D60" i="30"/>
  <c r="C61" i="30"/>
  <c r="D61" i="30"/>
  <c r="C62" i="30"/>
  <c r="D62" i="30"/>
  <c r="C63" i="30"/>
  <c r="D63" i="30"/>
  <c r="C64" i="30"/>
  <c r="D64" i="30"/>
  <c r="C65" i="30"/>
  <c r="D65" i="30"/>
  <c r="C66" i="30"/>
  <c r="D66" i="30"/>
  <c r="C67" i="30"/>
  <c r="D67" i="30"/>
  <c r="C68" i="30"/>
  <c r="D68" i="30"/>
  <c r="C69" i="30"/>
  <c r="D69" i="30"/>
  <c r="C70" i="30"/>
  <c r="D70" i="30"/>
  <c r="C71" i="30"/>
  <c r="D71" i="30"/>
  <c r="C72" i="30"/>
  <c r="D72" i="30"/>
  <c r="C73" i="30"/>
  <c r="D73" i="30"/>
  <c r="C74" i="30"/>
  <c r="D74" i="30"/>
  <c r="C75" i="30"/>
  <c r="D75" i="30"/>
  <c r="C76" i="30"/>
  <c r="D76" i="30"/>
  <c r="C77" i="30"/>
  <c r="D77" i="30"/>
  <c r="C78" i="30"/>
  <c r="D78" i="30"/>
  <c r="C79" i="30"/>
  <c r="D79" i="30"/>
  <c r="C80" i="30"/>
  <c r="D80" i="30"/>
  <c r="C81" i="30"/>
  <c r="D81" i="30"/>
  <c r="C82" i="30"/>
  <c r="D82" i="30"/>
  <c r="C83" i="30"/>
  <c r="D83" i="30"/>
  <c r="C84" i="30"/>
  <c r="D84" i="30"/>
  <c r="C85" i="30"/>
  <c r="D85" i="30"/>
  <c r="C86" i="30"/>
  <c r="D86" i="30"/>
  <c r="C87" i="30"/>
  <c r="D87" i="30"/>
  <c r="C88" i="30"/>
  <c r="D88" i="30"/>
  <c r="C89" i="30"/>
  <c r="D89" i="30"/>
  <c r="C90" i="30"/>
  <c r="D90" i="30"/>
  <c r="C91" i="30"/>
  <c r="D91" i="30"/>
  <c r="C92" i="30"/>
  <c r="D92" i="30"/>
  <c r="C93" i="30"/>
  <c r="D93" i="30"/>
  <c r="C94" i="30"/>
  <c r="D94" i="30"/>
  <c r="C95" i="30"/>
  <c r="D95" i="30"/>
  <c r="C96" i="30"/>
  <c r="D96" i="30"/>
  <c r="C97" i="30"/>
  <c r="D97" i="30"/>
  <c r="C98" i="30"/>
  <c r="D98" i="30"/>
  <c r="C99" i="30"/>
  <c r="D99" i="30"/>
  <c r="C100" i="30"/>
  <c r="D100" i="30"/>
  <c r="C101" i="30"/>
  <c r="D101" i="30"/>
  <c r="C102" i="30"/>
  <c r="D102" i="30"/>
  <c r="C103" i="30"/>
  <c r="D103" i="30"/>
  <c r="C104" i="30"/>
  <c r="D104" i="30"/>
  <c r="C105" i="30"/>
  <c r="D105" i="30"/>
  <c r="C106" i="30"/>
  <c r="D106" i="30"/>
  <c r="C107" i="30"/>
  <c r="D107" i="30"/>
  <c r="C108" i="30"/>
  <c r="D108" i="30"/>
  <c r="C109" i="30"/>
  <c r="D109" i="30"/>
  <c r="C110" i="30"/>
  <c r="D110" i="30"/>
  <c r="C111" i="30"/>
  <c r="D111" i="30"/>
  <c r="C112" i="30"/>
  <c r="D112" i="30"/>
  <c r="C113" i="30"/>
  <c r="D113" i="30"/>
  <c r="C114" i="30"/>
  <c r="D114" i="30"/>
  <c r="C115" i="30"/>
  <c r="D115" i="30"/>
  <c r="C116" i="30"/>
  <c r="D116" i="30"/>
  <c r="C117" i="30"/>
  <c r="D117" i="30"/>
  <c r="C118" i="30"/>
  <c r="D118" i="30"/>
  <c r="C119" i="30"/>
  <c r="D119" i="30"/>
  <c r="C120" i="30"/>
  <c r="D120" i="30"/>
  <c r="C121" i="30"/>
  <c r="D121" i="30"/>
  <c r="C122" i="30"/>
  <c r="D122" i="30"/>
  <c r="C123" i="30"/>
  <c r="D123" i="30"/>
  <c r="C124" i="30"/>
  <c r="D124" i="30"/>
  <c r="C125" i="30"/>
  <c r="D125" i="30"/>
  <c r="C126" i="30"/>
  <c r="D126" i="30"/>
  <c r="C127" i="30"/>
  <c r="D127" i="30"/>
  <c r="C128" i="30"/>
  <c r="D128" i="30"/>
  <c r="C129" i="30"/>
  <c r="D129" i="30"/>
  <c r="C130" i="30"/>
  <c r="D130" i="30"/>
  <c r="C131" i="30"/>
  <c r="D131" i="30"/>
  <c r="C132" i="30"/>
  <c r="D132" i="30"/>
  <c r="C133" i="30"/>
  <c r="D133" i="30"/>
  <c r="C134" i="30"/>
  <c r="D134" i="30"/>
  <c r="C135" i="30"/>
  <c r="D135" i="30"/>
  <c r="C136" i="30"/>
  <c r="D136" i="30"/>
  <c r="C137" i="30"/>
  <c r="D137" i="30"/>
  <c r="C138" i="30"/>
  <c r="D138" i="30"/>
  <c r="C139" i="30"/>
  <c r="D139" i="30"/>
  <c r="C140" i="30"/>
  <c r="D140" i="30"/>
  <c r="C141" i="30"/>
  <c r="D141" i="30"/>
  <c r="C142" i="30"/>
  <c r="D142" i="30"/>
  <c r="C143" i="30"/>
  <c r="D143" i="30"/>
  <c r="C144" i="30"/>
  <c r="D144" i="30"/>
  <c r="C145" i="30"/>
  <c r="D145" i="30"/>
  <c r="C146" i="30"/>
  <c r="D146" i="30"/>
  <c r="C147" i="30"/>
  <c r="D147" i="30"/>
  <c r="C148" i="30"/>
  <c r="D148" i="30"/>
  <c r="C149" i="30"/>
  <c r="D149" i="30"/>
  <c r="C150" i="30"/>
  <c r="D150" i="30"/>
  <c r="C151" i="30"/>
  <c r="D151" i="30"/>
  <c r="C152" i="30"/>
  <c r="D152" i="30"/>
  <c r="C153" i="30"/>
  <c r="D153" i="30"/>
  <c r="C154" i="30"/>
  <c r="D154" i="30"/>
  <c r="C155" i="30"/>
  <c r="D155" i="30"/>
  <c r="C156" i="30"/>
  <c r="D156" i="30"/>
  <c r="C157" i="30"/>
  <c r="D157" i="30"/>
  <c r="C158" i="30"/>
  <c r="D158" i="30"/>
  <c r="C159" i="30"/>
  <c r="D159" i="30"/>
  <c r="C160" i="30"/>
  <c r="D160" i="30"/>
  <c r="C161" i="30"/>
  <c r="D161" i="30"/>
  <c r="C162" i="30"/>
  <c r="D162" i="30"/>
  <c r="C163" i="30"/>
  <c r="D163" i="30"/>
  <c r="C164" i="30"/>
  <c r="D164" i="30"/>
  <c r="C165" i="30"/>
  <c r="D165" i="30"/>
  <c r="C166" i="30"/>
  <c r="D166" i="30"/>
  <c r="C167" i="30"/>
  <c r="D167" i="30"/>
  <c r="C168" i="30"/>
  <c r="D168" i="30"/>
  <c r="C169" i="30"/>
  <c r="D169" i="30"/>
  <c r="C170" i="30"/>
  <c r="D170" i="30"/>
  <c r="C171" i="30"/>
  <c r="D171" i="30"/>
  <c r="C172" i="30"/>
  <c r="D172" i="30"/>
  <c r="C173" i="30"/>
  <c r="D173" i="30"/>
  <c r="C174" i="30"/>
  <c r="D174" i="30"/>
  <c r="C175" i="30"/>
  <c r="D175" i="30"/>
  <c r="C176" i="30"/>
  <c r="D176" i="30"/>
  <c r="C177" i="30"/>
  <c r="D177" i="30"/>
  <c r="C178" i="30"/>
  <c r="D178" i="30"/>
  <c r="C179" i="30"/>
  <c r="D179" i="30"/>
  <c r="C180" i="30"/>
  <c r="D180" i="30"/>
  <c r="C181" i="30"/>
  <c r="D181" i="30"/>
  <c r="C182" i="30"/>
  <c r="D182" i="30"/>
  <c r="C183" i="30"/>
  <c r="D183" i="30"/>
  <c r="C184" i="30"/>
  <c r="D184" i="30"/>
  <c r="C185" i="30"/>
  <c r="D185" i="30"/>
  <c r="C186" i="30"/>
  <c r="D186" i="30"/>
  <c r="C187" i="30"/>
  <c r="D187" i="30"/>
  <c r="C188" i="30"/>
  <c r="D188" i="30"/>
  <c r="C189" i="30"/>
  <c r="D189" i="30"/>
  <c r="C190" i="30"/>
  <c r="D190" i="30"/>
  <c r="C191" i="30"/>
  <c r="D191" i="30"/>
  <c r="C192" i="30"/>
  <c r="D192" i="30"/>
  <c r="C193" i="30"/>
  <c r="D193" i="30"/>
  <c r="C194" i="30"/>
  <c r="D194" i="30"/>
  <c r="C195" i="30"/>
  <c r="D195" i="30"/>
  <c r="C196" i="30"/>
  <c r="D196" i="30"/>
  <c r="C197" i="30"/>
  <c r="D197" i="30"/>
  <c r="C198" i="30"/>
  <c r="D198" i="30"/>
  <c r="C199" i="30"/>
  <c r="D199" i="30"/>
  <c r="C200" i="30"/>
  <c r="D200" i="30"/>
  <c r="C201" i="30"/>
  <c r="D201" i="30"/>
  <c r="C202" i="30"/>
  <c r="D202" i="30"/>
  <c r="C203" i="30"/>
  <c r="D203" i="30"/>
  <c r="C204" i="30"/>
  <c r="D204" i="30"/>
  <c r="C205" i="30"/>
  <c r="D205" i="30"/>
  <c r="C206" i="30"/>
  <c r="D206" i="30"/>
  <c r="C207" i="30"/>
  <c r="D207" i="30"/>
  <c r="C208" i="30"/>
  <c r="D208" i="30"/>
  <c r="C209" i="30"/>
  <c r="D209" i="30"/>
  <c r="C210" i="30"/>
  <c r="D210" i="30"/>
  <c r="C211" i="30"/>
  <c r="D211" i="30"/>
  <c r="C212" i="30"/>
  <c r="D212" i="30"/>
  <c r="C213" i="30"/>
  <c r="D213" i="30"/>
  <c r="C214" i="30"/>
  <c r="D214" i="30"/>
  <c r="C215" i="30"/>
  <c r="D215" i="30"/>
  <c r="C216" i="30"/>
  <c r="D216" i="30"/>
  <c r="C217" i="30"/>
  <c r="D217" i="30"/>
  <c r="C218" i="30"/>
  <c r="D218" i="30"/>
  <c r="C219" i="30"/>
  <c r="D219" i="30"/>
  <c r="C220" i="30"/>
  <c r="D220" i="30"/>
  <c r="C221" i="30"/>
  <c r="D221" i="30"/>
  <c r="C222" i="30"/>
  <c r="D222" i="30"/>
  <c r="C223" i="30"/>
  <c r="D223" i="30"/>
  <c r="C224" i="30"/>
  <c r="D224" i="30"/>
  <c r="C225" i="30"/>
  <c r="D225" i="30"/>
  <c r="C226" i="30"/>
  <c r="D226" i="30"/>
  <c r="C227" i="30"/>
  <c r="D227" i="30"/>
  <c r="C228" i="30"/>
  <c r="D228" i="30"/>
  <c r="C229" i="30"/>
  <c r="D229" i="30"/>
  <c r="C230" i="30"/>
  <c r="D230" i="30"/>
  <c r="C231" i="30"/>
  <c r="D231" i="30"/>
  <c r="C232" i="30"/>
  <c r="D232" i="30"/>
  <c r="C233" i="30"/>
  <c r="D233" i="30"/>
  <c r="C234" i="30"/>
  <c r="D234" i="30"/>
  <c r="C235" i="30"/>
  <c r="D235" i="30"/>
  <c r="C236" i="30"/>
  <c r="D236" i="30"/>
  <c r="C237" i="30"/>
  <c r="D237" i="30"/>
  <c r="C238" i="30"/>
  <c r="D238" i="30"/>
  <c r="C239" i="30"/>
  <c r="D239" i="30"/>
  <c r="C240" i="30"/>
  <c r="D240" i="30"/>
  <c r="C241" i="30"/>
  <c r="D241" i="30"/>
  <c r="C242" i="30"/>
  <c r="D242" i="30"/>
  <c r="C243" i="30"/>
  <c r="D243" i="30"/>
  <c r="C244" i="30"/>
  <c r="D244" i="30"/>
  <c r="C245" i="30"/>
  <c r="D245" i="30"/>
  <c r="C246" i="30"/>
  <c r="D246" i="30"/>
  <c r="C247" i="30"/>
  <c r="D247" i="30"/>
  <c r="C248" i="30"/>
  <c r="D248" i="30"/>
  <c r="C249" i="30"/>
  <c r="D249" i="30"/>
  <c r="C250" i="30"/>
  <c r="D250" i="30"/>
  <c r="C251" i="30"/>
  <c r="D251" i="30"/>
  <c r="C252" i="30"/>
  <c r="D252" i="30"/>
  <c r="C253" i="30"/>
  <c r="D253" i="30"/>
  <c r="C254" i="30"/>
  <c r="D254" i="30"/>
  <c r="C255" i="30"/>
  <c r="D255" i="30"/>
  <c r="C256" i="30"/>
  <c r="D256" i="30"/>
  <c r="C257" i="30"/>
  <c r="D257" i="30"/>
  <c r="C258" i="30"/>
  <c r="D258" i="30"/>
  <c r="C259" i="30"/>
  <c r="D259" i="30"/>
  <c r="C260" i="30"/>
  <c r="D260" i="30"/>
  <c r="C261" i="30"/>
  <c r="D261" i="30"/>
  <c r="C262" i="30"/>
  <c r="D262" i="30"/>
  <c r="C263" i="30"/>
  <c r="D263" i="30"/>
  <c r="C264" i="30"/>
  <c r="D264" i="30"/>
  <c r="C265" i="30"/>
  <c r="D265" i="30"/>
  <c r="C266" i="30"/>
  <c r="D266" i="30"/>
  <c r="C267" i="30"/>
  <c r="D267" i="30"/>
  <c r="C268" i="30"/>
  <c r="D268" i="30"/>
  <c r="C269" i="30"/>
  <c r="D269" i="30"/>
  <c r="C270" i="30"/>
  <c r="D270" i="30"/>
  <c r="C271" i="30"/>
  <c r="D271" i="30"/>
  <c r="C272" i="30"/>
  <c r="D272" i="30"/>
  <c r="C273" i="30"/>
  <c r="D273" i="30"/>
  <c r="C274" i="30"/>
  <c r="D274" i="30"/>
  <c r="C275" i="30"/>
  <c r="D275" i="30"/>
  <c r="C276" i="30"/>
  <c r="D276" i="30"/>
  <c r="C277" i="30"/>
  <c r="D277" i="30"/>
  <c r="C278" i="30"/>
  <c r="D278" i="30"/>
  <c r="C279" i="30"/>
  <c r="D279" i="30"/>
  <c r="C280" i="30"/>
  <c r="D280" i="30"/>
  <c r="C281" i="30"/>
  <c r="D281" i="30"/>
  <c r="C282" i="30"/>
  <c r="D282" i="30"/>
  <c r="C283" i="30"/>
  <c r="D283" i="30"/>
  <c r="C284" i="30"/>
  <c r="D284" i="30"/>
  <c r="C285" i="30"/>
  <c r="D285" i="30"/>
  <c r="C286" i="30"/>
  <c r="D286" i="30"/>
  <c r="C287" i="30"/>
  <c r="D287" i="30"/>
  <c r="C288" i="30"/>
  <c r="D288" i="30"/>
  <c r="C289" i="30"/>
  <c r="D289" i="30"/>
  <c r="C290" i="30"/>
  <c r="D290" i="30"/>
  <c r="C291" i="30"/>
  <c r="D291" i="30"/>
  <c r="C292" i="30"/>
  <c r="D292" i="30"/>
  <c r="C293" i="30"/>
  <c r="D293" i="30"/>
  <c r="C294" i="30"/>
  <c r="D294" i="30"/>
  <c r="C295" i="30"/>
  <c r="D295" i="30"/>
  <c r="C296" i="30"/>
  <c r="D296" i="30"/>
  <c r="C297" i="30"/>
  <c r="D297" i="30"/>
  <c r="C298" i="30"/>
  <c r="D298" i="30"/>
  <c r="C299" i="30"/>
  <c r="D299" i="30"/>
  <c r="C300" i="30"/>
  <c r="D300" i="30"/>
  <c r="C301" i="30"/>
  <c r="D301" i="30"/>
  <c r="C302" i="30"/>
  <c r="D302" i="30"/>
  <c r="C303" i="30"/>
  <c r="D303" i="30"/>
  <c r="C304" i="30"/>
  <c r="D304" i="30"/>
  <c r="C305" i="30"/>
  <c r="D305" i="30"/>
  <c r="C5" i="31"/>
  <c r="D5" i="31"/>
  <c r="C6" i="31"/>
  <c r="D6" i="31"/>
  <c r="C7" i="31"/>
  <c r="D7" i="31"/>
  <c r="C8" i="31"/>
  <c r="D8" i="31"/>
  <c r="C9" i="31"/>
  <c r="D9" i="31"/>
  <c r="C10" i="31"/>
  <c r="D10" i="31"/>
  <c r="C11" i="31"/>
  <c r="D11" i="31"/>
  <c r="C12" i="31"/>
  <c r="D12" i="31"/>
  <c r="C13" i="31"/>
  <c r="D13" i="31"/>
  <c r="C15" i="31"/>
  <c r="D15" i="31"/>
  <c r="C16" i="31"/>
  <c r="D16" i="31"/>
  <c r="C17" i="31"/>
  <c r="D17" i="31"/>
  <c r="C18" i="31"/>
  <c r="D18" i="31"/>
  <c r="C19" i="31"/>
  <c r="D19" i="31"/>
  <c r="C20" i="31"/>
  <c r="D20" i="31"/>
  <c r="C21" i="31"/>
  <c r="D21" i="31"/>
  <c r="C22" i="31"/>
  <c r="D22" i="31"/>
  <c r="C23" i="31"/>
  <c r="D23" i="31"/>
  <c r="C24" i="31"/>
  <c r="D24" i="31"/>
  <c r="C25" i="31"/>
  <c r="D25" i="31"/>
  <c r="C26" i="31"/>
  <c r="D26" i="31"/>
  <c r="C27" i="31"/>
  <c r="D27" i="31"/>
  <c r="C29" i="31"/>
  <c r="D29" i="31"/>
  <c r="C30" i="31"/>
  <c r="D30" i="31"/>
  <c r="C31" i="31"/>
  <c r="D31" i="31"/>
  <c r="C32" i="31"/>
  <c r="D32" i="31"/>
  <c r="C33" i="31"/>
  <c r="D33" i="31"/>
  <c r="C34" i="31"/>
  <c r="D34" i="31"/>
  <c r="C35" i="31"/>
  <c r="D35" i="31"/>
  <c r="C36" i="31"/>
  <c r="D36" i="31"/>
  <c r="C37" i="31"/>
  <c r="D37" i="31"/>
  <c r="C38" i="31"/>
  <c r="D38" i="31"/>
  <c r="C39" i="31"/>
  <c r="D39" i="31"/>
  <c r="C40" i="31"/>
  <c r="D40" i="31"/>
  <c r="C41" i="31"/>
  <c r="D41" i="31"/>
  <c r="C42" i="31"/>
  <c r="D42" i="31"/>
  <c r="C43" i="31"/>
  <c r="D43" i="31"/>
  <c r="C44" i="31"/>
  <c r="D44" i="31"/>
  <c r="C45" i="31"/>
  <c r="D45" i="31"/>
  <c r="C46" i="31"/>
  <c r="D46" i="31"/>
  <c r="C47" i="31"/>
  <c r="D47" i="31"/>
  <c r="C48" i="31"/>
  <c r="D48" i="31"/>
  <c r="C49" i="31"/>
  <c r="D49" i="31"/>
  <c r="C50" i="31"/>
  <c r="D50" i="31"/>
  <c r="C51" i="31"/>
  <c r="D51" i="31"/>
  <c r="C52" i="31"/>
  <c r="D52" i="31"/>
  <c r="C53" i="31"/>
  <c r="D53" i="31"/>
  <c r="C54" i="31"/>
  <c r="D54" i="31"/>
  <c r="C55" i="31"/>
  <c r="D55" i="31"/>
  <c r="C56" i="31"/>
  <c r="D56" i="31"/>
  <c r="C57" i="31"/>
  <c r="D57" i="31"/>
  <c r="C58" i="31"/>
  <c r="D58" i="31"/>
  <c r="C59" i="31"/>
  <c r="D59" i="31"/>
  <c r="C60" i="31"/>
  <c r="D60" i="31"/>
  <c r="C61" i="31"/>
  <c r="D61" i="31"/>
  <c r="C62" i="31"/>
  <c r="D62" i="31"/>
  <c r="C63" i="31"/>
  <c r="D63" i="31"/>
  <c r="C64" i="31"/>
  <c r="D64" i="31"/>
  <c r="C65" i="31"/>
  <c r="D65" i="31"/>
  <c r="C66" i="31"/>
  <c r="D66" i="31"/>
  <c r="C67" i="31"/>
  <c r="D67" i="31"/>
  <c r="C68" i="31"/>
  <c r="D68" i="31"/>
  <c r="C69" i="31"/>
  <c r="D69" i="31"/>
  <c r="C70" i="31"/>
  <c r="D70" i="31"/>
  <c r="C71" i="31"/>
  <c r="D71" i="31"/>
  <c r="C72" i="31"/>
  <c r="D72" i="31"/>
  <c r="C73" i="31"/>
  <c r="D73" i="31"/>
  <c r="C74" i="31"/>
  <c r="D74" i="31"/>
  <c r="C75" i="31"/>
  <c r="D75" i="31"/>
  <c r="C76" i="31"/>
  <c r="D76" i="31"/>
  <c r="C77" i="31"/>
  <c r="D77" i="31"/>
  <c r="C78" i="31"/>
  <c r="D78" i="31"/>
  <c r="C79" i="31"/>
  <c r="D79" i="31"/>
  <c r="C80" i="31"/>
  <c r="D80" i="31"/>
  <c r="C81" i="31"/>
  <c r="D81" i="31"/>
  <c r="C82" i="31"/>
  <c r="D82" i="31"/>
  <c r="C83" i="31"/>
  <c r="D83" i="31"/>
  <c r="C84" i="31"/>
  <c r="D84" i="31"/>
  <c r="C85" i="31"/>
  <c r="D85" i="31"/>
  <c r="C86" i="31"/>
  <c r="D86" i="31"/>
  <c r="C87" i="31"/>
  <c r="D87" i="31"/>
  <c r="C88" i="31"/>
  <c r="D88" i="31"/>
  <c r="C89" i="31"/>
  <c r="D89" i="31"/>
  <c r="C90" i="31"/>
  <c r="D90" i="31"/>
  <c r="C91" i="31"/>
  <c r="D91" i="31"/>
  <c r="C92" i="31"/>
  <c r="D92" i="31"/>
  <c r="C93" i="31"/>
  <c r="D93" i="31"/>
  <c r="C94" i="31"/>
  <c r="D94" i="31"/>
  <c r="C95" i="31"/>
  <c r="D95" i="31"/>
  <c r="C96" i="31"/>
  <c r="D96" i="31"/>
  <c r="C97" i="31"/>
  <c r="D97" i="31"/>
  <c r="C98" i="31"/>
  <c r="D98" i="31"/>
  <c r="C99" i="31"/>
  <c r="D99" i="31"/>
  <c r="C100" i="31"/>
  <c r="D100" i="31"/>
  <c r="C101" i="31"/>
  <c r="D101" i="31"/>
  <c r="C102" i="31"/>
  <c r="D102" i="31"/>
  <c r="C103" i="31"/>
  <c r="D103" i="31"/>
  <c r="C104" i="31"/>
  <c r="D104" i="31"/>
  <c r="C105" i="31"/>
  <c r="D105" i="31"/>
  <c r="C106" i="31"/>
  <c r="D106" i="31"/>
  <c r="C107" i="31"/>
  <c r="D107" i="31"/>
  <c r="C108" i="31"/>
  <c r="D108" i="31"/>
  <c r="C109" i="31"/>
  <c r="D109" i="31"/>
  <c r="C110" i="31"/>
  <c r="D110" i="31"/>
  <c r="C111" i="31"/>
  <c r="D111" i="31"/>
  <c r="C112" i="31"/>
  <c r="D112" i="31"/>
  <c r="C113" i="31"/>
  <c r="D113" i="31"/>
  <c r="C114" i="31"/>
  <c r="D114" i="31"/>
  <c r="C115" i="31"/>
  <c r="D115" i="31"/>
  <c r="C116" i="31"/>
  <c r="D116" i="31"/>
  <c r="C117" i="31"/>
  <c r="D117" i="31"/>
  <c r="C118" i="31"/>
  <c r="D118" i="31"/>
  <c r="C119" i="31"/>
  <c r="D119" i="31"/>
  <c r="C120" i="31"/>
  <c r="D120" i="31"/>
  <c r="C121" i="31"/>
  <c r="D121" i="31"/>
  <c r="C122" i="31"/>
  <c r="D122" i="31"/>
  <c r="C123" i="31"/>
  <c r="D123" i="31"/>
  <c r="C124" i="31"/>
  <c r="D124" i="31"/>
  <c r="C125" i="31"/>
  <c r="D125" i="31"/>
  <c r="C126" i="31"/>
  <c r="D126" i="31"/>
  <c r="C127" i="31"/>
  <c r="D127" i="31"/>
  <c r="C128" i="31"/>
  <c r="D128" i="31"/>
  <c r="C129" i="31"/>
  <c r="D129" i="31"/>
  <c r="C130" i="31"/>
  <c r="D130" i="31"/>
  <c r="C131" i="31"/>
  <c r="D131" i="31"/>
  <c r="C132" i="31"/>
  <c r="D132" i="31"/>
  <c r="C133" i="31"/>
  <c r="D133" i="31"/>
  <c r="C134" i="31"/>
  <c r="D134" i="31"/>
  <c r="C135" i="31"/>
  <c r="D135" i="31"/>
  <c r="C136" i="31"/>
  <c r="D136" i="31"/>
  <c r="C137" i="31"/>
  <c r="D137" i="31"/>
  <c r="C138" i="31"/>
  <c r="D138" i="31"/>
  <c r="C139" i="31"/>
  <c r="D139" i="31"/>
  <c r="C140" i="31"/>
  <c r="D140" i="31"/>
  <c r="C141" i="31"/>
  <c r="D141" i="31"/>
  <c r="C142" i="31"/>
  <c r="D142" i="31"/>
  <c r="C143" i="31"/>
  <c r="D143" i="31"/>
  <c r="C144" i="31"/>
  <c r="D144" i="31"/>
  <c r="C145" i="31"/>
  <c r="D145" i="31"/>
  <c r="C146" i="31"/>
  <c r="D146" i="31"/>
  <c r="C147" i="31"/>
  <c r="D147" i="31"/>
  <c r="C148" i="31"/>
  <c r="D148" i="31"/>
  <c r="C149" i="31"/>
  <c r="D149" i="31"/>
  <c r="C150" i="31"/>
  <c r="D150" i="31"/>
  <c r="C151" i="31"/>
  <c r="D151" i="31"/>
  <c r="C152" i="31"/>
  <c r="D152" i="31"/>
  <c r="C153" i="31"/>
  <c r="D153" i="31"/>
  <c r="C154" i="31"/>
  <c r="D154" i="31"/>
  <c r="C155" i="31"/>
  <c r="D155" i="31"/>
  <c r="C156" i="31"/>
  <c r="D156" i="31"/>
  <c r="C157" i="31"/>
  <c r="D157" i="31"/>
  <c r="C158" i="31"/>
  <c r="D158" i="31"/>
  <c r="C159" i="31"/>
  <c r="D159" i="31"/>
  <c r="C160" i="31"/>
  <c r="D160" i="31"/>
  <c r="C161" i="31"/>
  <c r="D161" i="31"/>
  <c r="C162" i="31"/>
  <c r="D162" i="31"/>
  <c r="C163" i="31"/>
  <c r="D163" i="31"/>
  <c r="C164" i="31"/>
  <c r="D164" i="31"/>
  <c r="C165" i="31"/>
  <c r="D165" i="31"/>
  <c r="C166" i="31"/>
  <c r="D166" i="31"/>
  <c r="C167" i="31"/>
  <c r="D167" i="31"/>
  <c r="C168" i="31"/>
  <c r="D168" i="31"/>
  <c r="C169" i="31"/>
  <c r="D169" i="31"/>
  <c r="C170" i="31"/>
  <c r="D170" i="31"/>
  <c r="C171" i="31"/>
  <c r="D171" i="31"/>
  <c r="C172" i="31"/>
  <c r="D172" i="31"/>
  <c r="C173" i="31"/>
  <c r="D173" i="31"/>
  <c r="C174" i="31"/>
  <c r="D174" i="31"/>
  <c r="C175" i="31"/>
  <c r="D175" i="31"/>
  <c r="C176" i="31"/>
  <c r="D176" i="31"/>
  <c r="C177" i="31"/>
  <c r="D177" i="31"/>
  <c r="C178" i="31"/>
  <c r="D178" i="31"/>
  <c r="C179" i="31"/>
  <c r="D179" i="31"/>
  <c r="C180" i="31"/>
  <c r="D180" i="31"/>
  <c r="C181" i="31"/>
  <c r="D181" i="31"/>
  <c r="C182" i="31"/>
  <c r="D182" i="31"/>
  <c r="C183" i="31"/>
  <c r="D183" i="31"/>
  <c r="C184" i="31"/>
  <c r="D184" i="31"/>
  <c r="C185" i="31"/>
  <c r="D185" i="31"/>
  <c r="C186" i="31"/>
  <c r="D186" i="31"/>
  <c r="C187" i="31"/>
  <c r="D187" i="31"/>
  <c r="C188" i="31"/>
  <c r="D188" i="31"/>
  <c r="C189" i="31"/>
  <c r="D189" i="31"/>
  <c r="C190" i="31"/>
  <c r="D190" i="31"/>
  <c r="C191" i="31"/>
  <c r="D191" i="31"/>
  <c r="C192" i="31"/>
  <c r="D192" i="31"/>
  <c r="C193" i="31"/>
  <c r="D193" i="31"/>
  <c r="C194" i="31"/>
  <c r="D194" i="31"/>
  <c r="C195" i="31"/>
  <c r="D195" i="31"/>
  <c r="C196" i="31"/>
  <c r="D196" i="31"/>
  <c r="C197" i="31"/>
  <c r="D197" i="31"/>
  <c r="C198" i="31"/>
  <c r="D198" i="31"/>
  <c r="C199" i="31"/>
  <c r="D199" i="31"/>
  <c r="C200" i="31"/>
  <c r="D200" i="31"/>
  <c r="C201" i="31"/>
  <c r="D201" i="31"/>
  <c r="C202" i="31"/>
  <c r="D202" i="31"/>
  <c r="C203" i="31"/>
  <c r="D203" i="31"/>
  <c r="C204" i="31"/>
  <c r="D204" i="31"/>
  <c r="C205" i="31"/>
  <c r="D205" i="31"/>
  <c r="C206" i="31"/>
  <c r="D206" i="31"/>
  <c r="C207" i="31"/>
  <c r="D207" i="31"/>
  <c r="C208" i="31"/>
  <c r="D208" i="31"/>
  <c r="C209" i="31"/>
  <c r="D209" i="31"/>
  <c r="C210" i="31"/>
  <c r="D210" i="31"/>
  <c r="C211" i="31"/>
  <c r="D211" i="31"/>
  <c r="C212" i="31"/>
  <c r="D212" i="31"/>
  <c r="C213" i="31"/>
  <c r="D213" i="31"/>
  <c r="C214" i="31"/>
  <c r="D214" i="31"/>
  <c r="C215" i="31"/>
  <c r="D215" i="31"/>
  <c r="C216" i="31"/>
  <c r="D216" i="31"/>
  <c r="C217" i="31"/>
  <c r="D217" i="31"/>
  <c r="C218" i="31"/>
  <c r="D218" i="31"/>
  <c r="C219" i="31"/>
  <c r="D219" i="31"/>
  <c r="C220" i="31"/>
  <c r="D220" i="31"/>
  <c r="C221" i="31"/>
  <c r="D221" i="31"/>
  <c r="C222" i="31"/>
  <c r="D222" i="31"/>
  <c r="C223" i="31"/>
  <c r="D223" i="31"/>
  <c r="C224" i="31"/>
  <c r="D224" i="31"/>
  <c r="C225" i="31"/>
  <c r="D225" i="31"/>
  <c r="C226" i="31"/>
  <c r="D226" i="31"/>
  <c r="C227" i="31"/>
  <c r="D227" i="31"/>
  <c r="C228" i="31"/>
  <c r="D228" i="31"/>
  <c r="C229" i="31"/>
  <c r="D229" i="31"/>
  <c r="C230" i="31"/>
  <c r="D230" i="31"/>
  <c r="C231" i="31"/>
  <c r="D231" i="31"/>
  <c r="C232" i="31"/>
  <c r="D232" i="31"/>
  <c r="C233" i="31"/>
  <c r="D233" i="31"/>
  <c r="C234" i="31"/>
  <c r="D234" i="31"/>
  <c r="C235" i="31"/>
  <c r="D235" i="31"/>
  <c r="C236" i="31"/>
  <c r="D236" i="31"/>
  <c r="C237" i="31"/>
  <c r="D237" i="31"/>
  <c r="C238" i="31"/>
  <c r="D238" i="31"/>
  <c r="C239" i="31"/>
  <c r="D239" i="31"/>
  <c r="C240" i="31"/>
  <c r="D240" i="31"/>
  <c r="C241" i="31"/>
  <c r="D241" i="31"/>
  <c r="C242" i="31"/>
  <c r="D242" i="31"/>
  <c r="C243" i="31"/>
  <c r="D243" i="31"/>
  <c r="C244" i="31"/>
  <c r="D244" i="31"/>
  <c r="C245" i="31"/>
  <c r="D245" i="31"/>
  <c r="C246" i="31"/>
  <c r="D246" i="31"/>
  <c r="C247" i="31"/>
  <c r="D247" i="31"/>
  <c r="C248" i="31"/>
  <c r="D248" i="31"/>
  <c r="C249" i="31"/>
  <c r="D249" i="31"/>
  <c r="C250" i="31"/>
  <c r="D250" i="31"/>
  <c r="C251" i="31"/>
  <c r="D251" i="31"/>
  <c r="C252" i="31"/>
  <c r="D252" i="31"/>
  <c r="C253" i="31"/>
  <c r="D253" i="31"/>
  <c r="C254" i="31"/>
  <c r="D254" i="31"/>
  <c r="C255" i="31"/>
  <c r="D255" i="31"/>
  <c r="C256" i="31"/>
  <c r="D256" i="31"/>
  <c r="C257" i="31"/>
  <c r="D257" i="31"/>
  <c r="C258" i="31"/>
  <c r="D258" i="31"/>
  <c r="C259" i="31"/>
  <c r="D259" i="31"/>
  <c r="C260" i="31"/>
  <c r="D260" i="31"/>
  <c r="C261" i="31"/>
  <c r="D261" i="31"/>
  <c r="C262" i="31"/>
  <c r="D262" i="31"/>
  <c r="C263" i="31"/>
  <c r="D263" i="31"/>
  <c r="C264" i="31"/>
  <c r="D264" i="31"/>
  <c r="C265" i="31"/>
  <c r="D265" i="31"/>
  <c r="C266" i="31"/>
  <c r="D266" i="31"/>
  <c r="C267" i="31"/>
  <c r="D267" i="31"/>
  <c r="C268" i="31"/>
  <c r="D268" i="31"/>
  <c r="C269" i="31"/>
  <c r="D269" i="31"/>
  <c r="C270" i="31"/>
  <c r="D270" i="31"/>
  <c r="C271" i="31"/>
  <c r="D271" i="31"/>
  <c r="C272" i="31"/>
  <c r="D272" i="31"/>
  <c r="C273" i="31"/>
  <c r="D273" i="31"/>
  <c r="C274" i="31"/>
  <c r="D274" i="31"/>
  <c r="C275" i="31"/>
  <c r="D275" i="31"/>
  <c r="C276" i="31"/>
  <c r="D276" i="31"/>
  <c r="C277" i="31"/>
  <c r="D277" i="31"/>
  <c r="C278" i="31"/>
  <c r="D278" i="31"/>
  <c r="C279" i="31"/>
  <c r="D279" i="31"/>
  <c r="C280" i="31"/>
  <c r="D280" i="31"/>
  <c r="C281" i="31"/>
  <c r="D281" i="31"/>
  <c r="C282" i="31"/>
  <c r="D282" i="31"/>
  <c r="C283" i="31"/>
  <c r="D283" i="31"/>
  <c r="C284" i="31"/>
  <c r="D284" i="31"/>
  <c r="C285" i="31"/>
  <c r="D285" i="31"/>
  <c r="C286" i="31"/>
  <c r="D286" i="31"/>
  <c r="C287" i="31"/>
  <c r="D287" i="31"/>
  <c r="C288" i="31"/>
  <c r="D288" i="31"/>
  <c r="C289" i="31"/>
  <c r="D289" i="31"/>
  <c r="C290" i="31"/>
  <c r="D290" i="31"/>
  <c r="C291" i="31"/>
  <c r="D291" i="31"/>
  <c r="C292" i="31"/>
  <c r="D292" i="31"/>
  <c r="C293" i="31"/>
  <c r="D293" i="31"/>
  <c r="C294" i="31"/>
  <c r="D294" i="31"/>
  <c r="C295" i="31"/>
  <c r="D295" i="31"/>
  <c r="C296" i="31"/>
  <c r="D296" i="31"/>
  <c r="C297" i="31"/>
  <c r="D297" i="31"/>
  <c r="C298" i="31"/>
  <c r="D298" i="31"/>
  <c r="C299" i="31"/>
  <c r="D299" i="31"/>
  <c r="C300" i="31"/>
  <c r="D300" i="31"/>
  <c r="C301" i="31"/>
  <c r="D301" i="31"/>
  <c r="C302" i="31"/>
  <c r="D302" i="31"/>
  <c r="C303" i="31"/>
  <c r="D303" i="31"/>
  <c r="C304" i="31"/>
  <c r="D304" i="31"/>
  <c r="C305" i="31"/>
  <c r="D305" i="31"/>
  <c r="C306" i="31"/>
  <c r="D306" i="31"/>
  <c r="C307" i="31"/>
  <c r="D307" i="31"/>
  <c r="C308" i="31"/>
  <c r="D308" i="31"/>
  <c r="C309" i="31"/>
  <c r="D309" i="31"/>
  <c r="C310" i="31"/>
  <c r="D310" i="31"/>
  <c r="C311" i="31"/>
  <c r="D311" i="31"/>
  <c r="C312" i="31"/>
  <c r="D312" i="31"/>
  <c r="C313" i="31"/>
  <c r="D313" i="31"/>
  <c r="C314" i="31"/>
  <c r="D314" i="31"/>
  <c r="C315" i="31"/>
  <c r="D315" i="31"/>
  <c r="C316" i="31"/>
  <c r="D316" i="31"/>
  <c r="C317" i="31"/>
  <c r="D317" i="31"/>
  <c r="C318" i="31"/>
  <c r="D318" i="31"/>
  <c r="C319" i="31"/>
  <c r="D319" i="31"/>
  <c r="C320" i="31"/>
  <c r="D320" i="31"/>
  <c r="C321" i="31"/>
  <c r="D321" i="31"/>
  <c r="C322" i="31"/>
  <c r="D322" i="31"/>
  <c r="C323" i="31"/>
  <c r="D323" i="31"/>
  <c r="C6" i="32"/>
  <c r="D6" i="32"/>
  <c r="C7" i="32"/>
  <c r="D7" i="32"/>
  <c r="C8" i="32"/>
  <c r="D8" i="32"/>
  <c r="C9" i="32"/>
  <c r="C10" i="32"/>
  <c r="D10" i="32"/>
  <c r="C11" i="32"/>
  <c r="D11" i="32"/>
  <c r="C12" i="32"/>
  <c r="D12" i="32"/>
  <c r="C13" i="32"/>
  <c r="D13" i="32"/>
  <c r="C16" i="32"/>
  <c r="C17" i="32"/>
  <c r="C18" i="32"/>
  <c r="C19" i="32"/>
  <c r="C20" i="32"/>
  <c r="C21" i="32"/>
  <c r="D21" i="32"/>
  <c r="C22" i="32"/>
  <c r="D22" i="32"/>
  <c r="C43" i="32"/>
  <c r="D43" i="32"/>
  <c r="C44" i="32"/>
  <c r="D44" i="32"/>
  <c r="C45" i="32"/>
  <c r="D45" i="32"/>
  <c r="C46" i="32"/>
  <c r="D46" i="32"/>
  <c r="C47" i="32"/>
  <c r="D47" i="32"/>
  <c r="C48" i="32"/>
  <c r="D48" i="32"/>
  <c r="C49" i="32"/>
  <c r="D49" i="32"/>
  <c r="C50" i="32"/>
  <c r="D50" i="32"/>
  <c r="C51" i="32"/>
  <c r="D51" i="32"/>
  <c r="C52" i="32"/>
  <c r="D52" i="32"/>
  <c r="C53" i="32"/>
  <c r="D53" i="32"/>
  <c r="C54" i="32"/>
  <c r="D54" i="32"/>
  <c r="C55" i="32"/>
  <c r="D55" i="32"/>
  <c r="C56" i="32"/>
  <c r="D56" i="32"/>
  <c r="C57" i="32"/>
  <c r="D57" i="32"/>
  <c r="C58" i="32"/>
  <c r="D58" i="32"/>
  <c r="C59" i="32"/>
  <c r="D59" i="32"/>
  <c r="C60" i="32"/>
  <c r="D60" i="32"/>
  <c r="C61" i="32"/>
  <c r="D61" i="32"/>
  <c r="C62" i="32"/>
  <c r="D62" i="32"/>
  <c r="C63" i="32"/>
  <c r="D63" i="32"/>
  <c r="C64" i="32"/>
  <c r="D64" i="32"/>
  <c r="C65" i="32"/>
  <c r="D65" i="32"/>
  <c r="C66" i="32"/>
  <c r="D66" i="32"/>
  <c r="C67" i="32"/>
  <c r="D67" i="32"/>
  <c r="C68" i="32"/>
  <c r="D68" i="32"/>
  <c r="C69" i="32"/>
  <c r="D69" i="32"/>
  <c r="C70" i="32"/>
  <c r="D70" i="32"/>
  <c r="C71" i="32"/>
  <c r="D71" i="32"/>
  <c r="C72" i="32"/>
  <c r="D72" i="32"/>
  <c r="C73" i="32"/>
  <c r="D73" i="32"/>
  <c r="C74" i="32"/>
  <c r="D74" i="32"/>
  <c r="C75" i="32"/>
  <c r="D75" i="32"/>
  <c r="C76" i="32"/>
  <c r="D76" i="32"/>
  <c r="C77" i="32"/>
  <c r="D77" i="32"/>
  <c r="C78" i="32"/>
  <c r="D78" i="32"/>
  <c r="C79" i="32"/>
  <c r="D79" i="32"/>
  <c r="C80" i="32"/>
  <c r="D80" i="32"/>
  <c r="C81" i="32"/>
  <c r="D81" i="32"/>
  <c r="C82" i="32"/>
  <c r="D82" i="32"/>
  <c r="C83" i="32"/>
  <c r="D83" i="32"/>
  <c r="C84" i="32"/>
  <c r="D84" i="32"/>
  <c r="C85" i="32"/>
  <c r="D85" i="32"/>
  <c r="C86" i="32"/>
  <c r="D86" i="32"/>
  <c r="C87" i="32"/>
  <c r="D87" i="32"/>
  <c r="C88" i="32"/>
  <c r="D88" i="32"/>
  <c r="C89" i="32"/>
  <c r="D89" i="32"/>
  <c r="C90" i="32"/>
  <c r="D90" i="32"/>
  <c r="C91" i="32"/>
  <c r="D91" i="32"/>
  <c r="C92" i="32"/>
  <c r="D92" i="32"/>
  <c r="C93" i="32"/>
  <c r="D93" i="32"/>
  <c r="C94" i="32"/>
  <c r="D94" i="32"/>
  <c r="C95" i="32"/>
  <c r="D95" i="32"/>
  <c r="C96" i="32"/>
  <c r="D96" i="32"/>
  <c r="C97" i="32"/>
  <c r="D97" i="32"/>
  <c r="C98" i="32"/>
  <c r="D98" i="32"/>
  <c r="C99" i="32"/>
  <c r="D99" i="32"/>
  <c r="C100" i="32"/>
  <c r="D100" i="32"/>
  <c r="C101" i="32"/>
  <c r="D101" i="32"/>
  <c r="C102" i="32"/>
  <c r="D102" i="32"/>
  <c r="C103" i="32"/>
  <c r="D103" i="32"/>
  <c r="C104" i="32"/>
  <c r="D104" i="32"/>
  <c r="C105" i="32"/>
  <c r="D105" i="32"/>
  <c r="C106" i="32"/>
  <c r="D106" i="32"/>
  <c r="C107" i="32"/>
  <c r="D107" i="32"/>
  <c r="C108" i="32"/>
  <c r="D108" i="32"/>
  <c r="C109" i="32"/>
  <c r="D109" i="32"/>
  <c r="C110" i="32"/>
  <c r="D110" i="32"/>
  <c r="C111" i="32"/>
  <c r="D111" i="32"/>
  <c r="C112" i="32"/>
  <c r="D112" i="32"/>
  <c r="C113" i="32"/>
  <c r="D113" i="32"/>
  <c r="C114" i="32"/>
  <c r="D114" i="32"/>
  <c r="C115" i="32"/>
  <c r="D115" i="32"/>
  <c r="C116" i="32"/>
  <c r="D116" i="32"/>
  <c r="C117" i="32"/>
  <c r="D117" i="32"/>
  <c r="C118" i="32"/>
  <c r="D118" i="32"/>
  <c r="C119" i="32"/>
  <c r="D119" i="32"/>
  <c r="C120" i="32"/>
  <c r="D120" i="32"/>
  <c r="C121" i="32"/>
  <c r="D121" i="32"/>
  <c r="C122" i="32"/>
  <c r="D122" i="32"/>
  <c r="C123" i="32"/>
  <c r="D123" i="32"/>
  <c r="C124" i="32"/>
  <c r="D124" i="32"/>
  <c r="C125" i="32"/>
  <c r="D125" i="32"/>
  <c r="C126" i="32"/>
  <c r="D126" i="32"/>
  <c r="C127" i="32"/>
  <c r="D127" i="32"/>
  <c r="C128" i="32"/>
  <c r="D128" i="32"/>
  <c r="C129" i="32"/>
  <c r="D129" i="32"/>
  <c r="C130" i="32"/>
  <c r="D130" i="32"/>
  <c r="C131" i="32"/>
  <c r="D131" i="32"/>
  <c r="C132" i="32"/>
  <c r="D132" i="32"/>
  <c r="C133" i="32"/>
  <c r="D133" i="32"/>
  <c r="C134" i="32"/>
  <c r="D134" i="32"/>
  <c r="C135" i="32"/>
  <c r="D135" i="32"/>
  <c r="C136" i="32"/>
  <c r="D136" i="32"/>
  <c r="C137" i="32"/>
  <c r="D137" i="32"/>
  <c r="C138" i="32"/>
  <c r="D138" i="32"/>
  <c r="C139" i="32"/>
  <c r="D139" i="32"/>
  <c r="C140" i="32"/>
  <c r="D140" i="32"/>
  <c r="C141" i="32"/>
  <c r="D141" i="32"/>
  <c r="C142" i="32"/>
  <c r="D142" i="32"/>
  <c r="C143" i="32"/>
  <c r="D143" i="32"/>
  <c r="C144" i="32"/>
  <c r="D144" i="32"/>
  <c r="C145" i="32"/>
  <c r="D145" i="32"/>
  <c r="C146" i="32"/>
  <c r="D146" i="32"/>
  <c r="C147" i="32"/>
  <c r="D147" i="32"/>
  <c r="C148" i="32"/>
  <c r="D148" i="32"/>
  <c r="C149" i="32"/>
  <c r="D149" i="32"/>
  <c r="C150" i="32"/>
  <c r="D150" i="32"/>
  <c r="C151" i="32"/>
  <c r="D151" i="32"/>
  <c r="C152" i="32"/>
  <c r="D152" i="32"/>
  <c r="C153" i="32"/>
  <c r="D153" i="32"/>
  <c r="C154" i="32"/>
  <c r="D154" i="32"/>
  <c r="C155" i="32"/>
  <c r="D155" i="32"/>
  <c r="C156" i="32"/>
  <c r="D156" i="32"/>
  <c r="C157" i="32"/>
  <c r="D157" i="32"/>
  <c r="C158" i="32"/>
  <c r="D158" i="32"/>
  <c r="C159" i="32"/>
  <c r="D159" i="32"/>
  <c r="C160" i="32"/>
  <c r="D160" i="32"/>
  <c r="C161" i="32"/>
  <c r="D161" i="32"/>
  <c r="C162" i="32"/>
  <c r="D162" i="32"/>
  <c r="C163" i="32"/>
  <c r="D163" i="32"/>
  <c r="C164" i="32"/>
  <c r="D164" i="32"/>
  <c r="C165" i="32"/>
  <c r="D165" i="32"/>
  <c r="C166" i="32"/>
  <c r="D166" i="32"/>
  <c r="C167" i="32"/>
  <c r="D167" i="32"/>
  <c r="C168" i="32"/>
  <c r="D168" i="32"/>
  <c r="C169" i="32"/>
  <c r="D169" i="32"/>
  <c r="C170" i="32"/>
  <c r="D170" i="32"/>
  <c r="C171" i="32"/>
  <c r="D171" i="32"/>
  <c r="C172" i="32"/>
  <c r="D172" i="32"/>
  <c r="C173" i="32"/>
  <c r="D173" i="32"/>
  <c r="C174" i="32"/>
  <c r="D174" i="32"/>
  <c r="C175" i="32"/>
  <c r="D175" i="32"/>
  <c r="C176" i="32"/>
  <c r="D176" i="32"/>
  <c r="C177" i="32"/>
  <c r="D177" i="32"/>
  <c r="C178" i="32"/>
  <c r="D178" i="32"/>
  <c r="C179" i="32"/>
  <c r="D179" i="32"/>
  <c r="C180" i="32"/>
  <c r="D180" i="32"/>
  <c r="C181" i="32"/>
  <c r="D181" i="32"/>
  <c r="C182" i="32"/>
  <c r="D182" i="32"/>
  <c r="C183" i="32"/>
  <c r="D183" i="32"/>
  <c r="C184" i="32"/>
  <c r="D184" i="32"/>
  <c r="C185" i="32"/>
  <c r="D185" i="32"/>
  <c r="C186" i="32"/>
  <c r="D186" i="32"/>
  <c r="C187" i="32"/>
  <c r="D187" i="32"/>
  <c r="C188" i="32"/>
  <c r="D188" i="32"/>
  <c r="C189" i="32"/>
  <c r="D189" i="32"/>
  <c r="C190" i="32"/>
  <c r="D190" i="32"/>
  <c r="C191" i="32"/>
  <c r="D191" i="32"/>
  <c r="C192" i="32"/>
  <c r="D192" i="32"/>
  <c r="C193" i="32"/>
  <c r="D193" i="32"/>
  <c r="C194" i="32"/>
  <c r="D194" i="32"/>
  <c r="C195" i="32"/>
  <c r="D195" i="32"/>
  <c r="C196" i="32"/>
  <c r="D196" i="32"/>
  <c r="C197" i="32"/>
  <c r="D197" i="32"/>
  <c r="C198" i="32"/>
  <c r="D198" i="32"/>
  <c r="C199" i="32"/>
  <c r="D199" i="32"/>
  <c r="C200" i="32"/>
  <c r="D200" i="32"/>
  <c r="C201" i="32"/>
  <c r="D201" i="32"/>
  <c r="C202" i="32"/>
  <c r="D202" i="32"/>
  <c r="C203" i="32"/>
  <c r="D203" i="32"/>
  <c r="C204" i="32"/>
  <c r="D204" i="32"/>
  <c r="C205" i="32"/>
  <c r="D205" i="32"/>
  <c r="C206" i="32"/>
  <c r="D206" i="32"/>
  <c r="C207" i="32"/>
  <c r="D207" i="32"/>
  <c r="C208" i="32"/>
  <c r="D208" i="32"/>
  <c r="C209" i="32"/>
  <c r="D209" i="32"/>
  <c r="C210" i="32"/>
  <c r="D210" i="32"/>
  <c r="C211" i="32"/>
  <c r="D211" i="32"/>
  <c r="C212" i="32"/>
  <c r="D212" i="32"/>
  <c r="C213" i="32"/>
  <c r="D213" i="32"/>
  <c r="C214" i="32"/>
  <c r="D214" i="32"/>
  <c r="C215" i="32"/>
  <c r="D215" i="32"/>
  <c r="C216" i="32"/>
  <c r="D216" i="32"/>
  <c r="C217" i="32"/>
  <c r="D217" i="32"/>
  <c r="C218" i="32"/>
  <c r="D218" i="32"/>
  <c r="C219" i="32"/>
  <c r="D219" i="32"/>
  <c r="C220" i="32"/>
  <c r="D220" i="32"/>
  <c r="C221" i="32"/>
  <c r="D221" i="32"/>
  <c r="C222" i="32"/>
  <c r="D222" i="32"/>
  <c r="C223" i="32"/>
  <c r="D223" i="32"/>
  <c r="C224" i="32"/>
  <c r="D224" i="32"/>
  <c r="C225" i="32"/>
  <c r="D225" i="32"/>
  <c r="C226" i="32"/>
  <c r="D226" i="32"/>
  <c r="C227" i="32"/>
  <c r="D227" i="32"/>
  <c r="C228" i="32"/>
  <c r="D228" i="32"/>
  <c r="C229" i="32"/>
  <c r="D229" i="32"/>
  <c r="C230" i="32"/>
  <c r="D230" i="32"/>
  <c r="C231" i="32"/>
  <c r="D231" i="32"/>
  <c r="C232" i="32"/>
  <c r="D232" i="32"/>
  <c r="C233" i="32"/>
  <c r="D233" i="32"/>
  <c r="C234" i="32"/>
  <c r="D234" i="32"/>
  <c r="C235" i="32"/>
  <c r="D235" i="32"/>
  <c r="C236" i="32"/>
  <c r="D236" i="32"/>
  <c r="C237" i="32"/>
  <c r="D237" i="32"/>
  <c r="C238" i="32"/>
  <c r="D238" i="32"/>
  <c r="C239" i="32"/>
  <c r="D239" i="32"/>
  <c r="C240" i="32"/>
  <c r="D240" i="32"/>
  <c r="C241" i="32"/>
  <c r="D241" i="32"/>
  <c r="C242" i="32"/>
  <c r="D242" i="32"/>
  <c r="C243" i="32"/>
  <c r="D243" i="32"/>
  <c r="C244" i="32"/>
  <c r="D244" i="32"/>
  <c r="C245" i="32"/>
  <c r="D245" i="32"/>
  <c r="C246" i="32"/>
  <c r="D246" i="32"/>
  <c r="C247" i="32"/>
  <c r="D247" i="32"/>
  <c r="C248" i="32"/>
  <c r="D248" i="32"/>
  <c r="C249" i="32"/>
  <c r="D249" i="32"/>
  <c r="C250" i="32"/>
  <c r="D250" i="32"/>
  <c r="C251" i="32"/>
  <c r="D251" i="32"/>
  <c r="C252" i="32"/>
  <c r="D252" i="32"/>
  <c r="C253" i="32"/>
  <c r="D253" i="32"/>
  <c r="C254" i="32"/>
  <c r="D254" i="32"/>
  <c r="C255" i="32"/>
  <c r="D255" i="32"/>
  <c r="C256" i="32"/>
  <c r="D256" i="32"/>
  <c r="C257" i="32"/>
  <c r="D257" i="32"/>
  <c r="C258" i="32"/>
  <c r="D258" i="32"/>
  <c r="C259" i="32"/>
  <c r="D259" i="32"/>
  <c r="C260" i="32"/>
  <c r="D260" i="32"/>
  <c r="C261" i="32"/>
  <c r="D261" i="32"/>
  <c r="C262" i="32"/>
  <c r="D262" i="32"/>
  <c r="C263" i="32"/>
  <c r="D263" i="32"/>
  <c r="C264" i="32"/>
  <c r="D264" i="32"/>
  <c r="C265" i="32"/>
  <c r="D265" i="32"/>
  <c r="C266" i="32"/>
  <c r="D266" i="32"/>
  <c r="C267" i="32"/>
  <c r="D267" i="32"/>
  <c r="C268" i="32"/>
  <c r="D268" i="32"/>
  <c r="C269" i="32"/>
  <c r="D269" i="32"/>
  <c r="C270" i="32"/>
  <c r="D270" i="32"/>
  <c r="C271" i="32"/>
  <c r="D271" i="32"/>
  <c r="C272" i="32"/>
  <c r="D272" i="32"/>
  <c r="C273" i="32"/>
  <c r="D273" i="32"/>
  <c r="C274" i="32"/>
  <c r="D274" i="32"/>
  <c r="C275" i="32"/>
  <c r="D275" i="32"/>
  <c r="C276" i="32"/>
  <c r="D276" i="32"/>
  <c r="C277" i="32"/>
  <c r="D277" i="32"/>
  <c r="C278" i="32"/>
  <c r="D278" i="32"/>
  <c r="C279" i="32"/>
  <c r="D279" i="32"/>
  <c r="C280" i="32"/>
  <c r="D280" i="32"/>
  <c r="C281" i="32"/>
  <c r="D281" i="32"/>
  <c r="C282" i="32"/>
  <c r="D282" i="32"/>
  <c r="C283" i="32"/>
  <c r="D283" i="32"/>
  <c r="C284" i="32"/>
  <c r="D284" i="32"/>
  <c r="C285" i="32"/>
  <c r="D285" i="32"/>
  <c r="C286" i="32"/>
  <c r="D286" i="32"/>
  <c r="C287" i="32"/>
  <c r="D287" i="32"/>
  <c r="C288" i="32"/>
  <c r="D288" i="32"/>
  <c r="C289" i="32"/>
  <c r="D289" i="32"/>
  <c r="C290" i="32"/>
  <c r="D290" i="32"/>
  <c r="C291" i="32"/>
  <c r="D291" i="32"/>
  <c r="C292" i="32"/>
  <c r="D292" i="32"/>
  <c r="C293" i="32"/>
  <c r="D293" i="32"/>
  <c r="C294" i="32"/>
  <c r="D294" i="32"/>
  <c r="C295" i="32"/>
  <c r="D295" i="32"/>
  <c r="C296" i="32"/>
  <c r="D296" i="32"/>
  <c r="C297" i="32"/>
  <c r="D297" i="32"/>
  <c r="C298" i="32"/>
  <c r="D298" i="32"/>
  <c r="C299" i="32"/>
  <c r="D299" i="32"/>
  <c r="C300" i="32"/>
  <c r="D300" i="32"/>
  <c r="C301" i="32"/>
  <c r="D301" i="32"/>
  <c r="C302" i="32"/>
  <c r="D302" i="32"/>
  <c r="C303" i="32"/>
  <c r="D303" i="32"/>
  <c r="C304" i="32"/>
  <c r="D304" i="32"/>
  <c r="C305" i="32"/>
  <c r="D305" i="32"/>
  <c r="C306" i="32"/>
  <c r="D306" i="32"/>
  <c r="C307" i="32"/>
  <c r="D307" i="32"/>
  <c r="C308" i="32"/>
  <c r="D308" i="32"/>
  <c r="C309" i="32"/>
  <c r="D309" i="32"/>
  <c r="C310" i="32"/>
  <c r="D310" i="32"/>
  <c r="C311" i="32"/>
  <c r="D311" i="32"/>
  <c r="C312" i="32"/>
  <c r="D312" i="32"/>
  <c r="C313" i="32"/>
  <c r="D313" i="32"/>
  <c r="C314" i="32"/>
  <c r="D314" i="32"/>
  <c r="C315" i="32"/>
  <c r="D315" i="32"/>
  <c r="C316" i="32"/>
  <c r="D316" i="32"/>
  <c r="C317" i="32"/>
  <c r="D317" i="32"/>
  <c r="C318" i="32"/>
  <c r="D318" i="32"/>
  <c r="C319" i="32"/>
  <c r="D319" i="32"/>
  <c r="C320" i="32"/>
  <c r="D320" i="32"/>
  <c r="C321" i="32"/>
  <c r="D321" i="32"/>
  <c r="C322" i="32"/>
  <c r="D322" i="32"/>
  <c r="C323" i="32"/>
  <c r="D323" i="32"/>
  <c r="C324" i="32"/>
  <c r="D324" i="32"/>
  <c r="C325" i="32"/>
  <c r="D325" i="32"/>
  <c r="C326" i="32"/>
  <c r="D326" i="32"/>
  <c r="C327" i="32"/>
  <c r="D327" i="32"/>
  <c r="C328" i="32"/>
  <c r="D328" i="32"/>
  <c r="C329" i="32"/>
  <c r="D329" i="32"/>
  <c r="C330" i="32"/>
  <c r="D330" i="32"/>
  <c r="C331" i="32"/>
  <c r="D331" i="32"/>
  <c r="D44" i="16" l="1"/>
  <c r="D37" i="16"/>
  <c r="D27" i="16"/>
  <c r="Z2" i="18"/>
  <c r="AA2" i="18" s="1"/>
  <c r="A3" i="18" l="1"/>
  <c r="AB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R5" authorId="0" shapeId="0" xr:uid="{B7D4E063-2EC4-4294-96E4-9A29FFD36F8F}">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A24B21F5-E3BF-4D10-B0DA-D323FDCB32C9}">
      <text>
        <r>
          <rPr>
            <sz val="9"/>
            <color indexed="81"/>
            <rFont val="Tahoma"/>
            <family val="2"/>
          </rPr>
          <t>Template from process AEM_PROCESS_1.06.00
No change since (at least) AEM_PROCESS_1.05.00</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2"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2" authorId="0" shapeId="0" xr:uid="{1AF38798-19CC-4A4A-A663-F493F6074A69}">
      <text>
        <r>
          <rPr>
            <sz val="8"/>
            <color indexed="81"/>
            <rFont val="Tahoma"/>
            <family val="2"/>
          </rPr>
          <t>Date when the Revision is released</t>
        </r>
      </text>
    </comment>
    <comment ref="I22" authorId="0" shapeId="0" xr:uid="{7FE43326-0D25-441A-B27E-86ADA84E7EE3}">
      <text>
        <r>
          <rPr>
            <sz val="8"/>
            <color indexed="81"/>
            <rFont val="Tahoma"/>
            <family val="2"/>
          </rPr>
          <t>Author of the document. Authors if several.</t>
        </r>
      </text>
    </comment>
    <comment ref="R22" authorId="0" shapeId="0" xr:uid="{4940EA2C-5A26-4FFD-BECA-816DB136BA2A}">
      <text>
        <r>
          <rPr>
            <sz val="8"/>
            <color indexed="81"/>
            <rFont val="Tahoma"/>
            <family val="2"/>
          </rPr>
          <t>Description or comment on the version. E.g. updated after meeting etc.</t>
        </r>
      </text>
    </comment>
    <comment ref="B32"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32" authorId="0" shapeId="0" xr:uid="{7D629A74-735C-4D9E-8E9C-382A2172CF1C}">
      <text>
        <r>
          <rPr>
            <sz val="8"/>
            <color indexed="81"/>
            <rFont val="Tahoma"/>
            <family val="2"/>
          </rPr>
          <t>Title of reference documents.</t>
        </r>
      </text>
    </comment>
    <comment ref="Y32" authorId="0" shapeId="0" xr:uid="{327A4027-E374-46EE-8F41-AAE7F5A68063}">
      <text>
        <r>
          <rPr>
            <sz val="8"/>
            <color indexed="81"/>
            <rFont val="Tahoma"/>
            <family val="2"/>
          </rPr>
          <t>Reference number, e.g. E123456 and revision of the reference.</t>
        </r>
      </text>
    </comment>
    <comment ref="B38"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38" authorId="0" shapeId="0" xr:uid="{EAF8F54A-6162-4D53-AD9B-58CDCD7A1B4D}">
      <text>
        <r>
          <rPr>
            <sz val="8"/>
            <color indexed="81"/>
            <rFont val="Tahoma"/>
            <family val="2"/>
          </rPr>
          <t>Title of reference documents.</t>
        </r>
      </text>
    </comment>
    <comment ref="Y38" authorId="0" shapeId="0" xr:uid="{AF9ABC4C-2372-4875-B9F9-B60698EAB986}">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tc={3BEEE150-CDB7-4B22-8521-FD3CA62DD140}</author>
    <author>tc={DC9E864A-8115-46A7-BAE5-993490F386FE}</author>
    <author>tc={0180DF6E-9091-4A6F-8AC9-1CBFDA59F091}</author>
    <author>tc={DDB2772C-7E8E-4A53-898F-3615291C5B30}</author>
    <author>tc={177D809D-2020-41FD-A436-DB70B6139886}</author>
  </authors>
  <commentList>
    <comment ref="B13" authorId="0" shapeId="0" xr:uid="{3BEEE150-CDB7-4B22-8521-FD3CA62DD140}">
      <text>
        <t>[Threaded comment]
Your version of Excel allows you to read this threaded comment; however, any edits to it will get removed if the file is opened in a newer version of Excel. Learn more: https://go.microsoft.com/fwlink/?linkid=870924
Comment:
    To be reworked
Reply:
    Review sheet there are 4 review methods and only 3 are described here.  I have prepared a document with more detailed description of the review methods</t>
      </text>
    </comment>
    <comment ref="F19" authorId="1" shapeId="0" xr:uid="{DC9E864A-8115-46A7-BAE5-993490F386FE}">
      <text>
        <t>[Threaded comment]
Your version of Excel allows you to read this threaded comment; however, any edits to it will get removed if the file is opened in a newer version of Excel. Learn more: https://go.microsoft.com/fwlink/?linkid=870924
Comment:
    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
      </text>
    </comment>
    <comment ref="F20" authorId="2" shapeId="0" xr:uid="{0180DF6E-9091-4A6F-8AC9-1CBFDA59F091}">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F21" authorId="3" shapeId="0" xr:uid="{DDB2772C-7E8E-4A53-898F-3615291C5B30}">
      <text>
        <t>[Threaded comment]
Your version of Excel allows you to read this threaded comment; however, any edits to it will get removed if the file is opened in a newer version of Excel. Learn more: https://go.microsoft.com/fwlink/?linkid=870924
Comment:
    KGAS_3236 Consumed effort and duration must be documented for all reviews.</t>
      </text>
    </comment>
    <comment ref="B49" authorId="4" shapeId="0" xr:uid="{177D809D-2020-41FD-A436-DB70B6139886}">
      <text>
        <t>[Threaded comment]
Your version of Excel allows you to read this threaded comment; however, any edits to it will get removed if the file is opened in a newer version of Excel. Learn more: https://go.microsoft.com/fwlink/?linkid=870924
Comment:
    The moderator is missing in this sheet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tc={5B1762A5-4B53-406B-831A-42678279CEB5}</author>
    <author>jean-marc.lambert</author>
    <author>marion.rakotonoelina</author>
    <author>LPE</author>
    <author>Marion Rakotonoelina</author>
    <author>tc={4F07D554-8883-424C-8AAE-3311ED8AC009}</author>
  </authors>
  <commentList>
    <comment ref="Y1" authorId="0" shapeId="0" xr:uid="{00000000-0006-0000-0300-000001000000}">
      <text>
        <r>
          <rPr>
            <sz val="9"/>
            <color indexed="81"/>
            <rFont val="Tahoma"/>
            <family val="2"/>
          </rPr>
          <t>Detection of :
o Open issues
o To be fixed issues
o Rejected issues</t>
        </r>
      </text>
    </comment>
    <comment ref="M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O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J3" authorId="1" shapeId="0" xr:uid="{5B1762A5-4B53-406B-831A-42678279CEB5}">
      <text>
        <t>[Threaded comment]
Your version of Excel allows you to read this threaded comment; however, any edits to it will get removed if the file is opened in a newer version of Excel. Learn more: https://go.microsoft.com/fwlink/?linkid=870924
Comment:
    Review types must be consistant with the process</t>
      </text>
    </comment>
    <comment ref="A4" authorId="2"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3"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4"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author.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4"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2"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3"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3"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5"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5" shapeId="0" xr:uid="{00000000-0006-0000-0300-00000E000000}">
      <text>
        <r>
          <rPr>
            <b/>
            <sz val="9"/>
            <color indexed="81"/>
            <rFont val="Tahoma"/>
            <family val="2"/>
          </rPr>
          <t>See definition in Help tab</t>
        </r>
        <r>
          <rPr>
            <sz val="9"/>
            <color indexed="81"/>
            <rFont val="Tahoma"/>
            <family val="2"/>
          </rPr>
          <t xml:space="preserve">
</t>
        </r>
      </text>
    </comment>
    <comment ref="K4" authorId="3"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L4" authorId="3"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M4" authorId="3"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N4" authorId="2"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 ref="I5" authorId="6" shapeId="0" xr:uid="{4F07D554-8883-424C-8AAE-3311ED8AC009}">
      <text>
        <t>[Threaded comment]
Your version of Excel allows you to read this threaded comment; however, any edits to it will get removed if the file is opened in a newer version of Excel. Learn more: https://go.microsoft.com/fwlink/?linkid=870924
Comment:
    KGAS "For all deviations identified in reviews, severity must be documented (e.g. critical for project, mediocre deviation, minor deviation)."</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1" authorId="0" shapeId="0" xr:uid="{00000000-0006-0000-0700-000001000000}">
      <text>
        <r>
          <rPr>
            <b/>
            <sz val="8"/>
            <color indexed="81"/>
            <rFont val="Tahoma"/>
            <family val="2"/>
            <charset val="238"/>
          </rPr>
          <t>Author:</t>
        </r>
        <r>
          <rPr>
            <sz val="8"/>
            <color indexed="81"/>
            <rFont val="Tahoma"/>
            <family val="2"/>
            <charset val="238"/>
          </rPr>
          <t xml:space="preserve">
E.g. 
integration trigger - issues states;
functional dependencies;
HW/SW dependencies;</t>
        </r>
      </text>
    </comment>
    <comment ref="B22" authorId="0" shapeId="0" xr:uid="{00000000-0006-0000-0700-000002000000}">
      <text>
        <r>
          <rPr>
            <b/>
            <sz val="8"/>
            <color indexed="81"/>
            <rFont val="Tahoma"/>
            <family val="2"/>
            <charset val="238"/>
          </rPr>
          <t>Author:</t>
        </r>
        <r>
          <rPr>
            <sz val="8"/>
            <color indexed="81"/>
            <rFont val="Tahoma"/>
            <family val="2"/>
            <charset val="238"/>
          </rPr>
          <t xml:space="preserve">
E.g.
frequency - on Every Checkpoint / weekly / Release label; 
goals -  scope, coverage rate; 
approach - prioritization, new units / changed units;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B10" authorId="0" shapeId="0" xr:uid="{00000000-0006-0000-0C00-000001000000}">
      <text>
        <r>
          <rPr>
            <b/>
            <sz val="9"/>
            <color indexed="81"/>
            <rFont val="Tahoma"/>
            <family val="2"/>
          </rPr>
          <t>Criteria are aligned with ISO 26262-6:2011(E)</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B6" authorId="0" shapeId="0" xr:uid="{00000000-0006-0000-0E00-000001000000}">
      <text>
        <r>
          <rPr>
            <b/>
            <u/>
            <sz val="9"/>
            <color indexed="81"/>
            <rFont val="Tahoma"/>
            <family val="2"/>
          </rPr>
          <t>Extract from AS 151</t>
        </r>
        <r>
          <rPr>
            <b/>
            <sz val="9"/>
            <color indexed="81"/>
            <rFont val="Tahoma"/>
            <family val="2"/>
          </rPr>
          <t xml:space="preserve">: </t>
        </r>
        <r>
          <rPr>
            <sz val="9"/>
            <color indexed="81"/>
            <rFont val="Tahoma"/>
            <family val="2"/>
          </rPr>
          <t xml:space="preserve">"AS151 meets the software requirements as specified by industry recognized standards – ISO-15504 Hersteller Initiative Software (HIS) Scope, Capability Maturity Model Integrated (CMMI) for Development and ISO-26262."
</t>
        </r>
      </text>
    </comment>
    <comment ref="B8" authorId="0" shapeId="0" xr:uid="{00000000-0006-0000-0E00-000002000000}">
      <text>
        <r>
          <rPr>
            <b/>
            <sz val="9"/>
            <color indexed="81"/>
            <rFont val="Tahoma"/>
            <family val="2"/>
          </rPr>
          <t>ALE Meeting Minutes: 195880 (5-mar-2015)
Refer to Software Development Plan (SDP) to know the template to be used by the project (may be through UML, MBD, Word ...)</t>
        </r>
      </text>
    </comment>
    <comment ref="B9" authorId="0" shapeId="0" xr:uid="{00000000-0006-0000-0E00-000003000000}">
      <text>
        <r>
          <rPr>
            <b/>
            <sz val="9"/>
            <color indexed="81"/>
            <rFont val="Tahoma"/>
            <family val="2"/>
          </rPr>
          <t>Criteria are aligned with ISO 26262-6:2011(E)</t>
        </r>
        <r>
          <rPr>
            <sz val="9"/>
            <color indexed="81"/>
            <rFont val="Tahoma"/>
            <family val="2"/>
          </rPr>
          <t xml:space="preserve">
</t>
        </r>
      </text>
    </comment>
    <comment ref="B10" authorId="0" shapeId="0" xr:uid="{00000000-0006-0000-0E00-000004000000}">
      <text>
        <r>
          <rPr>
            <b/>
            <sz val="9"/>
            <color indexed="81"/>
            <rFont val="Tahoma"/>
            <family val="2"/>
          </rPr>
          <t>ISO 26262-6:2011(E)
8 Software unit design and implementation
8.1 Objectives</t>
        </r>
        <r>
          <rPr>
            <sz val="9"/>
            <color indexed="81"/>
            <rFont val="Tahoma"/>
            <family val="2"/>
          </rPr>
          <t xml:space="preserve">
The first objective of this sub-phase is to specify the software units i</t>
        </r>
        <r>
          <rPr>
            <b/>
            <sz val="9"/>
            <color indexed="81"/>
            <rFont val="Tahoma"/>
            <family val="2"/>
          </rPr>
          <t xml:space="preserve">n accordance with the software architectural design </t>
        </r>
        <r>
          <rPr>
            <sz val="9"/>
            <color indexed="81"/>
            <rFont val="Tahoma"/>
            <family val="2"/>
          </rPr>
          <t xml:space="preserve">and the associated software safety requirements.
...
</t>
        </r>
        <r>
          <rPr>
            <b/>
            <sz val="9"/>
            <color indexed="81"/>
            <rFont val="Tahoma"/>
            <family val="2"/>
          </rPr>
          <t>8.2 General</t>
        </r>
        <r>
          <rPr>
            <sz val="9"/>
            <color indexed="81"/>
            <rFont val="Tahoma"/>
            <family val="2"/>
          </rPr>
          <t xml:space="preserve">
</t>
        </r>
        <r>
          <rPr>
            <b/>
            <sz val="9"/>
            <color indexed="81"/>
            <rFont val="Tahoma"/>
            <family val="2"/>
          </rPr>
          <t>Based on the software architectural design</t>
        </r>
        <r>
          <rPr>
            <sz val="9"/>
            <color indexed="81"/>
            <rFont val="Tahoma"/>
            <family val="2"/>
          </rPr>
          <t xml:space="preserve">, the detailed design of the software units is developed. 
...
In order to develop a single software unit design both software </t>
        </r>
        <r>
          <rPr>
            <b/>
            <sz val="9"/>
            <color indexed="81"/>
            <rFont val="Tahoma"/>
            <family val="2"/>
          </rPr>
          <t>safety requirements as well as all non-safety related requirements</t>
        </r>
        <r>
          <rPr>
            <sz val="9"/>
            <color indexed="81"/>
            <rFont val="Tahoma"/>
            <family val="2"/>
          </rPr>
          <t xml:space="preserve"> are implemented.
...
</t>
        </r>
        <r>
          <rPr>
            <b/>
            <sz val="9"/>
            <color indexed="81"/>
            <rFont val="Tahoma"/>
            <family val="2"/>
          </rPr>
          <t>8.4.4 Design principles for software unit design and implementation</t>
        </r>
        <r>
          <rPr>
            <sz val="9"/>
            <color indexed="81"/>
            <rFont val="Tahoma"/>
            <family val="2"/>
          </rPr>
          <t xml:space="preserve"> at the source code level as listed in Table 8 shall be applied to achieve the following properties:
a) correct order of execution of subprograms and functions within the software units, </t>
        </r>
        <r>
          <rPr>
            <b/>
            <sz val="9"/>
            <color indexed="81"/>
            <rFont val="Tahoma"/>
            <family val="2"/>
          </rPr>
          <t>based on the software architectural design;
b) consistency of the interfaces between the software units;</t>
        </r>
        <r>
          <rPr>
            <sz val="9"/>
            <color indexed="81"/>
            <rFont val="Tahoma"/>
            <family val="2"/>
          </rPr>
          <t xml:space="preserve">
c) correctness of data flow and control flow between and within the software units;
d) simplicity;
e) readability and comprehensibility;
f) robustness;
EXAMPLE Methods to prevent implausible values, execution errors, division by zero, and errors in the data flow and control flow.
g) suitability for software modification; and
h) testability.
...
</t>
        </r>
        <r>
          <rPr>
            <b/>
            <sz val="9"/>
            <color indexed="81"/>
            <rFont val="Tahoma"/>
            <family val="2"/>
          </rPr>
          <t>8.4.5 The software unit design</t>
        </r>
        <r>
          <rPr>
            <sz val="9"/>
            <color indexed="81"/>
            <rFont val="Tahoma"/>
            <family val="2"/>
          </rPr>
          <t xml:space="preserve"> and implementation shall be verified in accordance with ISO 26262-8:2011 Clause 9, and by applying the verification methods listed in Table 9, to demonstrate:
a) the compliance with the hardware-software interface specification (in accordance with ISO 26262-5:2011, 6.4.10);
b) the fulfilment of the software safety requirements as</t>
        </r>
        <r>
          <rPr>
            <b/>
            <sz val="9"/>
            <color indexed="81"/>
            <rFont val="Tahoma"/>
            <family val="2"/>
          </rPr>
          <t xml:space="preserve"> allocated to the software units (in accordance with 7.4.9) through traceability;</t>
        </r>
        <r>
          <rPr>
            <sz val="9"/>
            <color indexed="81"/>
            <rFont val="Tahoma"/>
            <family val="2"/>
          </rPr>
          <t xml:space="preserve">
c) the compliance of the source code with its design specification;
NOTE In the case of model-based development, requirement c) still applies.
d) the compliance of the source code with the coding guidelines (see 5.5.3); and
e) the compatibility of the software unit implementations with the target hardware.
</t>
        </r>
      </text>
    </comment>
    <comment ref="B11" authorId="0" shapeId="0" xr:uid="{00000000-0006-0000-0E00-000005000000}">
      <text>
        <r>
          <rPr>
            <b/>
            <sz val="9"/>
            <color indexed="81"/>
            <rFont val="Tahoma"/>
            <family val="2"/>
          </rPr>
          <t>ISO 26262-6:2011(E)
8 Software unit design and implementation
8.1 Objectives</t>
        </r>
        <r>
          <rPr>
            <sz val="9"/>
            <color indexed="81"/>
            <rFont val="Tahoma"/>
            <family val="2"/>
          </rPr>
          <t xml:space="preserve">
The first objective of this sub-phase is to specify the software units in accordance with the software architectural design</t>
        </r>
        <r>
          <rPr>
            <b/>
            <sz val="9"/>
            <color indexed="81"/>
            <rFont val="Tahoma"/>
            <family val="2"/>
          </rPr>
          <t xml:space="preserve"> </t>
        </r>
        <r>
          <rPr>
            <sz val="9"/>
            <color indexed="81"/>
            <rFont val="Tahoma"/>
            <family val="2"/>
          </rPr>
          <t>and</t>
        </r>
        <r>
          <rPr>
            <b/>
            <sz val="9"/>
            <color indexed="81"/>
            <rFont val="Tahoma"/>
            <family val="2"/>
          </rPr>
          <t xml:space="preserve"> the associated software safety requirements</t>
        </r>
        <r>
          <rPr>
            <sz val="9"/>
            <color indexed="81"/>
            <rFont val="Tahoma"/>
            <family val="2"/>
          </rPr>
          <t xml:space="preserve">.
...
</t>
        </r>
        <r>
          <rPr>
            <b/>
            <sz val="9"/>
            <color indexed="81"/>
            <rFont val="Tahoma"/>
            <family val="2"/>
          </rPr>
          <t>8.2 General</t>
        </r>
        <r>
          <rPr>
            <sz val="9"/>
            <color indexed="81"/>
            <rFont val="Tahoma"/>
            <family val="2"/>
          </rPr>
          <t xml:space="preserve">
Based on the software architectural design, the detailed design of the software units is developed. 
...
In order to develop a single software unit design both </t>
        </r>
        <r>
          <rPr>
            <b/>
            <sz val="9"/>
            <color indexed="81"/>
            <rFont val="Tahoma"/>
            <family val="2"/>
          </rPr>
          <t>software safety requirements as well as all non-safety related requirements</t>
        </r>
        <r>
          <rPr>
            <sz val="9"/>
            <color indexed="81"/>
            <rFont val="Tahoma"/>
            <family val="2"/>
          </rPr>
          <t xml:space="preserve"> are implemented.
...
</t>
        </r>
        <r>
          <rPr>
            <b/>
            <sz val="9"/>
            <color indexed="81"/>
            <rFont val="Tahoma"/>
            <family val="2"/>
          </rPr>
          <t>8.4.3 The specification of the software units shall describe the functional behaviour and the internal design to the level of detail necessary for their implementation.</t>
        </r>
        <r>
          <rPr>
            <sz val="9"/>
            <color indexed="81"/>
            <rFont val="Tahoma"/>
            <family val="2"/>
          </rPr>
          <t xml:space="preserve">
...
</t>
        </r>
        <r>
          <rPr>
            <b/>
            <sz val="9"/>
            <color indexed="81"/>
            <rFont val="Tahoma"/>
            <family val="2"/>
          </rPr>
          <t>8.4.5 The software unit design</t>
        </r>
        <r>
          <rPr>
            <sz val="9"/>
            <color indexed="81"/>
            <rFont val="Tahoma"/>
            <family val="2"/>
          </rPr>
          <t xml:space="preserve"> and implementation shall be verified in accordance with ISO 26262-8:2011 Clause 9, and by applying the verification methods listed in Table 9, to demonstrate:
a) the compliance with the hardware-software interface specification (in accordance with ISO 26262-5:2011, 6.4.10);
</t>
        </r>
        <r>
          <rPr>
            <b/>
            <sz val="9"/>
            <color indexed="81"/>
            <rFont val="Tahoma"/>
            <family val="2"/>
          </rPr>
          <t>b) the fulfilment of the software safety requirements as allocated to the software units</t>
        </r>
        <r>
          <rPr>
            <sz val="9"/>
            <color indexed="81"/>
            <rFont val="Tahoma"/>
            <family val="2"/>
          </rPr>
          <t xml:space="preserve"> (in accordance with 7.4.9) </t>
        </r>
        <r>
          <rPr>
            <b/>
            <sz val="9"/>
            <color indexed="81"/>
            <rFont val="Tahoma"/>
            <family val="2"/>
          </rPr>
          <t>through traceability</t>
        </r>
        <r>
          <rPr>
            <sz val="9"/>
            <color indexed="81"/>
            <rFont val="Tahoma"/>
            <family val="2"/>
          </rPr>
          <t xml:space="preserve">;
c) the compliance of the source code with its design specification;
NOTE In the case of model-based development, requirement c) still applies.
d) the compliance of the source code with the coding guidelines (see 5.5.3); and
e) the compatibility of the software unit implementations with the target hardware.
</t>
        </r>
      </text>
    </comment>
    <comment ref="B12" authorId="0" shapeId="0" xr:uid="{00000000-0006-0000-0E00-000006000000}">
      <text>
        <r>
          <rPr>
            <b/>
            <sz val="9"/>
            <color indexed="81"/>
            <rFont val="Tahoma"/>
            <family val="2"/>
          </rPr>
          <t>ISO 26262-6:2011(E)
8 Software unit design and implementation
...
8.4.5 The software unit design and implementation shall be verified</t>
        </r>
        <r>
          <rPr>
            <sz val="9"/>
            <color indexed="81"/>
            <rFont val="Tahoma"/>
            <family val="2"/>
          </rPr>
          <t xml:space="preserve"> in accordance with ISO 26262-8:2011 Clause 9, and by applying the verification methods listed in Table 9, to demonstrate:
</t>
        </r>
        <r>
          <rPr>
            <b/>
            <sz val="9"/>
            <color indexed="81"/>
            <rFont val="Tahoma"/>
            <family val="2"/>
          </rPr>
          <t>a) the compliance with the hardware-software interface specification</t>
        </r>
        <r>
          <rPr>
            <sz val="9"/>
            <color indexed="81"/>
            <rFont val="Tahoma"/>
            <family val="2"/>
          </rPr>
          <t xml:space="preserve"> (in accordance with ISO 26262-5:2011, 6.4.10);
b) the fulfilment of the software safety requirements as allocated to the software units (in accordance with 7.4.9) through traceability;
c) the compliance of the source code with its design specification;
NOTE In the case of model-based development, requirement c) still applies.
d) the compliance of the source code with the coding guidelines (see 5.5.3); and
e) the compatibility of the software unit implementations </t>
        </r>
        <r>
          <rPr>
            <b/>
            <sz val="9"/>
            <color indexed="81"/>
            <rFont val="Tahoma"/>
            <family val="2"/>
          </rPr>
          <t>with the target hardware</t>
        </r>
        <r>
          <rPr>
            <sz val="9"/>
            <color indexed="81"/>
            <rFont val="Tahoma"/>
            <family val="2"/>
          </rPr>
          <t xml:space="preserve">.
</t>
        </r>
      </text>
    </comment>
    <comment ref="B14" authorId="0" shapeId="0" xr:uid="{00000000-0006-0000-0E00-000007000000}">
      <text>
        <r>
          <rPr>
            <b/>
            <sz val="9"/>
            <color indexed="81"/>
            <rFont val="Tahoma"/>
            <family val="2"/>
          </rPr>
          <t>ISO 26262-6:2011(E)
8 Software unit design and implementation
...</t>
        </r>
        <r>
          <rPr>
            <sz val="9"/>
            <color indexed="81"/>
            <rFont val="Tahoma"/>
            <family val="2"/>
          </rPr>
          <t xml:space="preserve">
</t>
        </r>
        <r>
          <rPr>
            <b/>
            <sz val="9"/>
            <color indexed="81"/>
            <rFont val="Tahoma"/>
            <family val="2"/>
          </rPr>
          <t>8.4.4 Design principles for software unit design</t>
        </r>
        <r>
          <rPr>
            <sz val="9"/>
            <color indexed="81"/>
            <rFont val="Tahoma"/>
            <family val="2"/>
          </rPr>
          <t xml:space="preserve"> and implementation at the source code level as listed in Table 8 shall be applied to achieve the following properties:
a) correct order of execution of subprograms and functions within the software units, based on the software architectural design;</t>
        </r>
        <r>
          <rPr>
            <b/>
            <sz val="9"/>
            <color indexed="81"/>
            <rFont val="Tahoma"/>
            <family val="2"/>
          </rPr>
          <t xml:space="preserve">
</t>
        </r>
        <r>
          <rPr>
            <sz val="9"/>
            <color indexed="81"/>
            <rFont val="Tahoma"/>
            <family val="2"/>
          </rPr>
          <t xml:space="preserve">b) consistency of the interfaces between the software units;
c) correctness of data flow and control flow between and within the software units;
d) simplicity;
e) readability and comprehensibility;
f) robustness;
EXAMPLE Methods to prevent implausible values, execution errors, division by zero, and errors in the data flow and control flow.
g) suitability for software modification; and
h) </t>
        </r>
        <r>
          <rPr>
            <b/>
            <sz val="9"/>
            <color indexed="81"/>
            <rFont val="Tahoma"/>
            <family val="2"/>
          </rPr>
          <t>testability.</t>
        </r>
        <r>
          <rPr>
            <sz val="9"/>
            <color indexed="81"/>
            <rFont val="Tahoma"/>
            <family val="2"/>
          </rPr>
          <t xml:space="preserve">
</t>
        </r>
      </text>
    </comment>
    <comment ref="B15" authorId="0" shapeId="0" xr:uid="{00000000-0006-0000-0E00-000008000000}">
      <text>
        <r>
          <rPr>
            <b/>
            <sz val="9"/>
            <color indexed="81"/>
            <rFont val="Tahoma"/>
            <family val="2"/>
          </rPr>
          <t xml:space="preserve">ISO 26262-6:2011(E)
8 Software unit design and implementation
</t>
        </r>
        <r>
          <rPr>
            <sz val="9"/>
            <color indexed="81"/>
            <rFont val="Tahoma"/>
            <family val="2"/>
          </rPr>
          <t xml:space="preserve">...
</t>
        </r>
        <r>
          <rPr>
            <b/>
            <sz val="9"/>
            <color indexed="81"/>
            <rFont val="Tahoma"/>
            <family val="2"/>
          </rPr>
          <t>8.4.3 The specification of the software units shall describe the functional behaviour and the internal design to the level of detail necessary for their implementation.</t>
        </r>
        <r>
          <rPr>
            <sz val="9"/>
            <color indexed="81"/>
            <rFont val="Tahoma"/>
            <family val="2"/>
          </rPr>
          <t xml:space="preserve">
...
</t>
        </r>
      </text>
    </comment>
    <comment ref="B16" authorId="0" shapeId="0" xr:uid="{00000000-0006-0000-0E00-000009000000}">
      <text>
        <r>
          <rPr>
            <b/>
            <sz val="9"/>
            <color indexed="81"/>
            <rFont val="Tahoma"/>
            <family val="2"/>
          </rPr>
          <t>ISO 26262-6:2011(E)
8 Software unit design and implementation
...</t>
        </r>
        <r>
          <rPr>
            <sz val="9"/>
            <color indexed="81"/>
            <rFont val="Tahoma"/>
            <family val="2"/>
          </rPr>
          <t xml:space="preserve">
</t>
        </r>
        <r>
          <rPr>
            <b/>
            <sz val="9"/>
            <color indexed="81"/>
            <rFont val="Tahoma"/>
            <family val="2"/>
          </rPr>
          <t>8.4.4 Design principles for software unit design</t>
        </r>
        <r>
          <rPr>
            <sz val="9"/>
            <color indexed="81"/>
            <rFont val="Tahoma"/>
            <family val="2"/>
          </rPr>
          <t xml:space="preserve"> and implementation at the source code level as listed in Table 8 shall be applied to achieve the following properties:
a) correct order of execution of subprograms and functions within the software units, based on the software architectural design;</t>
        </r>
        <r>
          <rPr>
            <b/>
            <sz val="9"/>
            <color indexed="81"/>
            <rFont val="Tahoma"/>
            <family val="2"/>
          </rPr>
          <t xml:space="preserve">
</t>
        </r>
        <r>
          <rPr>
            <sz val="9"/>
            <color indexed="81"/>
            <rFont val="Tahoma"/>
            <family val="2"/>
          </rPr>
          <t xml:space="preserve">b) consistency of the interfaces between the software units;
c) correctness of data flow and control flow between and within the software units;
d) simplicity;
e) readability and comprehensibility;
</t>
        </r>
        <r>
          <rPr>
            <b/>
            <sz val="9"/>
            <color indexed="81"/>
            <rFont val="Tahoma"/>
            <family val="2"/>
          </rPr>
          <t>f) robustness;</t>
        </r>
        <r>
          <rPr>
            <sz val="9"/>
            <color indexed="81"/>
            <rFont val="Tahoma"/>
            <family val="2"/>
          </rPr>
          <t xml:space="preserve">
EXAMPLE Methods to prevent implausible values, execution errors, division by zero, and errors in the data flow and control flow.
g) suitability for software modification; and
h) testability.
</t>
        </r>
      </text>
    </comment>
    <comment ref="B17" authorId="0" shapeId="0" xr:uid="{00000000-0006-0000-0E00-00000A000000}">
      <text>
        <r>
          <rPr>
            <b/>
            <sz val="9"/>
            <color indexed="81"/>
            <rFont val="Tahoma"/>
            <family val="2"/>
          </rPr>
          <t>ISO 26262-6:2011(E)
8 Software unit design and implementation
...</t>
        </r>
        <r>
          <rPr>
            <sz val="9"/>
            <color indexed="81"/>
            <rFont val="Tahoma"/>
            <family val="2"/>
          </rPr>
          <t xml:space="preserve">
</t>
        </r>
        <r>
          <rPr>
            <b/>
            <sz val="9"/>
            <color indexed="81"/>
            <rFont val="Tahoma"/>
            <family val="2"/>
          </rPr>
          <t>8.4.4 Design principles for software unit design</t>
        </r>
        <r>
          <rPr>
            <sz val="9"/>
            <color indexed="81"/>
            <rFont val="Tahoma"/>
            <family val="2"/>
          </rPr>
          <t xml:space="preserve"> and implementation at the source code level as listed in Table 8 shall be applied to achieve the following properties:
a) correct order of execution of subprograms and functions within the software units, based on the software architectural design;</t>
        </r>
        <r>
          <rPr>
            <b/>
            <sz val="9"/>
            <color indexed="81"/>
            <rFont val="Tahoma"/>
            <family val="2"/>
          </rPr>
          <t xml:space="preserve">
</t>
        </r>
        <r>
          <rPr>
            <sz val="9"/>
            <color indexed="81"/>
            <rFont val="Tahoma"/>
            <family val="2"/>
          </rPr>
          <t xml:space="preserve">b) consistency of the interfaces between the software units;
c) correctness of data flow and control flow between and within the software units;
d) simplicity;
e) readability and comprehensibility;
</t>
        </r>
        <r>
          <rPr>
            <b/>
            <sz val="9"/>
            <color indexed="81"/>
            <rFont val="Tahoma"/>
            <family val="2"/>
          </rPr>
          <t>f) robustness;</t>
        </r>
        <r>
          <rPr>
            <sz val="9"/>
            <color indexed="81"/>
            <rFont val="Tahoma"/>
            <family val="2"/>
          </rPr>
          <t xml:space="preserve">
EXAMPLE Methods to prevent implausible values, execution errors, division by zero, and errors in the data flow and control flow.
g) suitability for software modification; and
h) testability.
</t>
        </r>
      </text>
    </comment>
    <comment ref="B18" authorId="0" shapeId="0" xr:uid="{00000000-0006-0000-0E00-00000B000000}">
      <text>
        <r>
          <rPr>
            <b/>
            <sz val="9"/>
            <color indexed="81"/>
            <rFont val="Tahoma"/>
            <family val="2"/>
          </rPr>
          <t>ISO 26262-6:2011(E)
8 Software unit design and implementation
...</t>
        </r>
        <r>
          <rPr>
            <sz val="9"/>
            <color indexed="81"/>
            <rFont val="Tahoma"/>
            <family val="2"/>
          </rPr>
          <t xml:space="preserve">
</t>
        </r>
        <r>
          <rPr>
            <b/>
            <sz val="9"/>
            <color indexed="81"/>
            <rFont val="Tahoma"/>
            <family val="2"/>
          </rPr>
          <t>8.4.4 Design principles for software unit design</t>
        </r>
        <r>
          <rPr>
            <sz val="9"/>
            <color indexed="81"/>
            <rFont val="Tahoma"/>
            <family val="2"/>
          </rPr>
          <t xml:space="preserve"> and implementation at the source code level as listed in Table 8 shall be applied to achieve the following properties:
a) correct order of execution of subprograms and functions within the software units, based on the software architectural design;</t>
        </r>
        <r>
          <rPr>
            <b/>
            <sz val="9"/>
            <color indexed="81"/>
            <rFont val="Tahoma"/>
            <family val="2"/>
          </rPr>
          <t xml:space="preserve">
</t>
        </r>
        <r>
          <rPr>
            <sz val="9"/>
            <color indexed="81"/>
            <rFont val="Tahoma"/>
            <family val="2"/>
          </rPr>
          <t xml:space="preserve">b) consistency of the interfaces between the software units;
c) correctness of data flow and control flow between and within the software units;
d) simplicity;
e) readability and comprehensibility;
</t>
        </r>
        <r>
          <rPr>
            <b/>
            <sz val="9"/>
            <color indexed="81"/>
            <rFont val="Tahoma"/>
            <family val="2"/>
          </rPr>
          <t>f) robustness;</t>
        </r>
        <r>
          <rPr>
            <sz val="9"/>
            <color indexed="81"/>
            <rFont val="Tahoma"/>
            <family val="2"/>
          </rPr>
          <t xml:space="preserve">
EXAMPLE Methods to prevent implausible values, execution errors, division by zero, and errors in the data flow and control flow.
g) suitability for software modification; and
h) testability.
</t>
        </r>
      </text>
    </comment>
    <comment ref="B19" authorId="0" shapeId="0" xr:uid="{00000000-0006-0000-0E00-00000C000000}">
      <text>
        <r>
          <rPr>
            <b/>
            <sz val="9"/>
            <color indexed="81"/>
            <rFont val="Tahoma"/>
            <family val="2"/>
          </rPr>
          <t>ISO 26262-6:2011(E)
8 Software unit design and implementation
...</t>
        </r>
        <r>
          <rPr>
            <sz val="9"/>
            <color indexed="81"/>
            <rFont val="Tahoma"/>
            <family val="2"/>
          </rPr>
          <t xml:space="preserve">
</t>
        </r>
        <r>
          <rPr>
            <b/>
            <sz val="9"/>
            <color indexed="81"/>
            <rFont val="Tahoma"/>
            <family val="2"/>
          </rPr>
          <t>8.4.4 Design principles for software unit design</t>
        </r>
        <r>
          <rPr>
            <sz val="9"/>
            <color indexed="81"/>
            <rFont val="Tahoma"/>
            <family val="2"/>
          </rPr>
          <t xml:space="preserve"> and implementation at the source code level as listed in Table 8 shall be applied to achieve the following properties:
a) correct order of execution of subprograms and functions within the software units, based on the software architectural design;</t>
        </r>
        <r>
          <rPr>
            <b/>
            <sz val="9"/>
            <color indexed="81"/>
            <rFont val="Tahoma"/>
            <family val="2"/>
          </rPr>
          <t xml:space="preserve">
</t>
        </r>
        <r>
          <rPr>
            <sz val="9"/>
            <color indexed="81"/>
            <rFont val="Tahoma"/>
            <family val="2"/>
          </rPr>
          <t xml:space="preserve">b) consistency of the interfaces between the software units;
c) correctness of data flow and control flow between and within the software units;
d) simplicity;
e) readability and comprehensibility;
</t>
        </r>
        <r>
          <rPr>
            <b/>
            <sz val="9"/>
            <color indexed="81"/>
            <rFont val="Tahoma"/>
            <family val="2"/>
          </rPr>
          <t>f) robustness;</t>
        </r>
        <r>
          <rPr>
            <sz val="9"/>
            <color indexed="81"/>
            <rFont val="Tahoma"/>
            <family val="2"/>
          </rPr>
          <t xml:space="preserve">
EXAMPLE Methods to prevent implausible values, execution errors, division by zero, and errors in the data flow and control flow.
g) suitability for software modification; and
h) testability.
</t>
        </r>
      </text>
    </comment>
    <comment ref="B20" authorId="0" shapeId="0" xr:uid="{00000000-0006-0000-0E00-00000D000000}">
      <text>
        <r>
          <rPr>
            <b/>
            <sz val="9"/>
            <color indexed="81"/>
            <rFont val="Tahoma"/>
            <family val="2"/>
          </rPr>
          <t xml:space="preserve">ISO 26262-6:2011(E)
8 Software unit design and implementation
</t>
        </r>
        <r>
          <rPr>
            <sz val="9"/>
            <color indexed="81"/>
            <rFont val="Tahoma"/>
            <family val="2"/>
          </rPr>
          <t xml:space="preserve">...
</t>
        </r>
        <r>
          <rPr>
            <b/>
            <sz val="9"/>
            <color indexed="81"/>
            <rFont val="Tahoma"/>
            <family val="2"/>
          </rPr>
          <t>8.4.3 The specification of the software units shall describe the functional behaviour and the internal design to the level of detail necessary for their implementation.</t>
        </r>
        <r>
          <rPr>
            <sz val="9"/>
            <color indexed="81"/>
            <rFont val="Tahoma"/>
            <family val="2"/>
          </rPr>
          <t xml:space="preserve">
...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B6" authorId="0" shapeId="0" xr:uid="{00000000-0006-0000-0F00-000001000000}">
      <text>
        <r>
          <rPr>
            <b/>
            <u/>
            <sz val="9"/>
            <color indexed="81"/>
            <rFont val="Tahoma"/>
            <family val="2"/>
          </rPr>
          <t>Extract from AS 151</t>
        </r>
        <r>
          <rPr>
            <b/>
            <sz val="9"/>
            <color indexed="81"/>
            <rFont val="Tahoma"/>
            <family val="2"/>
          </rPr>
          <t xml:space="preserve">: </t>
        </r>
        <r>
          <rPr>
            <sz val="9"/>
            <color indexed="81"/>
            <rFont val="Tahoma"/>
            <family val="2"/>
          </rPr>
          <t xml:space="preserve">"AS151 meets the software requirements as specified by industry recognized standards – ISO-15504 Hersteller Initiative Software (HIS) Scope, Capability Maturity Model Integrated (CMMI) for Development and ISO-26262."
</t>
        </r>
      </text>
    </comment>
    <comment ref="B8" authorId="0" shapeId="0" xr:uid="{00000000-0006-0000-0F00-000002000000}">
      <text>
        <r>
          <rPr>
            <b/>
            <sz val="9"/>
            <color indexed="81"/>
            <rFont val="Tahoma"/>
            <family val="2"/>
          </rPr>
          <t xml:space="preserve">ISO 26262-6:2011(E)
8 Software unit design and implementation
</t>
        </r>
        <r>
          <rPr>
            <sz val="9"/>
            <color indexed="81"/>
            <rFont val="Tahoma"/>
            <family val="2"/>
          </rPr>
          <t xml:space="preserve">...
</t>
        </r>
        <r>
          <rPr>
            <b/>
            <sz val="9"/>
            <color indexed="81"/>
            <rFont val="Tahoma"/>
            <family val="2"/>
          </rPr>
          <t xml:space="preserve">8.4.5 The software unit </t>
        </r>
        <r>
          <rPr>
            <sz val="9"/>
            <color indexed="81"/>
            <rFont val="Tahoma"/>
            <family val="2"/>
          </rPr>
          <t xml:space="preserve">design and </t>
        </r>
        <r>
          <rPr>
            <b/>
            <sz val="9"/>
            <color indexed="81"/>
            <rFont val="Tahoma"/>
            <family val="2"/>
          </rPr>
          <t>implementation</t>
        </r>
        <r>
          <rPr>
            <sz val="9"/>
            <color indexed="81"/>
            <rFont val="Tahoma"/>
            <family val="2"/>
          </rPr>
          <t xml:space="preserve"> shall be verified in accordance with ISO 26262-8:2011 Clause 9, and by applying the verification methods listed in Table 9, to demonstrate:
a) the compliance with the hardware-software interface specification (in accordance with ISO 26262-5:2011, 6.4.10);
b) the fulfilment of the software safety requirements as allocated to the software units (in accordance with 7.4.9) through traceability;
c) the compliance of the source code with its design specification;
NOTE In the case of model-based development, requirement c) still applies.
</t>
        </r>
        <r>
          <rPr>
            <b/>
            <sz val="9"/>
            <color indexed="81"/>
            <rFont val="Tahoma"/>
            <family val="2"/>
          </rPr>
          <t xml:space="preserve">d) the compliance of the source code with the coding guidelines </t>
        </r>
        <r>
          <rPr>
            <sz val="9"/>
            <color indexed="81"/>
            <rFont val="Tahoma"/>
            <family val="2"/>
          </rPr>
          <t xml:space="preserve">(see 5.5.3); and
e) the compatibility of the software unit implementations with the target hardware.
</t>
        </r>
      </text>
    </comment>
    <comment ref="B9" authorId="0" shapeId="0" xr:uid="{00000000-0006-0000-0F00-000003000000}">
      <text>
        <r>
          <rPr>
            <b/>
            <sz val="9"/>
            <color indexed="81"/>
            <rFont val="Tahoma"/>
            <family val="2"/>
          </rPr>
          <t xml:space="preserve">ISO 26262-6:2011(E)
8 Software unit design and implementation
</t>
        </r>
        <r>
          <rPr>
            <sz val="9"/>
            <color indexed="81"/>
            <rFont val="Tahoma"/>
            <family val="2"/>
          </rPr>
          <t xml:space="preserve">...
</t>
        </r>
        <r>
          <rPr>
            <b/>
            <sz val="9"/>
            <color indexed="81"/>
            <rFont val="Tahoma"/>
            <family val="2"/>
          </rPr>
          <t xml:space="preserve">8.4.5 The software unit </t>
        </r>
        <r>
          <rPr>
            <sz val="9"/>
            <color indexed="81"/>
            <rFont val="Tahoma"/>
            <family val="2"/>
          </rPr>
          <t xml:space="preserve">design and </t>
        </r>
        <r>
          <rPr>
            <b/>
            <sz val="9"/>
            <color indexed="81"/>
            <rFont val="Tahoma"/>
            <family val="2"/>
          </rPr>
          <t>implementation</t>
        </r>
        <r>
          <rPr>
            <sz val="9"/>
            <color indexed="81"/>
            <rFont val="Tahoma"/>
            <family val="2"/>
          </rPr>
          <t xml:space="preserve"> shall be verified in accordance with ISO 26262-8:2011 Clause 9, and by applying the verification methods listed in Table 9, to demonstrate:
a) the compliance with the hardware-software interface specification (in accordance with ISO 26262-5:2011, 6.4.10);
b) the fulfilment of the software safety requirements as allocated to the software units (in accordance with 7.4.9) through traceability;
c) the compliance of the source code with its design specification;
NOTE In the case of model-based development, requirement c) still applies.
</t>
        </r>
        <r>
          <rPr>
            <b/>
            <sz val="9"/>
            <color indexed="81"/>
            <rFont val="Tahoma"/>
            <family val="2"/>
          </rPr>
          <t xml:space="preserve">d) the compliance of the source code with the coding guidelines </t>
        </r>
        <r>
          <rPr>
            <sz val="9"/>
            <color indexed="81"/>
            <rFont val="Tahoma"/>
            <family val="2"/>
          </rPr>
          <t xml:space="preserve">(see 5.5.3); and
e) the compatibility of the software unit implementations with the target hardware.
</t>
        </r>
      </text>
    </comment>
    <comment ref="B13" authorId="0" shapeId="0" xr:uid="{00000000-0006-0000-0F00-000004000000}">
      <text>
        <r>
          <rPr>
            <b/>
            <sz val="9"/>
            <color indexed="81"/>
            <rFont val="Tahoma"/>
            <family val="2"/>
          </rPr>
          <t xml:space="preserve">ISO 26262-6:2011(E)
8 Software unit design and implementation
</t>
        </r>
        <r>
          <rPr>
            <sz val="9"/>
            <color indexed="81"/>
            <rFont val="Tahoma"/>
            <family val="2"/>
          </rPr>
          <t xml:space="preserve">...
</t>
        </r>
        <r>
          <rPr>
            <b/>
            <sz val="9"/>
            <color indexed="81"/>
            <rFont val="Tahoma"/>
            <family val="2"/>
          </rPr>
          <t xml:space="preserve">8.4.5 The software unit </t>
        </r>
        <r>
          <rPr>
            <sz val="9"/>
            <color indexed="81"/>
            <rFont val="Tahoma"/>
            <family val="2"/>
          </rPr>
          <t xml:space="preserve">design and </t>
        </r>
        <r>
          <rPr>
            <b/>
            <sz val="9"/>
            <color indexed="81"/>
            <rFont val="Tahoma"/>
            <family val="2"/>
          </rPr>
          <t>implementation</t>
        </r>
        <r>
          <rPr>
            <sz val="9"/>
            <color indexed="81"/>
            <rFont val="Tahoma"/>
            <family val="2"/>
          </rPr>
          <t xml:space="preserve"> shall be verified in accordance with ISO 26262-8:2011 Clause 9, and by applying the verification methods listed in Table 9, to demonstrate:
a) the compliance with the hardware-software interface specification (in accordance with ISO 26262-5:2011, 6.4.10);
b) the fulfilment of the software safety requirements as allocated to the software units (in accordance with 7.4.9) through traceability;
</t>
        </r>
        <r>
          <rPr>
            <b/>
            <sz val="9"/>
            <color indexed="81"/>
            <rFont val="Tahoma"/>
            <family val="2"/>
          </rPr>
          <t>c) the compliance of the source code with its design specification;</t>
        </r>
        <r>
          <rPr>
            <sz val="9"/>
            <color indexed="81"/>
            <rFont val="Tahoma"/>
            <family val="2"/>
          </rPr>
          <t xml:space="preserve">
NOTE In the case of model-based development, requirement c) still applies.
d) the compliance of the source code with the coding guidelines (see 5.5.3); and
e) the compatibility of the software unit implementations with the target hardware.
</t>
        </r>
      </text>
    </comment>
    <comment ref="B15" authorId="0" shapeId="0" xr:uid="{00000000-0006-0000-0F00-000005000000}">
      <text>
        <r>
          <rPr>
            <b/>
            <sz val="9"/>
            <color indexed="81"/>
            <rFont val="Tahoma"/>
            <family val="2"/>
          </rPr>
          <t xml:space="preserve">ISO 26262-6:2011(E)
8 Software unit design and implementation
</t>
        </r>
        <r>
          <rPr>
            <sz val="9"/>
            <color indexed="81"/>
            <rFont val="Tahoma"/>
            <family val="2"/>
          </rPr>
          <t xml:space="preserve">...
</t>
        </r>
        <r>
          <rPr>
            <b/>
            <sz val="9"/>
            <color indexed="81"/>
            <rFont val="Tahoma"/>
            <family val="2"/>
          </rPr>
          <t xml:space="preserve">8.4.5 The software unit </t>
        </r>
        <r>
          <rPr>
            <sz val="9"/>
            <color indexed="81"/>
            <rFont val="Tahoma"/>
            <family val="2"/>
          </rPr>
          <t xml:space="preserve">design and </t>
        </r>
        <r>
          <rPr>
            <b/>
            <sz val="9"/>
            <color indexed="81"/>
            <rFont val="Tahoma"/>
            <family val="2"/>
          </rPr>
          <t>implementation</t>
        </r>
        <r>
          <rPr>
            <sz val="9"/>
            <color indexed="81"/>
            <rFont val="Tahoma"/>
            <family val="2"/>
          </rPr>
          <t xml:space="preserve"> shall be verified in accordance with ISO 26262-8:2011 Clause 9, and by applying the verification methods listed in Table 9, to demonstrate:
a) the compliance with the hardware-software interface specification (in accordance with ISO 26262-5:2011, 6.4.10);
b) the fulfilment of the software safety requirements as allocated to the software units (in accordance with 7.4.9) through traceability;
</t>
        </r>
        <r>
          <rPr>
            <b/>
            <sz val="9"/>
            <color indexed="81"/>
            <rFont val="Tahoma"/>
            <family val="2"/>
          </rPr>
          <t>c) the compliance of the source code with its design specification;</t>
        </r>
        <r>
          <rPr>
            <sz val="9"/>
            <color indexed="81"/>
            <rFont val="Tahoma"/>
            <family val="2"/>
          </rPr>
          <t xml:space="preserve">
NOTE In the case of model-based development, requirement c) still applies.
d) the compliance of the source code with the coding guidelines (see 5.5.3); and
</t>
        </r>
        <r>
          <rPr>
            <b/>
            <sz val="9"/>
            <color indexed="81"/>
            <rFont val="Tahoma"/>
            <family val="2"/>
          </rPr>
          <t>e) the compatibility of the software unit implementations with the target hardware.</t>
        </r>
        <r>
          <rPr>
            <sz val="9"/>
            <color indexed="81"/>
            <rFont val="Tahoma"/>
            <family val="2"/>
          </rPr>
          <t xml:space="preserve">
</t>
        </r>
      </text>
    </comment>
    <comment ref="B16" authorId="0" shapeId="0" xr:uid="{00000000-0006-0000-0F00-000006000000}">
      <text>
        <r>
          <rPr>
            <b/>
            <sz val="9"/>
            <color indexed="81"/>
            <rFont val="Tahoma"/>
            <family val="2"/>
          </rPr>
          <t xml:space="preserve">ISO 26262-6:2011(E)
8 Software unit design and implementation
</t>
        </r>
        <r>
          <rPr>
            <sz val="9"/>
            <color indexed="81"/>
            <rFont val="Tahoma"/>
            <family val="2"/>
          </rPr>
          <t xml:space="preserve">...
</t>
        </r>
        <r>
          <rPr>
            <b/>
            <sz val="9"/>
            <color indexed="81"/>
            <rFont val="Tahoma"/>
            <family val="2"/>
          </rPr>
          <t xml:space="preserve">8.4.5 The software unit </t>
        </r>
        <r>
          <rPr>
            <sz val="9"/>
            <color indexed="81"/>
            <rFont val="Tahoma"/>
            <family val="2"/>
          </rPr>
          <t xml:space="preserve">design and </t>
        </r>
        <r>
          <rPr>
            <b/>
            <sz val="9"/>
            <color indexed="81"/>
            <rFont val="Tahoma"/>
            <family val="2"/>
          </rPr>
          <t>implementation</t>
        </r>
        <r>
          <rPr>
            <sz val="9"/>
            <color indexed="81"/>
            <rFont val="Tahoma"/>
            <family val="2"/>
          </rPr>
          <t xml:space="preserve"> shall be verified in accordance with ISO 26262-8:2011 Clause 9, and by applying the verification methods listed in Table 9, to demonstrate:
a) the compliance with the hardware-software interface specification (in accordance with ISO 26262-5:2011, 6.4.10);
b) the fulfilment of the software safety requirements as allocated to the software units (in accordance with 7.4.9) through traceability;
</t>
        </r>
        <r>
          <rPr>
            <b/>
            <sz val="9"/>
            <color indexed="81"/>
            <rFont val="Tahoma"/>
            <family val="2"/>
          </rPr>
          <t>c) the compliance of the source code with its design specification;</t>
        </r>
        <r>
          <rPr>
            <sz val="9"/>
            <color indexed="81"/>
            <rFont val="Tahoma"/>
            <family val="2"/>
          </rPr>
          <t xml:space="preserve">
NOTE In the case of model-based development, requirement c) still applies.
d) the compliance of the source code with the coding guidelines (see 5.5.3); and
</t>
        </r>
        <r>
          <rPr>
            <b/>
            <sz val="9"/>
            <color indexed="81"/>
            <rFont val="Tahoma"/>
            <family val="2"/>
          </rPr>
          <t>e) the compatibility of the software unit implementations with the target hardware.</t>
        </r>
        <r>
          <rPr>
            <sz val="9"/>
            <color indexed="81"/>
            <rFont val="Tahoma"/>
            <family val="2"/>
          </rPr>
          <t xml:space="preserve">
</t>
        </r>
      </text>
    </comment>
    <comment ref="B18" authorId="0" shapeId="0" xr:uid="{00000000-0006-0000-0F00-000007000000}">
      <text>
        <r>
          <rPr>
            <b/>
            <sz val="9"/>
            <color indexed="81"/>
            <rFont val="Tahoma"/>
            <family val="2"/>
          </rPr>
          <t>ISO 26262-6:2011(E)
8 Software unit design and implementation
...</t>
        </r>
        <r>
          <rPr>
            <sz val="9"/>
            <color indexed="81"/>
            <rFont val="Tahoma"/>
            <family val="2"/>
          </rPr>
          <t xml:space="preserve">
</t>
        </r>
        <r>
          <rPr>
            <b/>
            <sz val="9"/>
            <color indexed="81"/>
            <rFont val="Tahoma"/>
            <family val="2"/>
          </rPr>
          <t>8.4.4 Design principles for software unit design</t>
        </r>
        <r>
          <rPr>
            <sz val="9"/>
            <color indexed="81"/>
            <rFont val="Tahoma"/>
            <family val="2"/>
          </rPr>
          <t xml:space="preserve"> and implementation at the source code level as listed in Table 8 shall be applied to achieve the following properties:
a) correct order of execution of subprograms and functions within the software units, based on the software architectural design;</t>
        </r>
        <r>
          <rPr>
            <b/>
            <sz val="9"/>
            <color indexed="81"/>
            <rFont val="Tahoma"/>
            <family val="2"/>
          </rPr>
          <t xml:space="preserve">
</t>
        </r>
        <r>
          <rPr>
            <sz val="9"/>
            <color indexed="81"/>
            <rFont val="Tahoma"/>
            <family val="2"/>
          </rPr>
          <t xml:space="preserve">b) consistency of the interfaces between the software units;
c) correctness of data flow and control flow between and within the software units;
d) simplicity;
</t>
        </r>
        <r>
          <rPr>
            <b/>
            <sz val="9"/>
            <color indexed="81"/>
            <rFont val="Tahoma"/>
            <family val="2"/>
          </rPr>
          <t>e) readability and comprehensibility;</t>
        </r>
        <r>
          <rPr>
            <sz val="9"/>
            <color indexed="81"/>
            <rFont val="Tahoma"/>
            <family val="2"/>
          </rPr>
          <t xml:space="preserve">
f) robustness;
EXAMPLE Methods to prevent implausible values, execution errors, division by zero, and errors in the data flow and control flow.
g) suitability for software modification; and
h) testability.
</t>
        </r>
      </text>
    </comment>
    <comment ref="B19" authorId="0" shapeId="0" xr:uid="{00000000-0006-0000-0F00-000008000000}">
      <text>
        <r>
          <rPr>
            <b/>
            <sz val="9"/>
            <color indexed="81"/>
            <rFont val="Tahoma"/>
            <family val="2"/>
          </rPr>
          <t>ISO 26262-6:2011(E)
8 Software unit design and implementation
...</t>
        </r>
        <r>
          <rPr>
            <sz val="9"/>
            <color indexed="81"/>
            <rFont val="Tahoma"/>
            <family val="2"/>
          </rPr>
          <t xml:space="preserve">
</t>
        </r>
        <r>
          <rPr>
            <b/>
            <sz val="9"/>
            <color indexed="81"/>
            <rFont val="Tahoma"/>
            <family val="2"/>
          </rPr>
          <t>8.4.4 Design principles for software unit design</t>
        </r>
        <r>
          <rPr>
            <sz val="9"/>
            <color indexed="81"/>
            <rFont val="Tahoma"/>
            <family val="2"/>
          </rPr>
          <t xml:space="preserve"> and implementation at the source code level as listed in Table 8 shall be applied to achieve the following properties:
a) correct order of execution of subprograms and functions within the software units, based on the software architectural design;</t>
        </r>
        <r>
          <rPr>
            <b/>
            <sz val="9"/>
            <color indexed="81"/>
            <rFont val="Tahoma"/>
            <family val="2"/>
          </rPr>
          <t xml:space="preserve">
</t>
        </r>
        <r>
          <rPr>
            <sz val="9"/>
            <color indexed="81"/>
            <rFont val="Tahoma"/>
            <family val="2"/>
          </rPr>
          <t xml:space="preserve">b) consistency of the interfaces between the software units;
c) correctness of data flow and control flow between and within the software units;
d) simplicity;
e) readability and comprehensibility;
</t>
        </r>
        <r>
          <rPr>
            <b/>
            <sz val="9"/>
            <color indexed="81"/>
            <rFont val="Tahoma"/>
            <family val="2"/>
          </rPr>
          <t>f) robustness;</t>
        </r>
        <r>
          <rPr>
            <sz val="9"/>
            <color indexed="81"/>
            <rFont val="Tahoma"/>
            <family val="2"/>
          </rPr>
          <t xml:space="preserve">
EXAMPLE Methods to prevent implausible values, execution errors, division by zero, and errors in the data flow and control flow.
g) suitability for software modification; and
h) testability.
</t>
        </r>
        <r>
          <rPr>
            <b/>
            <sz val="9"/>
            <color indexed="81"/>
            <rFont val="Tahoma"/>
            <family val="2"/>
          </rPr>
          <t xml:space="preserve">
JPL DOCID D-60411
JPL Institutional Coding Standard: LOC-2 Predictable execution 
Rule 10 (memory protection)</t>
        </r>
        <r>
          <rPr>
            <sz val="9"/>
            <color indexed="81"/>
            <rFont val="Tahoma"/>
            <family val="2"/>
          </rPr>
          <t xml:space="preserve">
Where available, i.e., when supported by the operating system, memory protection shall be used to the maximum extent possible. When not available, safety margins and barrier patterns shall be used to allow detection of access violations.
For instance, an area of memory above the stack limit allocated to each task should be reserved as a safety margin, and filled with a fixed and uncommon bit-pattern. A health task can detect stack overflow anomalies by at regular intervals checking the presence of the bit-pattern for each task. The same principle can be used to protect against buffer overflow, or access to memory outside allocated regions. Critical parameters should similarly be protected in memory by placing safety margins and barrier patterns around them, so that access violations and data corruption can be detected more easily.
</t>
        </r>
      </text>
    </comment>
    <comment ref="B21" authorId="0" shapeId="0" xr:uid="{00000000-0006-0000-0F00-000009000000}">
      <text>
        <r>
          <rPr>
            <b/>
            <sz val="9"/>
            <color indexed="81"/>
            <rFont val="Tahoma"/>
            <family val="2"/>
          </rPr>
          <t xml:space="preserve">JPL DOCID D-60411
JPL Institutional Coding Standard: LOC-2 Predictable execution
Rule 2 (routine checking)
</t>
        </r>
        <r>
          <rPr>
            <sz val="9"/>
            <color indexed="81"/>
            <rFont val="Tahoma"/>
            <family val="2"/>
          </rPr>
          <t xml:space="preserve">All code shall always be compiled with all compiler warnings enabled at the highest warning level available, with no errors or warnings resulting. All code shall further be verified with a JPL approved state-of-the-art static source code analyzer, with no errors or warnings resulting. [MISRA-C:2004 Rule 21.1]
This rule should be considered routine practice, even for non-critical code development. Given compliance with Rule 1, this means that the code should compile without errors or warnings issued with the standard gcc compiler, using a command line with minimally the following option flags:
gcc –Wall –pedantic –std=iso9899:1999 source.c
A suggested broader set of gcc compiler flags includes also:
-Wtraditional
-Wshadow
-Wpointer-arith
-Wcast-qual
-Wcast-align
-Wstrict-prototypes
-Wmissing-prototypes
-Wconversion
The rule of zero warnings applies even in cases where the compiler or the static analyzer gives an erroneous warning. If the compiler or the static analyzer gets confused, the code causing the confusion should be rewritten so that it becomes more clearly valid. Many developers have been caught in the assumption that a tool warning was false, only to realize much later that the message was in fact valid for less obvious reasons. The JPL recommended static analyzers are fast, and produce sparse and accurate messages.
</t>
        </r>
      </text>
    </comment>
    <comment ref="B22" authorId="0" shapeId="0" xr:uid="{00000000-0006-0000-0F00-00000A000000}">
      <text>
        <r>
          <rPr>
            <b/>
            <sz val="9"/>
            <color indexed="81"/>
            <rFont val="Tahoma"/>
            <family val="2"/>
          </rPr>
          <t>JPL DOCID D-60411
JPL Institutional Coding Standard: LOC-2 Predictable execution
Rule 6 (inter-process communication)</t>
        </r>
        <r>
          <rPr>
            <sz val="9"/>
            <color indexed="81"/>
            <rFont val="Tahoma"/>
            <family val="2"/>
          </rPr>
          <t xml:space="preserve">
An IPC mechanism should be used for all task communication. Callbacks should be avoided. No task should directly execute code or access data that belongs to a different task. All IPC messages shall be received at a single point in a task.
Communication and data exchanges between different tasks (modules) in the system are best performed through a disciplined use of IPC (inter-process communication) messaging. IPC messages should then contain only data, preferably no data pointers, and never any function pointers. Each task or module should maintain its own data structures, and not allow direct access to local data by other tasks. This style of software architecture is based on principles of software modularity, data hiding, and the separation of concerns that can avoid the need for the often more error-prone use of semaphores, interrupt masking and data locking to achieve task synchronization.</t>
        </r>
      </text>
    </comment>
    <comment ref="B23" authorId="0" shapeId="0" xr:uid="{00000000-0006-0000-0F00-00000B000000}">
      <text>
        <r>
          <rPr>
            <b/>
            <sz val="9"/>
            <color indexed="81"/>
            <rFont val="Tahoma"/>
            <family val="2"/>
          </rPr>
          <t xml:space="preserve">JPL DOCID D-60411
JPL Institutional Coding Standard: LOC-2 Predictable execution
</t>
        </r>
        <r>
          <rPr>
            <sz val="9"/>
            <color indexed="81"/>
            <rFont val="Tahoma"/>
            <family val="2"/>
          </rPr>
          <t xml:space="preserve">
</t>
        </r>
        <r>
          <rPr>
            <b/>
            <sz val="9"/>
            <color indexed="81"/>
            <rFont val="Tahoma"/>
            <family val="2"/>
          </rPr>
          <t>Rule 7 (thread safety)</t>
        </r>
        <r>
          <rPr>
            <sz val="9"/>
            <color indexed="81"/>
            <rFont val="Tahoma"/>
            <family val="2"/>
          </rPr>
          <t xml:space="preserve">
Task synchronization shall not be performed through the use of task delays.
Specifically the use of task delays has been the cause of race conditions that have jeopardized the safety of spacecraft. The use of a task delay for task synchronization requires a guess of how long certain actions will take. If the guess is wrong, havoc, including deadlock, can be the result.</t>
        </r>
      </text>
    </comment>
    <comment ref="B24" authorId="0" shapeId="0" xr:uid="{00000000-0006-0000-0F00-00000C000000}">
      <text>
        <r>
          <rPr>
            <b/>
            <sz val="9"/>
            <color indexed="81"/>
            <rFont val="Tahoma"/>
            <family val="2"/>
          </rPr>
          <t xml:space="preserve">JPL DOCID D-60411
JPL Institutional Coding Standard: LOC-2 Predictable execution
</t>
        </r>
        <r>
          <rPr>
            <sz val="9"/>
            <color indexed="81"/>
            <rFont val="Tahoma"/>
            <family val="2"/>
          </rPr>
          <t xml:space="preserve">
</t>
        </r>
        <r>
          <rPr>
            <b/>
            <sz val="9"/>
            <color indexed="81"/>
            <rFont val="Tahoma"/>
            <family val="2"/>
          </rPr>
          <t>Rule 8 (access to shared data)</t>
        </r>
        <r>
          <rPr>
            <sz val="9"/>
            <color indexed="81"/>
            <rFont val="Tahoma"/>
            <family val="2"/>
          </rPr>
          <t xml:space="preserve">
Data objects in shared memory should have a single owning task. Only the owner of a data object should be able to modify the object. Ownership should be passed between tasks explicitly, preferably via IPC messages.
Ownership equals write-permission, but non-ownership generally will not exclude read-access to a shared object. Note that this rule does not prevent the use of system-wide library modules that are not associated with any one task, but it does place a restriction on how tasks use such modules. Generally, if a shared object does not have a single owning task, access to that object has to be regulated with the use of locks or semaphores, to avoid access conflicts that can lead to data corruption.</t>
        </r>
      </text>
    </comment>
    <comment ref="B25" authorId="0" shapeId="0" xr:uid="{00000000-0006-0000-0F00-00000D000000}">
      <text>
        <r>
          <rPr>
            <b/>
            <sz val="9"/>
            <color indexed="81"/>
            <rFont val="Tahoma"/>
            <family val="2"/>
          </rPr>
          <t xml:space="preserve">JPL DOCID D-60411
JPL Institutional Coding Standard: LOC-2 Predictable execution
</t>
        </r>
        <r>
          <rPr>
            <sz val="9"/>
            <color indexed="81"/>
            <rFont val="Tahoma"/>
            <family val="2"/>
          </rPr>
          <t xml:space="preserve">
</t>
        </r>
        <r>
          <rPr>
            <b/>
            <sz val="9"/>
            <color indexed="81"/>
            <rFont val="Tahoma"/>
            <family val="2"/>
          </rPr>
          <t>Rule 9 (semaphores and locking)</t>
        </r>
        <r>
          <rPr>
            <sz val="9"/>
            <color indexed="81"/>
            <rFont val="Tahoma"/>
            <family val="2"/>
          </rPr>
          <t xml:space="preserve">
The use of semaphores or locks to access shared data should be avoided (cf. Rules 6 and 8). If used, nested use of semaphores or locks should be avoided. If such use is unavoidable, calls shall always occur in a single predetermined, and documented, order. Unlock operations shall always appear within the body of the same function that performs the matching lock operation.
Semaphore acquire and release operations, when used for locking, and interrupt mask and unmask operations, should always appear in pairs, within the same function, to comply with the second part of Rule 9. Semaphore operations can also validly be used for “producer-consumer” synchronization. In those cases acquire and release operations may appear in different tasks. The use of nested semaphore or locking calls in more than one possible order can cause deadlock.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B6" authorId="0" shapeId="0" xr:uid="{00000000-0006-0000-1000-000001000000}">
      <text>
        <r>
          <rPr>
            <b/>
            <u/>
            <sz val="9"/>
            <color indexed="81"/>
            <rFont val="Tahoma"/>
            <family val="2"/>
          </rPr>
          <t>Extract from AS 151:</t>
        </r>
        <r>
          <rPr>
            <b/>
            <sz val="9"/>
            <color indexed="81"/>
            <rFont val="Tahoma"/>
            <family val="2"/>
          </rPr>
          <t xml:space="preserve"> "AS151 meets the software requirements as specified by industry recognized standards – ISO-15504 Hersteller Initiative Software (HIS) Scope, Capability Maturity Model Integrated (CMMI) for Development and ISO-26262."
</t>
        </r>
        <r>
          <rPr>
            <b/>
            <u/>
            <sz val="9"/>
            <color indexed="81"/>
            <rFont val="Tahoma"/>
            <family val="2"/>
          </rPr>
          <t xml:space="preserve">
Extract from the procedure SW03PRO001_Software_AtomicArchitecturalUnit_Design_Construction_UnitTests</t>
        </r>
        <r>
          <rPr>
            <b/>
            <sz val="9"/>
            <color indexed="81"/>
            <rFont val="Tahoma"/>
            <family val="2"/>
          </rPr>
          <t xml:space="preserve">
</t>
        </r>
        <r>
          <rPr>
            <sz val="9"/>
            <color indexed="81"/>
            <rFont val="Tahoma"/>
            <family val="2"/>
          </rPr>
          <t xml:space="preserve">
</t>
        </r>
        <r>
          <rPr>
            <b/>
            <sz val="9"/>
            <color indexed="81"/>
            <rFont val="Tahoma"/>
            <family val="2"/>
          </rPr>
          <t>3.2.4 Function Definition</t>
        </r>
        <r>
          <rPr>
            <sz val="9"/>
            <color indexed="81"/>
            <rFont val="Tahoma"/>
            <family val="2"/>
          </rPr>
          <t xml:space="preserve">
</t>
        </r>
        <r>
          <rPr>
            <b/>
            <sz val="9"/>
            <color indexed="81"/>
            <rFont val="Tahoma"/>
            <family val="2"/>
          </rPr>
          <t>Software units with an Automotive Safety Integrate Level B or higher must apply the functional definition test method to verify the software requirements and the Software Atomic Architectural Unit Design.</t>
        </r>
        <r>
          <rPr>
            <sz val="9"/>
            <color indexed="81"/>
            <rFont val="Tahoma"/>
            <family val="2"/>
          </rPr>
          <t xml:space="preserve"> These software unit tests will exercise nominal paths through the code. This method could be extended to the other Software units of the embedded Software as defined in tests plan.
The Software Engineer shall verify the embedded software using an appropriate software tool (e.g. VectorCast or C-Unit) to identify and eliminate problems early in the development cycle using automatic test script and program generation, test execution, test reports, and test analysis. This method verifies each coded function by scanning input data and by comparing output data with those expected.
</t>
        </r>
        <r>
          <rPr>
            <b/>
            <sz val="9"/>
            <color indexed="81"/>
            <rFont val="Tahoma"/>
            <family val="2"/>
          </rPr>
          <t xml:space="preserve">
3.3 Software Unit Test</t>
        </r>
        <r>
          <rPr>
            <sz val="9"/>
            <color indexed="81"/>
            <rFont val="Tahoma"/>
            <family val="2"/>
          </rPr>
          <t xml:space="preserve">
The software development plan shall be written prior when the Software Engineer starts writing the software unit test specifications and prior to performance of the software unit tests. The software unit test artifacts shall be updated and maintained in the project’s software configuration management system.
The bi-directional traceability between Software Unit Test specification and Software Atomic Architectural Unit Design shall be established and maintained. 
</t>
        </r>
        <r>
          <rPr>
            <b/>
            <sz val="9"/>
            <color indexed="81"/>
            <rFont val="Tahoma"/>
            <family val="2"/>
          </rPr>
          <t>3.3.1 Unit Test</t>
        </r>
        <r>
          <rPr>
            <sz val="9"/>
            <color indexed="81"/>
            <rFont val="Tahoma"/>
            <family val="2"/>
          </rPr>
          <t xml:space="preserve">
</t>
        </r>
        <r>
          <rPr>
            <b/>
            <sz val="9"/>
            <color indexed="81"/>
            <rFont val="Tahoma"/>
            <family val="2"/>
          </rPr>
          <t>The Software Engineer shall document Software Unit Test Specifications with test environment, setup, and test cases.</t>
        </r>
        <r>
          <rPr>
            <sz val="9"/>
            <color indexed="81"/>
            <rFont val="Tahoma"/>
            <family val="2"/>
          </rPr>
          <t xml:space="preserve">
</t>
        </r>
        <r>
          <rPr>
            <b/>
            <sz val="9"/>
            <color indexed="81"/>
            <rFont val="Tahoma"/>
            <family val="2"/>
          </rPr>
          <t>Software Unit Tests are performed by the Software Engineer to verify the conformity of the Atomic Architectural Unit against its Design requirements. The Software Engineer shall also perform the regression tests strategy</t>
        </r>
        <r>
          <rPr>
            <sz val="9"/>
            <color indexed="81"/>
            <rFont val="Tahoma"/>
            <family val="2"/>
          </rPr>
          <t xml:space="preserve"> in accordance with the software unit tests plan described in the software development plan.
Verification of model based development (MBD) and hand code shall be performed to reach code coverage target established in the Software Unit Tests Plan. The Software Engineer shall provide a Software Unit Tests Report at each software unit release.
</t>
        </r>
        <r>
          <rPr>
            <b/>
            <sz val="9"/>
            <color indexed="81"/>
            <rFont val="Tahoma"/>
            <family val="2"/>
          </rPr>
          <t>3.3.2 Best Practices</t>
        </r>
        <r>
          <rPr>
            <sz val="9"/>
            <color indexed="81"/>
            <rFont val="Tahoma"/>
            <family val="2"/>
          </rPr>
          <t xml:space="preserve">
Use the Lessons Learned (and/or Best Practices recommendations) available and related to the software unit test in order to prevent the recurrence of issues.
</t>
        </r>
      </text>
    </comment>
    <comment ref="B9" authorId="0" shapeId="0" xr:uid="{00000000-0006-0000-1000-000002000000}">
      <text>
        <r>
          <rPr>
            <b/>
            <sz val="9"/>
            <color indexed="81"/>
            <rFont val="Tahoma"/>
            <family val="2"/>
          </rPr>
          <t>Criteria are aligned with ISO 26262-6:2011(E)</t>
        </r>
        <r>
          <rPr>
            <sz val="9"/>
            <color indexed="81"/>
            <rFont val="Tahoma"/>
            <family val="2"/>
          </rPr>
          <t xml:space="preserve">
</t>
        </r>
      </text>
    </comment>
    <comment ref="B10" authorId="0" shapeId="0" xr:uid="{00000000-0006-0000-1000-000003000000}">
      <text>
        <r>
          <rPr>
            <b/>
            <sz val="9"/>
            <color indexed="81"/>
            <rFont val="Tahoma"/>
            <family val="2"/>
          </rPr>
          <t xml:space="preserve">ISO 26262-6:2011(E) chapter 9:
The software unit testing methods shall be applied to demonstrate that the software units achieve:
a) compliance with the software unit design specification;
b) compliance with the specification of the hardware-software interface;
c) the specified functionality;
d) confidence in the absence of unintended functionality;
e) robustness;
f) sufficient resources to support their functionality.
</t>
        </r>
        <r>
          <rPr>
            <sz val="9"/>
            <color indexed="81"/>
            <rFont val="Tahoma"/>
            <family val="2"/>
          </rPr>
          <t xml:space="preserve">
</t>
        </r>
      </text>
    </comment>
    <comment ref="B11" authorId="0" shapeId="0" xr:uid="{00000000-0006-0000-1000-000004000000}">
      <text>
        <r>
          <rPr>
            <b/>
            <sz val="9"/>
            <color indexed="81"/>
            <rFont val="Tahoma"/>
            <family val="2"/>
          </rPr>
          <t xml:space="preserve">ISO 26262-6:2011(E) chapter 9:
The software unit testing methods shall be applied to demonstrate that the software units achieve:
a) compliance with the software unit design specification;
b) compliance with the specification of the hardware-software interface;
c) the specified functionality;
d) confidence in the absence of unintended functionality;
e) robustness;
f) sufficient resources to support their functionality.
</t>
        </r>
        <r>
          <rPr>
            <sz val="9"/>
            <color indexed="81"/>
            <rFont val="Tahoma"/>
            <family val="2"/>
          </rPr>
          <t xml:space="preserve">
</t>
        </r>
      </text>
    </comment>
    <comment ref="B12" authorId="0" shapeId="0" xr:uid="{00000000-0006-0000-1000-000005000000}">
      <text>
        <r>
          <rPr>
            <b/>
            <sz val="9"/>
            <color indexed="81"/>
            <rFont val="Tahoma"/>
            <family val="2"/>
          </rPr>
          <t xml:space="preserve">ISO 26262-6:2011(E) chapter 9:
The software unit testing methods shall be applied to demonstrate that the software units achieve:
a) compliance with the software unit design specification;
b) compliance with the specification of the hardware-software interface;
c) the specified functionality;
d) confidence in the absence of unintended functionality;
e) robustness;
f) sufficient resources to support their functionality.
</t>
        </r>
        <r>
          <rPr>
            <sz val="9"/>
            <color indexed="81"/>
            <rFont val="Tahoma"/>
            <family val="2"/>
          </rPr>
          <t xml:space="preserve">
</t>
        </r>
      </text>
    </comment>
    <comment ref="B13" authorId="0" shapeId="0" xr:uid="{00000000-0006-0000-1000-000006000000}">
      <text>
        <r>
          <rPr>
            <b/>
            <sz val="9"/>
            <color indexed="81"/>
            <rFont val="Tahoma"/>
            <family val="2"/>
          </rPr>
          <t xml:space="preserve">ISO 26262-6:2011(E) chapter 9:
The software unit testing methods shall be applied to demonstrate that the software units achieve:
a) compliance with the software unit design specification;
b) compliance with the specification of the hardware-software interface;
c) the specified functionality;
d) confidence in the absence of unintended functionality;
e) robustness;
f) sufficient resources to support their functionality.
</t>
        </r>
        <r>
          <rPr>
            <sz val="9"/>
            <color indexed="81"/>
            <rFont val="Tahoma"/>
            <family val="2"/>
          </rPr>
          <t xml:space="preserve">
</t>
        </r>
      </text>
    </comment>
    <comment ref="B14" authorId="0" shapeId="0" xr:uid="{00000000-0006-0000-1000-000007000000}">
      <text>
        <r>
          <rPr>
            <b/>
            <sz val="9"/>
            <color indexed="81"/>
            <rFont val="Tahoma"/>
            <family val="2"/>
          </rPr>
          <t xml:space="preserve">ISO 26262-6:2011(E) chapter 9:
The software unit testing methods shall be applied to demonstrate that the software units achieve:
a) compliance with the software unit design specification;
b) compliance with the specification of the hardware-software interface;
c) the specified functionality;
d) confidence in the absence of unintended functionality;
e) robustness;
f) sufficient resources to support their functionality.
</t>
        </r>
        <r>
          <rPr>
            <sz val="9"/>
            <color indexed="81"/>
            <rFont val="Tahoma"/>
            <family val="2"/>
          </rPr>
          <t xml:space="preserve">
</t>
        </r>
      </text>
    </comment>
    <comment ref="B15" authorId="0" shapeId="0" xr:uid="{00000000-0006-0000-1000-000008000000}">
      <text>
        <r>
          <rPr>
            <b/>
            <sz val="9"/>
            <color indexed="81"/>
            <rFont val="Tahoma"/>
            <family val="2"/>
          </rPr>
          <t xml:space="preserve">ISO 26262-6:2011(E) chapter 9:
The software unit testing methods shall be applied to demonstrate that the software units achieve:
a) compliance with the software unit design specification;
b) compliance with the specification of the hardware-software interface;
c) the specified functionality;
d) confidence in the absence of unintended functionality;
e) robustness;
f) sufficient resources to support their functionality.
</t>
        </r>
        <r>
          <rPr>
            <sz val="9"/>
            <color indexed="81"/>
            <rFont val="Tahoma"/>
            <family val="2"/>
          </rPr>
          <t xml:space="preserve">
</t>
        </r>
      </text>
    </comment>
    <comment ref="B16" authorId="0" shapeId="0" xr:uid="{00000000-0006-0000-1000-000009000000}">
      <text>
        <r>
          <rPr>
            <b/>
            <sz val="9"/>
            <color indexed="81"/>
            <rFont val="Tahoma"/>
            <family val="2"/>
          </rPr>
          <t xml:space="preserve">ISO 26262-6:2011(E) chapter 9:
The software unit testing methods shall be applied to demonstrate that the software units achieve:
a) compliance with the software unit design specification;
b) compliance with the specification of the hardware-software interface;
c) the specified functionality;
d) confidence in the absence of unintended functionality;
e) robustness;
f) sufficient resources to support their functionality.
</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s>
  <commentList>
    <comment ref="B6" authorId="0" shapeId="0" xr:uid="{00000000-0006-0000-1100-000001000000}">
      <text>
        <r>
          <rPr>
            <b/>
            <u/>
            <sz val="9"/>
            <color indexed="81"/>
            <rFont val="Tahoma"/>
            <family val="2"/>
          </rPr>
          <t>Extract from AS 151</t>
        </r>
        <r>
          <rPr>
            <b/>
            <sz val="9"/>
            <color indexed="81"/>
            <rFont val="Tahoma"/>
            <family val="2"/>
          </rPr>
          <t xml:space="preserve">: </t>
        </r>
        <r>
          <rPr>
            <sz val="9"/>
            <color indexed="81"/>
            <rFont val="Tahoma"/>
            <family val="2"/>
          </rPr>
          <t xml:space="preserve">"AS151 meets the software requirements as specified by industry recognized standards – ISO-15504 Hersteller Initiative Software (HIS) Scope, Capability Maturity Model Integrated (CMMI) for Development and ISO-26262."
</t>
        </r>
      </text>
    </comment>
    <comment ref="B8" authorId="0" shapeId="0" xr:uid="{00000000-0006-0000-1100-000002000000}">
      <text>
        <r>
          <rPr>
            <b/>
            <sz val="9"/>
            <color indexed="81"/>
            <rFont val="Tahoma"/>
            <family val="2"/>
          </rPr>
          <t>Refer to Software Development Plan (SDP) to know the template to be used by the project</t>
        </r>
      </text>
    </comment>
    <comment ref="B11" authorId="0" shapeId="0" xr:uid="{00000000-0006-0000-1100-000003000000}">
      <text>
        <r>
          <rPr>
            <b/>
            <sz val="8"/>
            <color indexed="81"/>
            <rFont val="Tahoma"/>
            <family val="2"/>
            <charset val="238"/>
          </rPr>
          <t>Author:</t>
        </r>
        <r>
          <rPr>
            <sz val="8"/>
            <color indexed="81"/>
            <rFont val="Tahoma"/>
            <family val="2"/>
            <charset val="238"/>
          </rPr>
          <t xml:space="preserve">
Test environment is defined at start-up,…</t>
        </r>
      </text>
    </comment>
    <comment ref="B14" authorId="1" shapeId="0" xr:uid="{00000000-0006-0000-1100-000004000000}">
      <text>
        <r>
          <rPr>
            <b/>
            <sz val="9"/>
            <color indexed="81"/>
            <rFont val="Tahoma"/>
            <family val="2"/>
          </rPr>
          <t>Nominal, Endurance, Robustness, Qualification...</t>
        </r>
        <r>
          <rPr>
            <sz val="9"/>
            <color indexed="81"/>
            <rFont val="Tahoma"/>
            <family val="2"/>
          </rPr>
          <t xml:space="preserve">
</t>
        </r>
      </text>
    </comment>
    <comment ref="B16" authorId="0" shapeId="0" xr:uid="{00000000-0006-0000-1100-000005000000}">
      <text>
        <r>
          <rPr>
            <b/>
            <sz val="8"/>
            <color indexed="81"/>
            <rFont val="Tahoma"/>
            <family val="2"/>
          </rPr>
          <t>Author:</t>
        </r>
        <r>
          <rPr>
            <sz val="8"/>
            <color indexed="81"/>
            <rFont val="Tahoma"/>
            <family val="2"/>
          </rPr>
          <t xml:space="preserve">
Executables can be rebuild from a clean pull from the PTC archives.
All warnings have been analyzed.</t>
        </r>
      </text>
    </comment>
    <comment ref="B17" authorId="0" shapeId="0" xr:uid="{00000000-0006-0000-1100-000006000000}">
      <text>
        <r>
          <rPr>
            <b/>
            <sz val="8"/>
            <color indexed="81"/>
            <rFont val="Tahoma"/>
            <family val="2"/>
          </rPr>
          <t>Author:</t>
        </r>
        <r>
          <rPr>
            <sz val="8"/>
            <color indexed="81"/>
            <rFont val="Tahoma"/>
            <family val="2"/>
          </rPr>
          <t xml:space="preserve">
Perform Chrono metrics.
Rates and jitter should be specified in the SW Architecture.</t>
        </r>
      </text>
    </comment>
    <comment ref="B22" authorId="0" shapeId="0" xr:uid="{00000000-0006-0000-1100-000007000000}">
      <text>
        <r>
          <rPr>
            <b/>
            <sz val="8"/>
            <color indexed="81"/>
            <rFont val="Tahoma"/>
            <family val="2"/>
            <charset val="238"/>
          </rPr>
          <t>Author:</t>
        </r>
        <r>
          <rPr>
            <sz val="8"/>
            <color indexed="81"/>
            <rFont val="Tahoma"/>
            <family val="2"/>
          </rPr>
          <t xml:space="preserve">
RAM / ROM targets should be documented in SW Architecture / SDP.</t>
        </r>
      </text>
    </comment>
    <comment ref="B23" authorId="0" shapeId="0" xr:uid="{00000000-0006-0000-1100-000008000000}">
      <text>
        <r>
          <rPr>
            <b/>
            <sz val="8"/>
            <color indexed="81"/>
            <rFont val="Tahoma"/>
            <family val="2"/>
          </rPr>
          <t>Author:</t>
        </r>
        <r>
          <rPr>
            <sz val="8"/>
            <color indexed="81"/>
            <rFont val="Tahoma"/>
            <family val="2"/>
          </rPr>
          <t xml:space="preserve">
See memory layout in SW Architecture</t>
        </r>
      </text>
    </comment>
    <comment ref="B24" authorId="0" shapeId="0" xr:uid="{00000000-0006-0000-1100-000009000000}">
      <text>
        <r>
          <rPr>
            <b/>
            <sz val="8"/>
            <color indexed="81"/>
            <rFont val="Tahoma"/>
            <family val="2"/>
          </rPr>
          <t>Author:</t>
        </r>
        <r>
          <rPr>
            <sz val="8"/>
            <color indexed="81"/>
            <rFont val="Tahoma"/>
            <family val="2"/>
          </rPr>
          <t xml:space="preserve">
processor troughput = processor usage;
Required tolerances should be documented in the SW Architecture.</t>
        </r>
      </text>
    </comment>
    <comment ref="B25" authorId="0" shapeId="0" xr:uid="{00000000-0006-0000-1100-00000A000000}">
      <text>
        <r>
          <rPr>
            <b/>
            <sz val="8"/>
            <color indexed="81"/>
            <rFont val="Tahoma"/>
            <family val="2"/>
            <charset val="238"/>
          </rPr>
          <t>Author:</t>
        </r>
        <r>
          <rPr>
            <sz val="8"/>
            <color indexed="81"/>
            <rFont val="Tahoma"/>
            <family val="2"/>
          </rPr>
          <t xml:space="preserve">
Cranking, start-up, etc.</t>
        </r>
      </text>
    </comment>
    <comment ref="B26" authorId="0" shapeId="0" xr:uid="{00000000-0006-0000-1100-00000B000000}">
      <text>
        <r>
          <rPr>
            <b/>
            <sz val="8"/>
            <color indexed="81"/>
            <rFont val="Tahoma"/>
            <family val="2"/>
            <charset val="238"/>
          </rPr>
          <t>Author:</t>
        </r>
        <r>
          <rPr>
            <sz val="8"/>
            <color indexed="81"/>
            <rFont val="Tahoma"/>
            <family val="2"/>
            <charset val="238"/>
          </rPr>
          <t xml:space="preserve">
Make sure the watchdog is not disabled by mistake.</t>
        </r>
      </text>
    </comment>
    <comment ref="B31" authorId="0" shapeId="0" xr:uid="{00000000-0006-0000-1100-00000C000000}">
      <text>
        <r>
          <rPr>
            <b/>
            <sz val="8"/>
            <color indexed="81"/>
            <rFont val="Tahoma"/>
            <family val="2"/>
          </rPr>
          <t>Author:</t>
        </r>
        <r>
          <rPr>
            <sz val="8"/>
            <color indexed="81"/>
            <rFont val="Tahoma"/>
            <family val="2"/>
          </rPr>
          <t xml:space="preserve">
See also usage of critical section of 3rd party SW (SW suppliers).</t>
        </r>
      </text>
    </comment>
    <comment ref="B32" authorId="0" shapeId="0" xr:uid="{00000000-0006-0000-1100-00000D000000}">
      <text>
        <r>
          <rPr>
            <b/>
            <sz val="9"/>
            <color indexed="81"/>
            <rFont val="Tahoma"/>
            <family val="2"/>
          </rPr>
          <t xml:space="preserve">ISO 26262-6:2011(E) chapter 9:
The software unit testing methods shall be applied to demonstrate that the software units achieve:
a) compliance with the software unit design specification;
b) compliance with the specification of the hardware-software interface;
c) the specified functionality;
d) confidence in the absence of unintended functionality;
e) robustness;
f) sufficient resources to support their functionality.
</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tc={48FCD6E1-12B1-41B4-9532-5C9EE3E97045}</author>
    <author>tc={081CC94B-DEC8-4F4A-A881-A989B59BB678}</author>
  </authors>
  <commentList>
    <comment ref="B12" authorId="0" shapeId="0" xr:uid="{48FCD6E1-12B1-41B4-9532-5C9EE3E97045}">
      <text>
        <t>[Threaded comment]
Your version of Excel allows you to read this threaded comment; however, any edits to it will get removed if the file is opened in a newer version of Excel. Learn more: https://go.microsoft.com/fwlink/?linkid=870924
Comment:
    Do we keep this part ?</t>
      </text>
    </comment>
    <comment ref="B24" authorId="1" shapeId="0" xr:uid="{081CC94B-DEC8-4F4A-A881-A989B59BB678}">
      <text>
        <t>[Threaded comment]
Your version of Excel allows you to read this threaded comment; however, any edits to it will get removed if the file is opened in a newer version of Excel. Learn more: https://go.microsoft.com/fwlink/?linkid=870924
Comment:
    To be discussed. High workload</t>
      </text>
    </comment>
  </commentList>
</comments>
</file>

<file path=xl/sharedStrings.xml><?xml version="1.0" encoding="utf-8"?>
<sst xmlns="http://schemas.openxmlformats.org/spreadsheetml/2006/main" count="1156" uniqueCount="617">
  <si>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</si>
  <si>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</si>
  <si>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2/ Feature worksheets shall be placed at the end of the workbook</t>
  </si>
  <si>
    <t>3/ If you don't use a specific column in the feature worksheet, don't delete it. Instead, hide it if you don't want to have it appear</t>
  </si>
  <si>
    <t>4/ The columns with a bold header are mandatory</t>
  </si>
  <si>
    <t>?</t>
  </si>
  <si>
    <t>Cyril Jouhanneau</t>
  </si>
  <si>
    <t>Project Number &amp; Name</t>
  </si>
  <si>
    <t>Document state</t>
  </si>
  <si>
    <t>Document id</t>
  </si>
  <si>
    <t>Document title</t>
  </si>
  <si>
    <t>Version</t>
  </si>
  <si>
    <t>Template</t>
  </si>
  <si>
    <t>NA</t>
  </si>
  <si>
    <t>Document history</t>
  </si>
  <si>
    <t>version</t>
  </si>
  <si>
    <t>author</t>
  </si>
  <si>
    <t>date</t>
  </si>
  <si>
    <t>Review</t>
  </si>
  <si>
    <t>General rules</t>
  </si>
  <si>
    <t>Creation, first release</t>
  </si>
  <si>
    <t>This sheet shows the changes of the previous versions of this document</t>
  </si>
  <si>
    <t>comments</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</si>
  <si>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</si>
  <si>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</si>
  <si>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</si>
  <si>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</si>
  <si>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</si>
  <si>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</si>
  <si>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</si>
  <si>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</si>
  <si>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</si>
  <si>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</si>
  <si>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</si>
  <si>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</si>
  <si>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</si>
  <si>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</si>
  <si>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</si>
  <si>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</si>
  <si>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</si>
  <si>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</si>
  <si>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Description</t>
  </si>
  <si>
    <t>Actor Name</t>
  </si>
  <si>
    <t>YES</t>
  </si>
  <si>
    <t>NO</t>
  </si>
  <si>
    <t>Code Review Guidelines</t>
  </si>
  <si>
    <t>Total conformities</t>
  </si>
  <si>
    <t>Total non-conformities</t>
  </si>
  <si>
    <t>N°</t>
  </si>
  <si>
    <t>1.1</t>
  </si>
  <si>
    <t>1.2</t>
  </si>
  <si>
    <t>2.1</t>
  </si>
  <si>
    <t>2.2</t>
  </si>
  <si>
    <t>2.3</t>
  </si>
  <si>
    <t>3.1</t>
  </si>
  <si>
    <t>3.2</t>
  </si>
  <si>
    <t>3.3</t>
  </si>
  <si>
    <t>3.4</t>
  </si>
  <si>
    <t>4.1</t>
  </si>
  <si>
    <t>4.2</t>
  </si>
  <si>
    <t>4.3</t>
  </si>
  <si>
    <t>4.4</t>
  </si>
  <si>
    <t>4.5</t>
  </si>
  <si>
    <t>4.6</t>
  </si>
  <si>
    <t>4.7</t>
  </si>
  <si>
    <t>4.8</t>
  </si>
  <si>
    <t>4.9</t>
  </si>
  <si>
    <t>5.1</t>
  </si>
  <si>
    <t>5.2</t>
  </si>
  <si>
    <t>6.1</t>
  </si>
  <si>
    <t>1.3</t>
  </si>
  <si>
    <t>1.4</t>
  </si>
  <si>
    <t>1.6</t>
  </si>
  <si>
    <t>2.4</t>
  </si>
  <si>
    <t>2.5</t>
  </si>
  <si>
    <t>2.6</t>
  </si>
  <si>
    <t>2.7</t>
  </si>
  <si>
    <t>2.8</t>
  </si>
  <si>
    <t>2.9</t>
  </si>
  <si>
    <t>2.10</t>
  </si>
  <si>
    <t>2.11</t>
  </si>
  <si>
    <t>2.12</t>
  </si>
  <si>
    <t>2.13</t>
  </si>
  <si>
    <t>5.3</t>
  </si>
  <si>
    <t>Revision</t>
  </si>
  <si>
    <t>Form &amp; process checks</t>
  </si>
  <si>
    <t>1a. Common Document rules</t>
  </si>
  <si>
    <t>1b. Common process check</t>
  </si>
  <si>
    <t>Are there proofs that all mandatory reviewers have made the review ? (Is the PRWB filled by all reviewers?)</t>
  </si>
  <si>
    <t>Has the reviewer approved the actions done by the author to treat his issue ?</t>
  </si>
  <si>
    <t>1c. Document rules</t>
  </si>
  <si>
    <t>Is each task associated to someone ?</t>
  </si>
  <si>
    <t>Is each task associated to dates in accordance with the milestones ?</t>
  </si>
  <si>
    <t>Content checks</t>
  </si>
  <si>
    <t>2. Document Consistency</t>
  </si>
  <si>
    <t>Are milestones dates consistent with software development plan ?</t>
  </si>
  <si>
    <t>Are milestones dates consistent with software delivery key dates ?</t>
  </si>
  <si>
    <t>Is M1 3/4 weeks before M2 except new product (6/8 weeks) ?</t>
  </si>
  <si>
    <t>Are reviews scheduled ?</t>
  </si>
  <si>
    <t>Are all the needed training scheduled ?</t>
  </si>
  <si>
    <t>Is SW architecture document scheduled ?</t>
  </si>
  <si>
    <t>2.14</t>
  </si>
  <si>
    <t>All SW tasks are linked to the SW key dates</t>
  </si>
  <si>
    <t>2.15</t>
  </si>
  <si>
    <t>2.16</t>
  </si>
  <si>
    <t>Are Vacations defined ?</t>
  </si>
  <si>
    <t>2.17</t>
  </si>
  <si>
    <t>All necessary tasks have been clearly identified, allocated and in adequation with SDP</t>
  </si>
  <si>
    <t>Unperformed tasks from the previous iteration are planned in the current iteration</t>
  </si>
  <si>
    <t>3.SW Time schedule part</t>
  </si>
  <si>
    <t>Bug analysis workload is planned
(related to the bugs found during integration and verification phase)</t>
  </si>
  <si>
    <t>Support workload for verification phase is planned</t>
  </si>
  <si>
    <t>Software Verification Time Schedule Check-List</t>
  </si>
  <si>
    <t>Are Vacations defined?</t>
  </si>
  <si>
    <t>Has the project used the last version of template ?</t>
  </si>
  <si>
    <t>Are the names of author, reviewer and approver consistent ?</t>
  </si>
  <si>
    <t>Is the document generated in PDF format ?</t>
  </si>
  <si>
    <t>Are the automatic fields updated (Filename, Dates, Nb of pages, table of contents…) ?</t>
  </si>
  <si>
    <t>Are all applicable documents in accordance with the last release ?</t>
  </si>
  <si>
    <t>Is the list of abbreviation consistent with the current document ?</t>
  </si>
  <si>
    <t>Have the reviewers approved the actions done by the author to treat their issues ?</t>
  </si>
  <si>
    <t>Are all chapters fulfilled according to the project status ? (TBD / TBC are possible)</t>
  </si>
  <si>
    <t>Are all project key dates in accordance with the software time schedule ?</t>
  </si>
  <si>
    <t>Are all document links established according to the project status ? (TBD/TBC are possible)</t>
  </si>
  <si>
    <t>Are all project stakeholders and interfaces identified (Management, SW designers, Supplier, ….) ?</t>
  </si>
  <si>
    <t>Are the process tailoring identified and consistent with the project development roadmap ? (Risk are identified)</t>
  </si>
  <si>
    <t>Are the objectives identified like SW Quality target, Customer target,… and measured ? (Metrics, …)</t>
  </si>
  <si>
    <t>Is the team workload identified ?</t>
  </si>
  <si>
    <t>Are all the prototypes &amp; software versions identified and consistent all along the document?</t>
  </si>
  <si>
    <t>3. Software Development Description</t>
  </si>
  <si>
    <t>Are functional parts that needs to be implemented/modified identified ?</t>
  </si>
  <si>
    <t>Are software resources/constraints established and consistent ?</t>
  </si>
  <si>
    <t>4. Software Development Overview</t>
  </si>
  <si>
    <t>Are proposed tailoring justified (comments and risks identified) and really needed?</t>
  </si>
  <si>
    <t>Are all the customer/supplier interfaces identified?</t>
  </si>
  <si>
    <t>Is the project team and organization support interfaces identified with relevant and consistent workload?</t>
  </si>
  <si>
    <t>Are delegation rules clearly established and efficient?</t>
  </si>
  <si>
    <t>Are needed skills in accordance with project expectations stated in the document? Are appropriate trainings expected?</t>
  </si>
  <si>
    <t>5.5</t>
  </si>
  <si>
    <t>5.6</t>
  </si>
  <si>
    <t>Are all the main milestones planned?</t>
  </si>
  <si>
    <t>5.7</t>
  </si>
  <si>
    <t>Are all the risks identified? Are actions consistent with project resources/company capabilities?</t>
  </si>
  <si>
    <t>Are all the needed reviews identified compared to projects identified tasks?</t>
  </si>
  <si>
    <t>5. Software Development Strategy</t>
  </si>
  <si>
    <t>Is the SW development strategy described in the SDP?</t>
  </si>
  <si>
    <t>Are quality criteria established and consistent with the company strategy?</t>
  </si>
  <si>
    <t>Is the development strategy been in accordance with the project/customer expectations?</t>
  </si>
  <si>
    <t>6. Measurements</t>
  </si>
  <si>
    <t>Are all metrics usually used in the company introduced? If not, is it justified in the document?</t>
  </si>
  <si>
    <t>Are the process tailoring needs identified and consistent with the project development roadmap? (Risks of these tailoring needs have to be identified)</t>
  </si>
  <si>
    <t>Are all the risks identified (besides those related to process tailoring)? Are actions consistent with project resources / company capabilities?</t>
  </si>
  <si>
    <t>Is the SW Verification strategy described in the SVP?</t>
  </si>
  <si>
    <t>Is the project configuration item management (PCIM) list opened ?</t>
  </si>
  <si>
    <t>Are all configuration management tools named for the project ?</t>
  </si>
  <si>
    <t>Does the related master project document exist and updated according to project needs ?</t>
  </si>
  <si>
    <t>Are all naming conventions (files, project directory,…) described ?</t>
  </si>
  <si>
    <t>Are all project stakeholders and interfaces defined (Multi-site development, Externalization…) ?</t>
  </si>
  <si>
    <t>Are configuration item tailoring identified ?</t>
  </si>
  <si>
    <t xml:space="preserve">Are all tabs fulfilled according to the Milestones ? </t>
  </si>
  <si>
    <t>Is the document established at each software ?</t>
  </si>
  <si>
    <t xml:space="preserve">Is the documentation tab fulfilled according to M1 and M2 ? </t>
  </si>
  <si>
    <t xml:space="preserve">Is the Customer delivery tab fulfilled according to M1 ? </t>
  </si>
  <si>
    <t xml:space="preserve">Is the Customer delivery tab fulfilled according to SW time schedule ? </t>
  </si>
  <si>
    <t>Are all Tools-Sources tabs fulfilled according to Build audit ?</t>
  </si>
  <si>
    <t>Software  Reuse strategy Definition Check-List</t>
  </si>
  <si>
    <t>Are all columns in  summary tab fulfilled according to Customer and project expectations  ?</t>
  </si>
  <si>
    <t>Are all columns in  summary tab fulfilled according to WBS ?</t>
  </si>
  <si>
    <t>Are all project key dates in accordance with the software and verification time schedule ?</t>
  </si>
  <si>
    <t>Are all software versions identified and consistent all along the document?</t>
  </si>
  <si>
    <t>3.  QA Description</t>
  </si>
  <si>
    <t>4. QA Overview</t>
  </si>
  <si>
    <t>5. QA Strategy</t>
  </si>
  <si>
    <t>Is the defined quality assurance strategy  in the AQ  plan in accordance with the project objectif?</t>
  </si>
  <si>
    <t>Is it in adequation with the project  team workload ?</t>
  </si>
  <si>
    <t>Other documents Check-List</t>
  </si>
  <si>
    <t>Document Name - Rev</t>
  </si>
  <si>
    <t>Use the standard template AEF 1126
Fix some errors
See details in PRWB of this document</t>
  </si>
  <si>
    <t>CR</t>
  </si>
  <si>
    <t>SW</t>
  </si>
  <si>
    <t>SDP</t>
  </si>
  <si>
    <t>SCMP</t>
  </si>
  <si>
    <t>Change Request</t>
  </si>
  <si>
    <t>Software Configuration Management Plan</t>
  </si>
  <si>
    <t>Software Development Plan</t>
  </si>
  <si>
    <t>Software</t>
  </si>
  <si>
    <t>Is the overload or underutilization of a ressource justified ?</t>
  </si>
  <si>
    <t>Does the project use the WBS (work break down structure) to create the SW time schedule ?</t>
  </si>
  <si>
    <t>Does the project use the reuse strategy definition document (if necessary : optional) to create the SW time schedule ? If this case : the SW time schedule and the reuse strategy shall have the same modules to implement</t>
  </si>
  <si>
    <t>Is the history up to date ?</t>
  </si>
  <si>
    <t>1.1. Common Document rules</t>
  </si>
  <si>
    <t>1.1.1</t>
  </si>
  <si>
    <t>1.1.2</t>
  </si>
  <si>
    <t>1.1.3</t>
  </si>
  <si>
    <t>1.1.4</t>
  </si>
  <si>
    <t>1.1.5</t>
  </si>
  <si>
    <t>1.1.6</t>
  </si>
  <si>
    <t>1.1.7</t>
  </si>
  <si>
    <t>1.1.8</t>
  </si>
  <si>
    <t>1.2.1</t>
  </si>
  <si>
    <t>1.2.2</t>
  </si>
  <si>
    <t>1.2.3</t>
  </si>
  <si>
    <t>1.2. Common process check</t>
  </si>
  <si>
    <t>1.3. Document rules</t>
  </si>
  <si>
    <t>1.3.1</t>
  </si>
  <si>
    <r>
      <t xml:space="preserve">Is support for manufacturing scheduled ?
</t>
    </r>
    <r>
      <rPr>
        <sz val="10"/>
        <color indexed="23"/>
        <rFont val="Arial"/>
        <family val="2"/>
      </rPr>
      <t xml:space="preserve"> o Best practice - PP : 1 day per month at project start-up and 2 days per month when SER manufactures the first prototype
 o Best practice - airbag : 1 days per month when SER manufactures the first prototype</t>
    </r>
  </si>
  <si>
    <t>To be fixed</t>
  </si>
  <si>
    <t>Approval
(reviewer)</t>
  </si>
  <si>
    <t>DO NOT DELETE THIS ROW USED FOR THE VBA CALCULATION</t>
  </si>
  <si>
    <t>Answer</t>
  </si>
  <si>
    <t>Status</t>
  </si>
  <si>
    <t>CR/WI reference</t>
  </si>
  <si>
    <t>Target</t>
  </si>
  <si>
    <t>DO NOT DELETE THIS ROW =&gt; there are some lists on the right</t>
  </si>
  <si>
    <t>Checklist status</t>
  </si>
  <si>
    <t>Review sheet</t>
  </si>
  <si>
    <t>1st page sheet</t>
  </si>
  <si>
    <t>History sheet</t>
  </si>
  <si>
    <t>This sheet contains the content of a review. You can rename and duplicate this sheet as much as you want. For instance, you can have 1 sheet by document to review.</t>
  </si>
  <si>
    <t>Issue workflow (status)</t>
  </si>
  <si>
    <t>Overview</t>
  </si>
  <si>
    <t>Synthesis Chart sheet</t>
  </si>
  <si>
    <t>This document shall be used for formal peer review as planned in the SDP or informal peer review as planned in the time schedule. Result of reviews linked to the corrections of a CR/WI shall be handled  in the CR/WI form. But also, this document can be used to log every findings on work-products during the development phase. Those findings will be reviewed during a formal peer review.</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</si>
  <si>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</si>
  <si>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</si>
  <si>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</si>
  <si>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</si>
  <si>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</si>
  <si>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</si>
  <si>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</si>
  <si>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</si>
  <si>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</si>
  <si>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</si>
  <si>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</si>
  <si>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</si>
  <si>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</si>
  <si>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</si>
  <si>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</si>
  <si>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</si>
  <si>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</si>
  <si>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</si>
  <si>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</si>
  <si>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</si>
  <si>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</si>
  <si>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</si>
  <si>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</si>
  <si>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</si>
  <si>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If some activities are planned to be subcontracted, the SW40PRO000_Software_Supplier_Management must be followed</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</si>
  <si>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</si>
  <si>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</si>
  <si>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</si>
  <si>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</si>
  <si>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</si>
  <si>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</si>
  <si>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Are all Tools-Sources tabs fulfilled according to the MD (or M3) ?</t>
  </si>
  <si>
    <t xml:space="preserve">Are all documents listed and/or all links in each tool in documentation tab fulfilled ? </t>
  </si>
  <si>
    <t>Are software safety requirements derived from technical safety requirements available?</t>
  </si>
  <si>
    <t xml:space="preserve">Is the software architectural design verifiable? </t>
  </si>
  <si>
    <t>Are there any traceability between software architectural design and SW safety requirements?</t>
  </si>
  <si>
    <t xml:space="preserve">Does the software architectural design fulfill the following properties: modularity, encapsulation and simplicity?
</t>
  </si>
  <si>
    <t xml:space="preserve">Is the software architectural design developed down to the level where all SW units are identifiable? </t>
  </si>
  <si>
    <t>Are the static design aspects of SW components described?</t>
  </si>
  <si>
    <t xml:space="preserve">Are the dynamic design aspects of SW components described? </t>
  </si>
  <si>
    <t>Are safety related SW components categorized as :
- newly developed?
- reused with modification?
- reused without modification?</t>
  </si>
  <si>
    <t>Is the information above consistent with the safety plan and impact analysis report?</t>
  </si>
  <si>
    <t>Are safety related SW components that are newly developed  or reused with modification developed according to ISO 26262?</t>
  </si>
  <si>
    <t>Are SW safety requirements allocated to the SW components?</t>
  </si>
  <si>
    <t>Are SW components developed with the highest ASIL of any allocated requirement?</t>
  </si>
  <si>
    <t>If SW partitioning used :
- Are the shared resources  used in such a way that freedom from interference of software partitions is ensured?
- Is the software partitioning supported by dedicated hardware features or equivalent means?
- Is the part of the software that implements the software partitioning developed in compliance with the same or an ASIL higher than the highest ASIL assigned to the requirements of the software partitions?</t>
  </si>
  <si>
    <t>According to safety analysis, are safety mechanism efficient?</t>
  </si>
  <si>
    <t>H</t>
  </si>
  <si>
    <t>Dina.Randriamarolahy</t>
  </si>
  <si>
    <t>Does safety analysis carried out at SW architecture level  identify or confirm safety related parts of the SW?</t>
  </si>
  <si>
    <t>If the implementation of software safety requirements relies on freedom from interference or sufficient independence between software components, does the dependent failures analysis confirm it?</t>
  </si>
  <si>
    <t>Safety Analysis at software architecture level result:</t>
  </si>
  <si>
    <t>Review strategy</t>
  </si>
  <si>
    <t>Are all activities covered by the QA monitoring ?</t>
  </si>
  <si>
    <t>SPS checklist</t>
  </si>
  <si>
    <t>SVS checklist</t>
  </si>
  <si>
    <t>SDP checklist</t>
  </si>
  <si>
    <t>SVP checklist</t>
  </si>
  <si>
    <t>Design checklist</t>
  </si>
  <si>
    <t>SWPF checklist</t>
  </si>
  <si>
    <t>Reuse strategy checklist</t>
  </si>
  <si>
    <t>QAP checklist</t>
  </si>
  <si>
    <t>Other documents checklist</t>
  </si>
  <si>
    <t>Template column for format of checklist sheets</t>
  </si>
  <si>
    <t>Template column for format of review sheets</t>
  </si>
  <si>
    <t>Review duration</t>
  </si>
  <si>
    <t>Date</t>
  </si>
  <si>
    <t>For</t>
  </si>
  <si>
    <t>future</t>
  </si>
  <si>
    <t>use</t>
  </si>
  <si>
    <t>If the COTS revisions is updated then does the customer agree ?</t>
  </si>
  <si>
    <t>Has the project used the last version of template and nothing removed ?</t>
  </si>
  <si>
    <t>Are all audits planned ?</t>
  </si>
  <si>
    <t>copied from SW AAU Code Peer Review Verification Criteria (SW03OTH006) version ALE_2.10n</t>
  </si>
  <si>
    <t xml:space="preserve">Technical review criteria </t>
  </si>
  <si>
    <t>SW AAU Name - Rev</t>
  </si>
  <si>
    <t>AAU</t>
  </si>
  <si>
    <t>Atomic Architectural Unit</t>
  </si>
  <si>
    <t>G</t>
  </si>
  <si>
    <t>copied from SW AAU Design Peer Review Verification Criteria (SW03OTH005) version ALE_2.10n</t>
  </si>
  <si>
    <t xml:space="preserve"> Management review criteria</t>
  </si>
  <si>
    <t>Are NVM and calibration parameters consistency justified?</t>
  </si>
  <si>
    <t>Code checklist</t>
  </si>
  <si>
    <t>Please, don't forget to read "Comment" very helpful.</t>
  </si>
  <si>
    <t>copied from SW AAU Unit Tests Peer Review Verification Criteria (SW03OTH007) version ALE_2.10n</t>
  </si>
  <si>
    <t>Software Atomic Architectural Unit (AAU) Test Check-List</t>
  </si>
  <si>
    <t>copied from Integration Test Specifications Review Criteria (SW04OTH001) version ALE_2.10n</t>
  </si>
  <si>
    <t xml:space="preserve">All required tasks are being executed at the expected rates and jitter. </t>
  </si>
  <si>
    <t>Check power up sequence is performed correctly and within the correct amount of time.</t>
  </si>
  <si>
    <t>Check power down sequence is done correctly and NVRAM gets written and available on next power up.</t>
  </si>
  <si>
    <t>Section headers and memory locations are correct.</t>
  </si>
  <si>
    <t>Processor throughput and stack usage are within required tolerances.</t>
  </si>
  <si>
    <t xml:space="preserve">Is the system tested during overload? </t>
  </si>
  <si>
    <t>Is there a test to intentionately trigger the watchdog?</t>
  </si>
  <si>
    <t>Are there tests of MCU HSIS / or other HSIS that can not be tested at ECU level ( ECU internal components ) ?</t>
  </si>
  <si>
    <t>Are there power drop outs / rapid power cycles test done?</t>
  </si>
  <si>
    <t>SW reflash / reprogramming is verified.</t>
  </si>
  <si>
    <t>Check if order of runnables ( scheduled functions) inside the Task is as specified in the SW Architecture.</t>
  </si>
  <si>
    <t>Critical section (enable - disable all interrupts / OS interrupts; get-release OS resource) usage and maximum duration measurements are according to the SW Architecture.</t>
  </si>
  <si>
    <t>Please, read comments if available.</t>
  </si>
  <si>
    <t>Name - Rev</t>
  </si>
  <si>
    <t>Francine Chambin</t>
  </si>
  <si>
    <r>
      <t xml:space="preserve">Software Development Plan Check-List
</t>
    </r>
    <r>
      <rPr>
        <b/>
        <sz val="12"/>
        <rFont val="Arial"/>
        <family val="2"/>
      </rPr>
      <t>(included the Integration Test Plan (ITP) checklist)</t>
    </r>
  </si>
  <si>
    <t>Name - Revision</t>
  </si>
  <si>
    <t>Are standard Metrics to follow Global coverage rate between integration and SW verification used/defined ?</t>
  </si>
  <si>
    <r>
      <t xml:space="preserve">Is the SW Integration strategy clearly described  in the ITP? 
</t>
    </r>
    <r>
      <rPr>
        <sz val="9"/>
        <color indexed="23"/>
        <rFont val="Arial"/>
        <family val="2"/>
      </rPr>
      <t>(Rationale:  A-SPICE PAM v2.5, ENG.7 Software Integration, BP1;
ISO 26262-6: 2011, 10.4.1;
SW04PRO000_Software_Integration_and_Integration_Testing.doc, chap.2.3 Strategy;
SW04TEM000_Software_Integration_Test_Plan.dotx)</t>
    </r>
  </si>
  <si>
    <r>
      <t xml:space="preserve">Is the SW Integration testing strategy clearly described  in the ITP? 
</t>
    </r>
    <r>
      <rPr>
        <sz val="9"/>
        <color indexed="23"/>
        <rFont val="Arial"/>
        <family val="2"/>
      </rPr>
      <t>(Rationale: A-SPICE PAM v2.5, ENG.7 Software Integration, BP2;
SW04PRO000_Software_Integration_and_Integration_Testing.doc, chap. 3.2 Plan Integration Testing;
 SW04TEM000_Software_Integration_Test_Plan.dotx)</t>
    </r>
  </si>
  <si>
    <r>
      <t xml:space="preserve">Is the regression test strategy clearly described?
</t>
    </r>
    <r>
      <rPr>
        <sz val="9"/>
        <color indexed="23"/>
        <rFont val="Arial"/>
        <family val="2"/>
      </rPr>
      <t>(Rationale:  A-SPICE PAM v2.5, ENG.7 Software Integration, BP8;
SW04PRO000_Software_Integration_and_Integration_Testing.doc, chap. 3.2 Plan Integration Testing;
SW04TEM000_Software_Integration_Test_Plan.dotx)</t>
    </r>
  </si>
  <si>
    <t>fully compliant with  Integration Test Plan Review Criteria (SW04OTH000) version ALE_2.10n</t>
  </si>
  <si>
    <r>
      <t xml:space="preserve">Are pass/ fail criteria described?
</t>
    </r>
    <r>
      <rPr>
        <sz val="9"/>
        <color indexed="55"/>
        <rFont val="Arial"/>
        <family val="2"/>
      </rPr>
      <t>(Rationale: ISO 26262-8: 2011, 9.4.1.1 c))</t>
    </r>
  </si>
  <si>
    <r>
      <t xml:space="preserve">Is the Test Environment properly described in the ITP?
</t>
    </r>
    <r>
      <rPr>
        <sz val="9"/>
        <color indexed="55"/>
        <rFont val="Arial"/>
        <family val="2"/>
      </rPr>
      <t>(Rationale: ISO 26262-8: 2011, 9.4.1.1 d))</t>
    </r>
  </si>
  <si>
    <t>AAU Test checklist</t>
  </si>
  <si>
    <t>Integration Test checklist</t>
  </si>
  <si>
    <t>Is the template in accordance with the selected process for the project?</t>
  </si>
  <si>
    <t>Is Software Architecture Reuse Plan available for the project?</t>
  </si>
  <si>
    <t>Is Software Strategy Review Meeting Minutes available for the project</t>
  </si>
  <si>
    <t>Software Architecture Check-List</t>
  </si>
  <si>
    <t>Software Design Check-List</t>
  </si>
  <si>
    <t>copied from SW Architecture Review Criteria (SW03OTH008) version ALE_2.10n</t>
  </si>
  <si>
    <t>Safety verification</t>
  </si>
  <si>
    <t>Has the project used the appropriate version of template?</t>
  </si>
  <si>
    <t>Are the names in the distribution list consistent with the project team?</t>
  </si>
  <si>
    <t>Is the document generated in PDF format? (Hidden text not visible)</t>
  </si>
  <si>
    <t>Are the automatic fields updated? i.e. Filename, Dates, Nb of pages, Table of contents etc.</t>
  </si>
  <si>
    <t>Are all applicable documents in accordance with their latest release?</t>
  </si>
  <si>
    <t>Is the list of abbreviations consistent with the current document ?</t>
  </si>
  <si>
    <t>Is the history up to date?</t>
  </si>
  <si>
    <t>Is there any peer review workbook (PRWB) associated with the current document? (if applicable)</t>
  </si>
  <si>
    <t>Are all mentioned key dates consistent with the ones in SW Verification Time Schedule?</t>
  </si>
  <si>
    <t>Are all project stakeholders and interfaces identified? i.e. Management, SW designers, Supplier, etc.</t>
  </si>
  <si>
    <t>Are SW Verification objectives identified? e.g. Requirements coverage rate, SW Verification metrics, Indicators etc</t>
  </si>
  <si>
    <t>Is the team Workload identified?</t>
  </si>
  <si>
    <t>Are all the necessary reviews identified and planned?</t>
  </si>
  <si>
    <t>Are needed skills in accordance with project expectations stated in the document? Are appropriate trainings defined and planned? (no TBD / TBC accepted)</t>
  </si>
  <si>
    <t>Are requirements that need to be tested identified? e.g. By enumerating the DES Doors Modules and / or by referencing the Doors Baseline</t>
  </si>
  <si>
    <r>
      <t xml:space="preserve">Please, don't forget to read "Comment" very helpful.
The AAU unit test shall verify the conformity of the Atomic Architectural Unit against its Design requirements (as required by ISO2626-2 and AS151). The AAU tests shall include:
- the test of the SW AAU alone  and,
- the test of the SW AAU inside the product environment.
Here we check only BLACK box tests at AAU level.
</t>
    </r>
    <r>
      <rPr>
        <b/>
        <i/>
        <u/>
        <sz val="9"/>
        <rFont val="Arial"/>
        <family val="2"/>
      </rPr>
      <t>Be careful</t>
    </r>
    <r>
      <rPr>
        <i/>
        <u/>
        <sz val="9"/>
        <rFont val="Arial"/>
        <family val="2"/>
      </rPr>
      <t>:</t>
    </r>
    <r>
      <rPr>
        <i/>
        <sz val="9"/>
        <rFont val="Arial"/>
        <family val="2"/>
      </rPr>
      <t>If you are in charge to the AAU test, DON'T FORGET to write the WHITE box tests focused on AAU in the integration tests specifications (examples: minimum stabilization time required in HSIS, maximum execution time of functions called in critical tasks or interrupts tested,...).</t>
    </r>
  </si>
  <si>
    <t>copied from SW Verification Plan Review Criteria (SW05OTH005) version ALE_2.10n</t>
  </si>
  <si>
    <t>Safety verification part added in Architecture checklist sheet to be compliant with ISO26262</t>
  </si>
  <si>
    <t>Software Verification Plan (SVP) Check-List</t>
  </si>
  <si>
    <t>copied from SW Verification Time Schedule Review Criteria (SW05OTH006) version ALE_2.10n</t>
  </si>
  <si>
    <t>Form &amp; Process checks</t>
  </si>
  <si>
    <t>Has the project used the appropriate Version of template?</t>
  </si>
  <si>
    <t>Is each Task associated to at least one person? Are all mentioned persons throughout the document part of the project team?</t>
  </si>
  <si>
    <t>Is each Task associated to dates appropriately, regarding milestone dates?</t>
  </si>
  <si>
    <t>Are Delivery dates and Milestones consistent with Project Time Schedule, Software Time Schedule, Software Development Plan and / or Software Verification Plan?</t>
  </si>
  <si>
    <t>Are Requirements reviews scheduled? (If applicable)</t>
  </si>
  <si>
    <t>Are Test Specifications reviews scheduled? (Test cases, Test scenarios etc.)</t>
  </si>
  <si>
    <t>Are all the needed Trainings scheduled?</t>
  </si>
  <si>
    <t>Are unperformed Tasks from previous iteration analysed and, if the case, planned in the current iteration? (Analysis should be present inside the SVP)</t>
  </si>
  <si>
    <t>Were all Issues found in the previous iteration taken into account to be verified in the current iteration?</t>
  </si>
  <si>
    <t>Was the Time necessary for actual team leading taken into account in the time schedule?</t>
  </si>
  <si>
    <t>Was the Workload for testing bugs planned (related to the bugs found during verification phase)?</t>
  </si>
  <si>
    <t>Architecture checklist</t>
  </si>
  <si>
    <t>Is the resource consumption measured to ensure targets have not been exceeded?</t>
  </si>
  <si>
    <t>Is the PTC project organization and branch management clearly stated?</t>
  </si>
  <si>
    <t>5.4</t>
  </si>
  <si>
    <t>Software Project Schedule Check-List</t>
  </si>
  <si>
    <t>Are all tasks in the different actions lists (QA monitoring, SW progress minutes, deviations) included in the SPS</t>
  </si>
  <si>
    <t>Clean build completed. (Not applicable if Delivery checklist is used)</t>
  </si>
  <si>
    <t>Software Integration Test and Report Check-List</t>
  </si>
  <si>
    <t>Are all defined test types used in test cases?</t>
  </si>
  <si>
    <t>6a</t>
  </si>
  <si>
    <t>Software Verification Summary Report Check-List</t>
  </si>
  <si>
    <t>Are the names of all reviewers and approvers consistent with the related quality document? e.g. Stakeholder Involvement Plan, PCIM etc</t>
  </si>
  <si>
    <t>Are all chapters fulfilled according to the project status? (Data accuracy)</t>
  </si>
  <si>
    <t>Do all failed tests have an associated Issue number?</t>
  </si>
  <si>
    <t>Were all issues, that were in scope, handled? (e.g. by cross checking with Development Release Container in PTC etc.)</t>
  </si>
  <si>
    <t>copied from  SW Verification Summary Report Review Criteria (SW05OTH007) version ALE_2.10n</t>
  </si>
  <si>
    <t>SV Summary Report checklist</t>
  </si>
  <si>
    <t>Not approved</t>
  </si>
  <si>
    <t>SV</t>
  </si>
  <si>
    <t>Software Verification</t>
  </si>
  <si>
    <t>System/Software Work-Product Follow-up Check-List</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</si>
  <si>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</si>
  <si>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</si>
  <si>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</si>
  <si>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Are the names of author, reviewer and approver consistent with the PCIM ?</t>
  </si>
  <si>
    <t>MBD Check-List</t>
  </si>
  <si>
    <t>Is the tool version consistent with the one selected by the project ?</t>
  </si>
  <si>
    <t>Does either a data dictionary associated to the model, or a file creating the workspace, exist ?</t>
  </si>
  <si>
    <t>Do the model and its associated files have a name containing the same unique prefix of the component ?</t>
  </si>
  <si>
    <t>Can the model and its associated files (stored in the configuration management tool) be compiled again (validated by the tool) ?</t>
  </si>
  <si>
    <t>Do the model and its associated files (stored in the configuration management tool) generate the same code ?</t>
  </si>
  <si>
    <t>1.1. Common Model rules</t>
  </si>
  <si>
    <t>2. Model Consistency</t>
  </si>
  <si>
    <t xml:space="preserve">Is the sub system containing the functional design atomic ?
</t>
  </si>
  <si>
    <t xml:space="preserve">Is a test environment associated to the design model available ?
</t>
  </si>
  <si>
    <t>Does each important or complex sub system have an explicit name in relation with its role and a note to explain this role ?</t>
  </si>
  <si>
    <t>Is the model compliant with the MAAB rules selected by Autoliv (see referenced document) ? Does this check have been automatically done with the "check MAAB" Validation &amp; Verification tool ?</t>
  </si>
  <si>
    <t>3. Autosar topics</t>
  </si>
  <si>
    <t>Are the Autosar interfaces consistent with the official architecture .arxml file ?</t>
  </si>
  <si>
    <t>4. Code generation</t>
  </si>
  <si>
    <t>Is it possible to configure the SW component with separated and manually updatable files, independant from the functional code ?</t>
  </si>
  <si>
    <t>Is it possible to interface the SW component with separated and manually updatable files, independant from the functional code ?</t>
  </si>
  <si>
    <t>Is the code generation type in accordance with the application project needs: non Autosar / Autosar 3 / Aautosar 4?</t>
  </si>
  <si>
    <t>Does the production code not contain unecessary log and debug data, except under compilation option ?</t>
  </si>
  <si>
    <t>Does the production code complexicity comply with AS150 expectations (check the STCYC rule) ?</t>
  </si>
  <si>
    <t xml:space="preserve">If a C function is shared between different models, is it either a referenced model or a S-function ?
</t>
  </si>
  <si>
    <t>Is the type of each user defined generated variable identifiable in its name ?</t>
  </si>
  <si>
    <t>Do the generated functions contain a comment to describe their role ?</t>
  </si>
  <si>
    <t>5. Tests of the model</t>
  </si>
  <si>
    <t>Do some excel sheets contain the test scenarii and results ?</t>
  </si>
  <si>
    <t>Are the scripts (.m files and other kinds) used for MBD tests, the scenarii and the results recorded in the configuration management tool ?</t>
  </si>
  <si>
    <t>Is any deviation to the Autoliv MBD test process documented ?</t>
  </si>
  <si>
    <t xml:space="preserve">Is the checkpoint used to pass the MBD tests noticed in the results file ? </t>
  </si>
  <si>
    <t>Is the behaviour of the model tested against the functional specification, including the traceability ?</t>
  </si>
  <si>
    <t>Is the robustness of the model design tested ?</t>
  </si>
  <si>
    <t>Is the test environment consistent with the application real time scheduling?</t>
  </si>
  <si>
    <t>6. Delivery</t>
  </si>
  <si>
    <t>Does a checkpoint (in the configuration management tool) exist on the whole MBD package (model, tests, generated code, …) ? 
XXX_MajorVersion_MinorVersion (XXX = either a trigram or an explicit name)</t>
  </si>
  <si>
    <t>Document Name - Checkpoint</t>
  </si>
  <si>
    <t>MBD checklist</t>
  </si>
  <si>
    <t>Priority</t>
  </si>
  <si>
    <t>Are SDP and SW time schedule aligned in term of SW development strategy: review, QA-C, Implementation of the SW etc… ?</t>
  </si>
  <si>
    <t>Integration Tests Plan Check-List</t>
  </si>
  <si>
    <t>ITP checklist</t>
  </si>
  <si>
    <t>Review Definition</t>
  </si>
  <si>
    <t>Management Reviews</t>
  </si>
  <si>
    <t>Technical Reviews</t>
  </si>
  <si>
    <t>Technical reviews are mainly dedicated to the specifications  and technical documents to ensure that the work product meets the customer or stakeholders requirements</t>
  </si>
  <si>
    <t>Walk-throughs</t>
  </si>
  <si>
    <t>Walk-through is  a static analysis technique in which designer or programmer leads  members of the development team through the work-product to find anmalies, to improve the work-product, to consider alternative implementations, to evaluate conformance to the standards and specifications and to evaluate the usability and accessibility of the work-product asking questions or making comments about standards violations or others...</t>
  </si>
  <si>
    <t>Management reviews are mainly dedicated to the plans as SDP and others, schedules, logs or  tests results and reports to monitor the progress and to determine the status of the documents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</si>
  <si>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</si>
  <si>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</si>
  <si>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</si>
  <si>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</si>
  <si>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</si>
  <si>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</si>
  <si>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</si>
  <si>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</si>
  <si>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</si>
  <si>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</si>
  <si>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</si>
  <si>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</si>
  <si>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</si>
  <si>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</si>
  <si>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</si>
  <si>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</si>
  <si>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</si>
  <si>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</si>
  <si>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</si>
  <si>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</si>
  <si>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</si>
  <si>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Are all applicable documents in accordance with the PCI ?</t>
  </si>
  <si>
    <t>Are the names of author, reviewer and approver consistent with the PCIM?</t>
  </si>
  <si>
    <t>Are the names of author, reviewer and approver consistent with PCIM?</t>
  </si>
  <si>
    <t>Is the generated code exclusively production embedded code?</t>
  </si>
  <si>
    <t>Are the objectives identified like Quality target, Customer target,… and measured ? (Metrics, …)</t>
  </si>
  <si>
    <t xml:space="preserve">Is QAC analysis planned? </t>
  </si>
  <si>
    <t>Are software delivery dates consistent with software development plan?</t>
  </si>
  <si>
    <t>Are software delivery dates consistent with Project schedule defined by PTL ?</t>
  </si>
  <si>
    <t>1.5</t>
  </si>
  <si>
    <r>
      <t xml:space="preserve">Are the automatic fields updated (Filename, Dates, Nb of pages, table of contents…)?
</t>
    </r>
    <r>
      <rPr>
        <sz val="9"/>
        <color indexed="55"/>
        <rFont val="Arial"/>
        <family val="2"/>
      </rPr>
      <t>(Rationale: A-SPICE GP 2.2.3, GP 2.2.1;
SW04TEM000_Software_Integration_Test_Plan.dotx)</t>
    </r>
  </si>
  <si>
    <r>
      <t xml:space="preserve">Are project specific abbreviations listed?
</t>
    </r>
    <r>
      <rPr>
        <sz val="9"/>
        <color indexed="55"/>
        <rFont val="Arial"/>
        <family val="2"/>
      </rPr>
      <t>(Rationale:  SW04TEM000_Software_Integration_Test_Plan.dotx)</t>
    </r>
  </si>
  <si>
    <r>
      <t xml:space="preserve">Has the project used the correct version of template?
</t>
    </r>
    <r>
      <rPr>
        <sz val="10"/>
        <color indexed="55"/>
        <rFont val="Arial"/>
        <family val="2"/>
      </rPr>
      <t>(Rationale: AS -151)</t>
    </r>
  </si>
  <si>
    <t>Quality Assurance Plan Check-List</t>
  </si>
  <si>
    <t>Configuration Management Plan Check-List</t>
  </si>
  <si>
    <r>
      <t>Have all of the</t>
    </r>
    <r>
      <rPr>
        <sz val="10"/>
        <color indexed="10"/>
        <rFont val="Arial"/>
        <family val="2"/>
      </rPr>
      <t xml:space="preserve"> </t>
    </r>
    <r>
      <rPr>
        <sz val="10"/>
        <rFont val="Arial"/>
        <family val="2"/>
      </rPr>
      <t>software</t>
    </r>
    <r>
      <rPr>
        <sz val="10"/>
        <color indexed="10"/>
        <rFont val="Arial"/>
        <family val="2"/>
      </rPr>
      <t xml:space="preserve"> </t>
    </r>
    <r>
      <rPr>
        <sz val="10"/>
        <rFont val="Arial"/>
        <family val="2"/>
      </rPr>
      <t xml:space="preserve">requirements been identified that this architecture must support?
</t>
    </r>
    <r>
      <rPr>
        <i/>
        <sz val="10"/>
        <color indexed="23"/>
        <rFont val="Arial"/>
        <family val="2"/>
      </rPr>
      <t>(</t>
    </r>
    <r>
      <rPr>
        <i/>
        <u/>
        <sz val="10"/>
        <color indexed="23"/>
        <rFont val="Arial"/>
        <family val="2"/>
      </rPr>
      <t>Rationale</t>
    </r>
    <r>
      <rPr>
        <i/>
        <sz val="10"/>
        <color indexed="23"/>
        <rFont val="Arial"/>
        <family val="2"/>
      </rPr>
      <t>:  )</t>
    </r>
  </si>
  <si>
    <r>
      <t xml:space="preserve">Have those requirements been decomposed into scenarios and traceability established?
</t>
    </r>
    <r>
      <rPr>
        <i/>
        <sz val="10"/>
        <color indexed="23"/>
        <rFont val="Arial"/>
        <family val="2"/>
      </rPr>
      <t>(</t>
    </r>
    <r>
      <rPr>
        <i/>
        <u/>
        <sz val="10"/>
        <color indexed="23"/>
        <rFont val="Arial"/>
        <family val="2"/>
      </rPr>
      <t>Rationale</t>
    </r>
    <r>
      <rPr>
        <i/>
        <sz val="10"/>
        <color indexed="23"/>
        <rFont val="Arial"/>
        <family val="2"/>
      </rPr>
      <t>:  )</t>
    </r>
  </si>
  <si>
    <r>
      <t xml:space="preserve">Have SW architecture requirements been defined?
</t>
    </r>
    <r>
      <rPr>
        <sz val="10"/>
        <color indexed="23"/>
        <rFont val="Arial"/>
        <family val="2"/>
      </rPr>
      <t>(Rationale:  )</t>
    </r>
  </si>
  <si>
    <r>
      <t xml:space="preserve">Have the software requirements been decomposed into AAU requirements and traced to the appropriate AAUs?
</t>
    </r>
    <r>
      <rPr>
        <i/>
        <sz val="10"/>
        <color indexed="23"/>
        <rFont val="Arial"/>
        <family val="2"/>
      </rPr>
      <t>(</t>
    </r>
    <r>
      <rPr>
        <i/>
        <u/>
        <sz val="10"/>
        <color indexed="23"/>
        <rFont val="Arial"/>
        <family val="2"/>
      </rPr>
      <t>Rationale</t>
    </r>
    <r>
      <rPr>
        <i/>
        <sz val="10"/>
        <color indexed="23"/>
        <rFont val="Arial"/>
        <family val="2"/>
      </rPr>
      <t>: )</t>
    </r>
  </si>
  <si>
    <r>
      <t xml:space="preserve">Have the AAUs been identified or developed that can accomplish those scenarios?
</t>
    </r>
    <r>
      <rPr>
        <i/>
        <sz val="10"/>
        <color indexed="23"/>
        <rFont val="Arial"/>
        <family val="2"/>
      </rPr>
      <t>(</t>
    </r>
    <r>
      <rPr>
        <i/>
        <u/>
        <sz val="10"/>
        <color indexed="23"/>
        <rFont val="Arial"/>
        <family val="2"/>
      </rPr>
      <t>Rationale</t>
    </r>
    <r>
      <rPr>
        <i/>
        <sz val="10"/>
        <color indexed="23"/>
        <rFont val="Arial"/>
        <family val="2"/>
      </rPr>
      <t>:  )</t>
    </r>
  </si>
  <si>
    <r>
      <t xml:space="preserve">Has the mission of each AAU been clearly defined?  Does it encapsulate a well-defined set of functionality?
</t>
    </r>
    <r>
      <rPr>
        <i/>
        <sz val="10"/>
        <color indexed="23"/>
        <rFont val="Arial"/>
        <family val="2"/>
      </rPr>
      <t>(</t>
    </r>
    <r>
      <rPr>
        <i/>
        <u/>
        <sz val="10"/>
        <color indexed="23"/>
        <rFont val="Arial"/>
        <family val="2"/>
      </rPr>
      <t>Rationale</t>
    </r>
    <r>
      <rPr>
        <i/>
        <sz val="10"/>
        <color indexed="23"/>
        <rFont val="Arial"/>
        <family val="2"/>
      </rPr>
      <t>:  )</t>
    </r>
  </si>
  <si>
    <r>
      <t xml:space="preserve">Do the interfaces minimize coupling between AAUs? (i.e. interface parameters minimize data being passed,  interface parameters avoid the use of datatypes that expose the internal design of the AAU?)
</t>
    </r>
    <r>
      <rPr>
        <i/>
        <sz val="10"/>
        <color indexed="23"/>
        <rFont val="Arial"/>
        <family val="2"/>
      </rPr>
      <t>(</t>
    </r>
    <r>
      <rPr>
        <i/>
        <u/>
        <sz val="10"/>
        <color indexed="23"/>
        <rFont val="Arial"/>
        <family val="2"/>
      </rPr>
      <t>Rationale</t>
    </r>
    <r>
      <rPr>
        <i/>
        <sz val="10"/>
        <color indexed="23"/>
        <rFont val="Arial"/>
        <family val="2"/>
      </rPr>
      <t>: )</t>
    </r>
  </si>
  <si>
    <r>
      <t xml:space="preserve">Does each scenario have a corresponding sequence diagram that proves that the AAUs can accomplish the scenario using only the AAU interfaces?
</t>
    </r>
    <r>
      <rPr>
        <i/>
        <sz val="10"/>
        <color indexed="23"/>
        <rFont val="Arial"/>
        <family val="2"/>
      </rPr>
      <t>(</t>
    </r>
    <r>
      <rPr>
        <i/>
        <u/>
        <sz val="10"/>
        <color indexed="23"/>
        <rFont val="Arial"/>
        <family val="2"/>
      </rPr>
      <t>Rationale</t>
    </r>
    <r>
      <rPr>
        <i/>
        <sz val="10"/>
        <color indexed="23"/>
        <rFont val="Arial"/>
        <family val="2"/>
      </rPr>
      <t>: )</t>
    </r>
  </si>
  <si>
    <r>
      <t xml:space="preserve">Have the AAUs been organized in a layered hierarchy?
</t>
    </r>
    <r>
      <rPr>
        <i/>
        <sz val="10"/>
        <color indexed="23"/>
        <rFont val="Arial"/>
        <family val="2"/>
      </rPr>
      <t>(</t>
    </r>
    <r>
      <rPr>
        <i/>
        <u/>
        <sz val="10"/>
        <color indexed="23"/>
        <rFont val="Arial"/>
        <family val="2"/>
      </rPr>
      <t>Rationale</t>
    </r>
    <r>
      <rPr>
        <i/>
        <sz val="10"/>
        <color indexed="23"/>
        <rFont val="Arial"/>
        <family val="2"/>
      </rPr>
      <t>: )</t>
    </r>
  </si>
  <si>
    <r>
      <t xml:space="preserve">Do the sequence diagrams create any dependencies from a lower level AAU to a higher level AAU as defined in the layered hierarchy?
</t>
    </r>
    <r>
      <rPr>
        <i/>
        <sz val="10"/>
        <color indexed="23"/>
        <rFont val="Arial"/>
        <family val="2"/>
      </rPr>
      <t>(</t>
    </r>
    <r>
      <rPr>
        <i/>
        <u/>
        <sz val="10"/>
        <color indexed="23"/>
        <rFont val="Arial"/>
        <family val="2"/>
      </rPr>
      <t>Rationale</t>
    </r>
    <r>
      <rPr>
        <i/>
        <sz val="10"/>
        <color indexed="23"/>
        <rFont val="Arial"/>
        <family val="2"/>
      </rPr>
      <t>: )</t>
    </r>
  </si>
  <si>
    <r>
      <t xml:space="preserve">Do the sequence diagrams avoid circular dependencies between the AAUs?
</t>
    </r>
    <r>
      <rPr>
        <i/>
        <sz val="10"/>
        <color indexed="23"/>
        <rFont val="Arial"/>
        <family val="2"/>
      </rPr>
      <t>(</t>
    </r>
    <r>
      <rPr>
        <i/>
        <u/>
        <sz val="10"/>
        <color indexed="23"/>
        <rFont val="Arial"/>
        <family val="2"/>
      </rPr>
      <t>Rationale</t>
    </r>
    <r>
      <rPr>
        <i/>
        <sz val="10"/>
        <color indexed="23"/>
        <rFont val="Arial"/>
        <family val="2"/>
      </rPr>
      <t>: )</t>
    </r>
  </si>
  <si>
    <r>
      <t xml:space="preserve">Have design/implementation constraints been identified? (CPU resources consumption, critical section…)
</t>
    </r>
    <r>
      <rPr>
        <i/>
        <sz val="10"/>
        <color indexed="23"/>
        <rFont val="Arial"/>
        <family val="2"/>
      </rPr>
      <t>(</t>
    </r>
    <r>
      <rPr>
        <i/>
        <u/>
        <sz val="10"/>
        <color indexed="23"/>
        <rFont val="Arial"/>
        <family val="2"/>
      </rPr>
      <t>Rationale</t>
    </r>
    <r>
      <rPr>
        <i/>
        <sz val="10"/>
        <color indexed="23"/>
        <rFont val="Arial"/>
        <family val="2"/>
      </rPr>
      <t>: )</t>
    </r>
  </si>
  <si>
    <r>
      <t xml:space="preserve">Is SW architecture testable during integration testing phase?
</t>
    </r>
    <r>
      <rPr>
        <i/>
        <sz val="10"/>
        <color indexed="23"/>
        <rFont val="Arial"/>
        <family val="2"/>
      </rPr>
      <t>(</t>
    </r>
    <r>
      <rPr>
        <i/>
        <u/>
        <sz val="10"/>
        <color indexed="23"/>
        <rFont val="Arial"/>
        <family val="2"/>
      </rPr>
      <t>Rationale</t>
    </r>
    <r>
      <rPr>
        <i/>
        <sz val="10"/>
        <color indexed="23"/>
        <rFont val="Arial"/>
        <family val="2"/>
      </rPr>
      <t>: )</t>
    </r>
  </si>
  <si>
    <r>
      <t xml:space="preserve">Is the template in accordance with the selected process for the project? 
</t>
    </r>
    <r>
      <rPr>
        <i/>
        <sz val="10"/>
        <color indexed="23"/>
        <rFont val="Arial"/>
        <family val="2"/>
      </rPr>
      <t>(May be Not Applicable if the design is reused from another project)</t>
    </r>
  </si>
  <si>
    <r>
      <t xml:space="preserve">Does the SW AAU design conform to the SW architecture (interfaces, namings, constraints)?
</t>
    </r>
    <r>
      <rPr>
        <i/>
        <sz val="10"/>
        <color indexed="23"/>
        <rFont val="Arial"/>
        <family val="2"/>
      </rPr>
      <t>(</t>
    </r>
    <r>
      <rPr>
        <i/>
        <u/>
        <sz val="10"/>
        <color indexed="23"/>
        <rFont val="Arial"/>
        <family val="2"/>
      </rPr>
      <t>Rationale</t>
    </r>
    <r>
      <rPr>
        <i/>
        <sz val="10"/>
        <color indexed="23"/>
        <rFont val="Arial"/>
        <family val="2"/>
      </rPr>
      <t>:  ISO 26262-6 chapters 8.1, 8.2, 8.4.4, 8.4.5)</t>
    </r>
  </si>
  <si>
    <r>
      <t xml:space="preserve">Does the SW AAU design conform to the SW requirements?
</t>
    </r>
    <r>
      <rPr>
        <i/>
        <sz val="10"/>
        <color indexed="23"/>
        <rFont val="Arial"/>
        <family val="2"/>
      </rPr>
      <t>(</t>
    </r>
    <r>
      <rPr>
        <i/>
        <u/>
        <sz val="10"/>
        <color indexed="23"/>
        <rFont val="Arial"/>
        <family val="2"/>
      </rPr>
      <t>Rationale</t>
    </r>
    <r>
      <rPr>
        <i/>
        <sz val="10"/>
        <color indexed="23"/>
        <rFont val="Arial"/>
        <family val="2"/>
      </rPr>
      <t>:  ISO 26262-6 chapters 8.1, 8.2, 8.4.3, 8.4.5)</t>
    </r>
  </si>
  <si>
    <r>
      <t xml:space="preserve">Is the AAU design compliant with the HSIS when relevant (execution sequence, electrical stabilization time before measurement, retry strategy, periodicity …)?
</t>
    </r>
    <r>
      <rPr>
        <i/>
        <sz val="10"/>
        <color indexed="23"/>
        <rFont val="Arial"/>
        <family val="2"/>
      </rPr>
      <t>(</t>
    </r>
    <r>
      <rPr>
        <i/>
        <u/>
        <sz val="10"/>
        <color indexed="23"/>
        <rFont val="Arial"/>
        <family val="2"/>
      </rPr>
      <t>Rationale</t>
    </r>
    <r>
      <rPr>
        <i/>
        <sz val="10"/>
        <color indexed="23"/>
        <rFont val="Arial"/>
        <family val="2"/>
      </rPr>
      <t>:  ISO 26262-6 chapter 8.4.5)</t>
    </r>
  </si>
  <si>
    <r>
      <t xml:space="preserve">Does the SW AAU design conform to the SW coding standard ?
</t>
    </r>
    <r>
      <rPr>
        <i/>
        <sz val="10"/>
        <color indexed="23"/>
        <rFont val="Arial"/>
        <family val="2"/>
      </rPr>
      <t>(</t>
    </r>
    <r>
      <rPr>
        <i/>
        <u/>
        <sz val="10"/>
        <color indexed="23"/>
        <rFont val="Arial"/>
        <family val="2"/>
      </rPr>
      <t>Rationale</t>
    </r>
    <r>
      <rPr>
        <i/>
        <sz val="10"/>
        <color indexed="23"/>
        <rFont val="Arial"/>
        <family val="2"/>
      </rPr>
      <t>:  ISO 26262-6 Table 8)</t>
    </r>
  </si>
  <si>
    <r>
      <t xml:space="preserve">Are software design requirements testable?
</t>
    </r>
    <r>
      <rPr>
        <i/>
        <sz val="10"/>
        <color indexed="23"/>
        <rFont val="Arial"/>
        <family val="2"/>
      </rPr>
      <t>(</t>
    </r>
    <r>
      <rPr>
        <i/>
        <u/>
        <sz val="10"/>
        <color indexed="23"/>
        <rFont val="Arial"/>
        <family val="2"/>
      </rPr>
      <t>Rationale</t>
    </r>
    <r>
      <rPr>
        <i/>
        <sz val="10"/>
        <color indexed="23"/>
        <rFont val="Arial"/>
        <family val="2"/>
      </rPr>
      <t>: ISO 26262-6 chapter 8.4.4)</t>
    </r>
  </si>
  <si>
    <r>
      <t xml:space="preserve">Is the data structure organisation clearly defined in the AAU design including the memory location (ROM, RAM, RAM_NO_INIT, NVM ...)?
</t>
    </r>
    <r>
      <rPr>
        <i/>
        <sz val="10"/>
        <color indexed="23"/>
        <rFont val="Arial"/>
        <family val="2"/>
      </rPr>
      <t>(</t>
    </r>
    <r>
      <rPr>
        <i/>
        <u/>
        <sz val="10"/>
        <color indexed="23"/>
        <rFont val="Arial"/>
        <family val="2"/>
      </rPr>
      <t>Rationale</t>
    </r>
    <r>
      <rPr>
        <i/>
        <sz val="10"/>
        <color indexed="23"/>
        <rFont val="Arial"/>
        <family val="2"/>
      </rPr>
      <t>: ISO 26262-6 chapter 8.4.3)</t>
    </r>
  </si>
  <si>
    <r>
      <t xml:space="preserve">Are shared variables protected with expected mechanisms (including initialization)?
</t>
    </r>
    <r>
      <rPr>
        <i/>
        <sz val="10"/>
        <color indexed="23"/>
        <rFont val="Arial"/>
        <family val="2"/>
      </rPr>
      <t>(</t>
    </r>
    <r>
      <rPr>
        <i/>
        <u/>
        <sz val="10"/>
        <color indexed="23"/>
        <rFont val="Arial"/>
        <family val="2"/>
      </rPr>
      <t>Rationale</t>
    </r>
    <r>
      <rPr>
        <i/>
        <sz val="10"/>
        <color indexed="23"/>
        <rFont val="Arial"/>
        <family val="2"/>
      </rPr>
      <t>: ISO 26262-6 chapter 8.4.4 f) robustness and SW FFU Check Lists_V00 #6 SW Design tab)</t>
    </r>
  </si>
  <si>
    <r>
      <t xml:space="preserve">Are critical sections protected with expected mechanisms?
</t>
    </r>
    <r>
      <rPr>
        <i/>
        <sz val="10"/>
        <color indexed="23"/>
        <rFont val="Arial"/>
        <family val="2"/>
      </rPr>
      <t>(</t>
    </r>
    <r>
      <rPr>
        <i/>
        <u/>
        <sz val="10"/>
        <color indexed="23"/>
        <rFont val="Arial"/>
        <family val="2"/>
      </rPr>
      <t>Rationale</t>
    </r>
    <r>
      <rPr>
        <i/>
        <sz val="10"/>
        <color indexed="23"/>
        <rFont val="Arial"/>
        <family val="2"/>
      </rPr>
      <t>: ISO 26262-6 chapter 8.4.4 f) robustness and SW FFU Check Lists_V00 #6 SW Design tab)</t>
    </r>
  </si>
  <si>
    <r>
      <t xml:space="preserve">Are critical data protected with expected mechanisms?
</t>
    </r>
    <r>
      <rPr>
        <i/>
        <sz val="10"/>
        <color indexed="23"/>
        <rFont val="Arial"/>
        <family val="2"/>
      </rPr>
      <t>(</t>
    </r>
    <r>
      <rPr>
        <i/>
        <u/>
        <sz val="10"/>
        <color indexed="23"/>
        <rFont val="Arial"/>
        <family val="2"/>
      </rPr>
      <t>Rationale</t>
    </r>
    <r>
      <rPr>
        <i/>
        <sz val="10"/>
        <color indexed="23"/>
        <rFont val="Arial"/>
        <family val="2"/>
      </rPr>
      <t>: ISO 26262-6 chapter 8.4.4 f) robustness)</t>
    </r>
  </si>
  <si>
    <r>
      <t xml:space="preserve">Does the SW AAU design take into account the MCU resources constraints?
</t>
    </r>
    <r>
      <rPr>
        <i/>
        <sz val="10"/>
        <color indexed="23"/>
        <rFont val="Arial"/>
        <family val="2"/>
      </rPr>
      <t>(</t>
    </r>
    <r>
      <rPr>
        <i/>
        <u/>
        <sz val="10"/>
        <color indexed="23"/>
        <rFont val="Arial"/>
        <family val="2"/>
      </rPr>
      <t>Rationale</t>
    </r>
    <r>
      <rPr>
        <i/>
        <sz val="10"/>
        <color indexed="23"/>
        <rFont val="Arial"/>
        <family val="2"/>
      </rPr>
      <t>: ISO 26262-6 chapter 8.4.4 f) robustness and "Resource usage test" 1d Table 10)</t>
    </r>
  </si>
  <si>
    <r>
      <t xml:space="preserve">Is the behaviour of the AAU properly described in each System phase (start-up, shutdown,…)?
</t>
    </r>
    <r>
      <rPr>
        <i/>
        <sz val="10"/>
        <color indexed="23"/>
        <rFont val="Arial"/>
        <family val="2"/>
      </rPr>
      <t>(</t>
    </r>
    <r>
      <rPr>
        <i/>
        <u/>
        <sz val="10"/>
        <color indexed="23"/>
        <rFont val="Arial"/>
        <family val="2"/>
      </rPr>
      <t>Rationale</t>
    </r>
    <r>
      <rPr>
        <i/>
        <sz val="10"/>
        <color indexed="23"/>
        <rFont val="Arial"/>
        <family val="2"/>
      </rPr>
      <t>: ISO 26262-6 chapter 8.4.3)</t>
    </r>
  </si>
  <si>
    <r>
      <t xml:space="preserve">Is the template in accordance with the selected process for the project? 
</t>
    </r>
    <r>
      <rPr>
        <i/>
        <sz val="10"/>
        <rFont val="Arial"/>
        <family val="2"/>
      </rPr>
      <t>(May be Not Applicable if the SW code is reused from another project)</t>
    </r>
  </si>
  <si>
    <r>
      <t xml:space="preserve">Does the SW AAU Code conform to the SW coding standard ?
</t>
    </r>
    <r>
      <rPr>
        <i/>
        <sz val="10"/>
        <color indexed="23"/>
        <rFont val="Arial"/>
        <family val="2"/>
      </rPr>
      <t>(</t>
    </r>
    <r>
      <rPr>
        <i/>
        <u/>
        <sz val="10"/>
        <color indexed="23"/>
        <rFont val="Arial"/>
        <family val="2"/>
      </rPr>
      <t>Rationale</t>
    </r>
    <r>
      <rPr>
        <i/>
        <sz val="10"/>
        <color indexed="23"/>
        <rFont val="Arial"/>
        <family val="2"/>
      </rPr>
      <t>:  ISO 26262-6 chapter 8.4.5 d), Table 8)</t>
    </r>
  </si>
  <si>
    <r>
      <t>Are the variables initialized before their use?</t>
    </r>
    <r>
      <rPr>
        <i/>
        <sz val="10"/>
        <color indexed="23"/>
        <rFont val="Arial"/>
        <family val="2"/>
      </rPr>
      <t xml:space="preserve">
(</t>
    </r>
    <r>
      <rPr>
        <i/>
        <u/>
        <sz val="10"/>
        <color indexed="23"/>
        <rFont val="Arial"/>
        <family val="2"/>
      </rPr>
      <t>Rationale</t>
    </r>
    <r>
      <rPr>
        <i/>
        <sz val="10"/>
        <color indexed="23"/>
        <rFont val="Arial"/>
        <family val="2"/>
      </rPr>
      <t>: ISO26262-6 1c Table 8, SW FFU Check Lists_V00 #3 SW Coding tab)</t>
    </r>
  </si>
  <si>
    <r>
      <t xml:space="preserve">Is the SW Code written in compliance with MISRA rules ? If not, remaining warning shall be justified?
</t>
    </r>
    <r>
      <rPr>
        <i/>
        <sz val="10"/>
        <color indexed="23"/>
        <rFont val="Arial"/>
        <family val="2"/>
      </rPr>
      <t>(</t>
    </r>
    <r>
      <rPr>
        <i/>
        <u/>
        <sz val="10"/>
        <color indexed="23"/>
        <rFont val="Arial"/>
        <family val="2"/>
      </rPr>
      <t>Rationale</t>
    </r>
    <r>
      <rPr>
        <i/>
        <sz val="10"/>
        <color indexed="23"/>
        <rFont val="Arial"/>
        <family val="2"/>
      </rPr>
      <t>: ISO26262-6 1g Table 9, SW FFU Check Lists_V00 #1 SW Coding tab)</t>
    </r>
  </si>
  <si>
    <r>
      <t xml:space="preserve">Is the number of non cyclic remark paths  &lt; 80 ?
Is the Cyclomatic complexity &lt; 10 ?
</t>
    </r>
    <r>
      <rPr>
        <u/>
        <sz val="10"/>
        <color indexed="30"/>
        <rFont val="Arial"/>
        <family val="2"/>
      </rPr>
      <t>(refer to HIS metrics document for further information)</t>
    </r>
    <r>
      <rPr>
        <sz val="10"/>
        <rFont val="Arial"/>
        <family val="2"/>
      </rPr>
      <t xml:space="preserve">
</t>
    </r>
    <r>
      <rPr>
        <i/>
        <sz val="10"/>
        <color indexed="23"/>
        <rFont val="Arial"/>
        <family val="2"/>
      </rPr>
      <t>(</t>
    </r>
    <r>
      <rPr>
        <i/>
        <u/>
        <sz val="10"/>
        <color indexed="23"/>
        <rFont val="Arial"/>
        <family val="2"/>
      </rPr>
      <t>Rationale</t>
    </r>
    <r>
      <rPr>
        <i/>
        <sz val="10"/>
        <color indexed="23"/>
        <rFont val="Arial"/>
        <family val="2"/>
      </rPr>
      <t>: SW FFU Check Lists_V00 #2 SW Coding tab)</t>
    </r>
  </si>
  <si>
    <r>
      <t xml:space="preserve">Is the SW Code compliant with design (namings, functions, variables, logic, …) ?
</t>
    </r>
    <r>
      <rPr>
        <i/>
        <sz val="10"/>
        <color indexed="23"/>
        <rFont val="Arial"/>
        <family val="2"/>
      </rPr>
      <t>(</t>
    </r>
    <r>
      <rPr>
        <i/>
        <u/>
        <sz val="10"/>
        <color indexed="23"/>
        <rFont val="Arial"/>
        <family val="2"/>
      </rPr>
      <t>Rationale</t>
    </r>
    <r>
      <rPr>
        <i/>
        <sz val="10"/>
        <color indexed="23"/>
        <rFont val="Arial"/>
        <family val="2"/>
      </rPr>
      <t>:  ISO 26262-6 chapter 8.4.5, Table 8)</t>
    </r>
  </si>
  <si>
    <r>
      <t xml:space="preserve">Are the impacts on stack size been considered ?
</t>
    </r>
    <r>
      <rPr>
        <i/>
        <sz val="10"/>
        <color indexed="23"/>
        <rFont val="Arial"/>
        <family val="2"/>
      </rPr>
      <t>(</t>
    </r>
    <r>
      <rPr>
        <i/>
        <u/>
        <sz val="10"/>
        <color indexed="23"/>
        <rFont val="Arial"/>
        <family val="2"/>
      </rPr>
      <t>Rationale</t>
    </r>
    <r>
      <rPr>
        <i/>
        <sz val="10"/>
        <color indexed="23"/>
        <rFont val="Arial"/>
        <family val="2"/>
      </rPr>
      <t>:  ISO 26262-6 chapter 8.4.5 c) and e))</t>
    </r>
  </si>
  <si>
    <r>
      <t xml:space="preserve">Is the SW Code compliant with the memory budget (RAM, ROM, CPU load …) ?
</t>
    </r>
    <r>
      <rPr>
        <i/>
        <sz val="10"/>
        <color indexed="23"/>
        <rFont val="Arial"/>
        <family val="2"/>
      </rPr>
      <t>(</t>
    </r>
    <r>
      <rPr>
        <i/>
        <u/>
        <sz val="10"/>
        <color indexed="23"/>
        <rFont val="Arial"/>
        <family val="2"/>
      </rPr>
      <t>Rationale</t>
    </r>
    <r>
      <rPr>
        <i/>
        <sz val="10"/>
        <color indexed="23"/>
        <rFont val="Arial"/>
        <family val="2"/>
      </rPr>
      <t>:  ISO 26262-6 chapter 8.4.5 c) and e))</t>
    </r>
  </si>
  <si>
    <r>
      <t xml:space="preserve">Are the critical code sections optimized regarding CPU load budget (for example jitter that can be introduced by interrupt routine)?
</t>
    </r>
    <r>
      <rPr>
        <i/>
        <sz val="10"/>
        <color indexed="23"/>
        <rFont val="Arial"/>
        <family val="2"/>
      </rPr>
      <t>(</t>
    </r>
    <r>
      <rPr>
        <i/>
        <u/>
        <sz val="10"/>
        <color indexed="23"/>
        <rFont val="Arial"/>
        <family val="2"/>
      </rPr>
      <t>Rationale</t>
    </r>
    <r>
      <rPr>
        <i/>
        <sz val="10"/>
        <color indexed="23"/>
        <rFont val="Arial"/>
        <family val="2"/>
      </rPr>
      <t>:  ISO 26262-6 chapter 8.4.5 c) and e))</t>
    </r>
  </si>
  <si>
    <r>
      <t xml:space="preserve">Is Data structure organized in RAM (alignment, padding,..) verified?
</t>
    </r>
    <r>
      <rPr>
        <i/>
        <sz val="10"/>
        <color indexed="23"/>
        <rFont val="Arial"/>
        <family val="2"/>
      </rPr>
      <t>(</t>
    </r>
    <r>
      <rPr>
        <i/>
        <u/>
        <sz val="10"/>
        <color indexed="23"/>
        <rFont val="Arial"/>
        <family val="2"/>
      </rPr>
      <t>Rationale</t>
    </r>
    <r>
      <rPr>
        <i/>
        <sz val="10"/>
        <color indexed="23"/>
        <rFont val="Arial"/>
        <family val="2"/>
      </rPr>
      <t>:  ISO 26262-6 1d Table10 "Resource usage test")</t>
    </r>
  </si>
  <si>
    <r>
      <t xml:space="preserve">Are the comments sufficient for comprehensibility?
</t>
    </r>
    <r>
      <rPr>
        <i/>
        <sz val="10"/>
        <color indexed="23"/>
        <rFont val="Arial"/>
        <family val="2"/>
      </rPr>
      <t>(</t>
    </r>
    <r>
      <rPr>
        <i/>
        <u/>
        <sz val="10"/>
        <color indexed="23"/>
        <rFont val="Arial"/>
        <family val="2"/>
      </rPr>
      <t>Rationale</t>
    </r>
    <r>
      <rPr>
        <i/>
        <sz val="10"/>
        <color indexed="23"/>
        <rFont val="Arial"/>
        <family val="2"/>
      </rPr>
      <t>:  ISO 26262-6 chapter 8.4.4 e))</t>
    </r>
  </si>
  <si>
    <r>
      <t xml:space="preserve">Are out of bounds access (array, pointer…) protected with expected defensive mechanisms?
</t>
    </r>
    <r>
      <rPr>
        <i/>
        <sz val="10"/>
        <color indexed="23"/>
        <rFont val="Arial"/>
        <family val="2"/>
      </rPr>
      <t>(</t>
    </r>
    <r>
      <rPr>
        <i/>
        <u/>
        <sz val="10"/>
        <color indexed="23"/>
        <rFont val="Arial"/>
        <family val="2"/>
      </rPr>
      <t>Rationale</t>
    </r>
    <r>
      <rPr>
        <i/>
        <sz val="10"/>
        <color indexed="23"/>
        <rFont val="Arial"/>
        <family val="2"/>
      </rPr>
      <t>: ISO 26262-6 chapter 8.4.4 f) robustness and "Analysis of boundary values" 1c Table 11
JPL Institutional Coding Standard: LOC-2 Predictable execution rule 10)</t>
    </r>
  </si>
  <si>
    <r>
      <t xml:space="preserve">Are SW loops (for, while) protected against infinite execution?
</t>
    </r>
    <r>
      <rPr>
        <i/>
        <sz val="10"/>
        <color indexed="23"/>
        <rFont val="Arial"/>
        <family val="2"/>
      </rPr>
      <t>(</t>
    </r>
    <r>
      <rPr>
        <i/>
        <u/>
        <sz val="10"/>
        <color indexed="23"/>
        <rFont val="Arial"/>
        <family val="2"/>
      </rPr>
      <t>Rationale</t>
    </r>
    <r>
      <rPr>
        <i/>
        <sz val="10"/>
        <color indexed="23"/>
        <rFont val="Arial"/>
        <family val="2"/>
      </rPr>
      <t>: ISO 26262-6 chapter 8.4.4 f) robustness)</t>
    </r>
  </si>
  <si>
    <r>
      <t xml:space="preserve">All code shall be compiled with all compiler warnings enabled at the highest warning level available.  Are all Compiler warnings resolved?  If not possible a justification must be documented.
</t>
    </r>
    <r>
      <rPr>
        <i/>
        <sz val="10"/>
        <color indexed="23"/>
        <rFont val="Arial"/>
        <family val="2"/>
      </rPr>
      <t>(</t>
    </r>
    <r>
      <rPr>
        <i/>
        <u/>
        <sz val="10"/>
        <color indexed="23"/>
        <rFont val="Arial"/>
        <family val="2"/>
      </rPr>
      <t>Rationale</t>
    </r>
    <r>
      <rPr>
        <i/>
        <sz val="10"/>
        <color indexed="23"/>
        <rFont val="Arial"/>
        <family val="2"/>
      </rPr>
      <t>: JPL Institutional Coding Standard: LOC-1 Langage Compliance Rule 2)</t>
    </r>
  </si>
  <si>
    <r>
      <t xml:space="preserve">Is it verified that the tasks (used by the AAU) do not directly execute code nor access data that belongs to a different task?
</t>
    </r>
    <r>
      <rPr>
        <i/>
        <sz val="10"/>
        <color indexed="23"/>
        <rFont val="Arial"/>
        <family val="2"/>
      </rPr>
      <t>(</t>
    </r>
    <r>
      <rPr>
        <i/>
        <u/>
        <sz val="10"/>
        <color indexed="23"/>
        <rFont val="Arial"/>
        <family val="2"/>
      </rPr>
      <t>Rationale</t>
    </r>
    <r>
      <rPr>
        <i/>
        <sz val="10"/>
        <color indexed="23"/>
        <rFont val="Arial"/>
        <family val="2"/>
      </rPr>
      <t>: JPL Institutional Coding Standard : LOC-2 Predictable execution rule 6)</t>
    </r>
  </si>
  <si>
    <r>
      <t xml:space="preserve">Is it verified that the task synchronization is not performed through the use of task delays?
</t>
    </r>
    <r>
      <rPr>
        <i/>
        <sz val="10"/>
        <color indexed="23"/>
        <rFont val="Arial"/>
        <family val="2"/>
      </rPr>
      <t>(</t>
    </r>
    <r>
      <rPr>
        <i/>
        <u/>
        <sz val="10"/>
        <color indexed="23"/>
        <rFont val="Arial"/>
        <family val="2"/>
      </rPr>
      <t>Rationale</t>
    </r>
    <r>
      <rPr>
        <i/>
        <sz val="10"/>
        <color indexed="23"/>
        <rFont val="Arial"/>
        <family val="2"/>
      </rPr>
      <t>: JPL Institutional Coding Standard: LOC-2 Predictable execution: rule 7)</t>
    </r>
  </si>
  <si>
    <r>
      <t xml:space="preserve">Do shared data objects belong to a single task?
</t>
    </r>
    <r>
      <rPr>
        <i/>
        <sz val="10"/>
        <color indexed="23"/>
        <rFont val="Arial"/>
        <family val="2"/>
      </rPr>
      <t>(</t>
    </r>
    <r>
      <rPr>
        <i/>
        <u/>
        <sz val="10"/>
        <color indexed="23"/>
        <rFont val="Arial"/>
        <family val="2"/>
      </rPr>
      <t>Rationale</t>
    </r>
    <r>
      <rPr>
        <i/>
        <sz val="10"/>
        <color indexed="23"/>
        <rFont val="Arial"/>
        <family val="2"/>
      </rPr>
      <t>: JPL Institutional Coding Standard: LOC-2 Predictable execution  rule 8)</t>
    </r>
  </si>
  <si>
    <r>
      <t xml:space="preserve">Is the use of semaphores or locks to access shared data justified?
</t>
    </r>
    <r>
      <rPr>
        <i/>
        <sz val="10"/>
        <color indexed="23"/>
        <rFont val="Arial"/>
        <family val="2"/>
      </rPr>
      <t>(</t>
    </r>
    <r>
      <rPr>
        <i/>
        <u/>
        <sz val="10"/>
        <color indexed="23"/>
        <rFont val="Arial"/>
        <family val="2"/>
      </rPr>
      <t>Rationale</t>
    </r>
    <r>
      <rPr>
        <i/>
        <sz val="10"/>
        <color indexed="23"/>
        <rFont val="Arial"/>
        <family val="2"/>
      </rPr>
      <t>: JPL Institutional Coding Standard: LOC-2 Predictable execution rule 9)</t>
    </r>
  </si>
  <si>
    <r>
      <t xml:space="preserve">Are all software design requirements covered by the SW unit test cases?
</t>
    </r>
    <r>
      <rPr>
        <i/>
        <sz val="10"/>
        <color indexed="23"/>
        <rFont val="Arial"/>
        <family val="2"/>
      </rPr>
      <t>(</t>
    </r>
    <r>
      <rPr>
        <i/>
        <u/>
        <sz val="10"/>
        <color indexed="23"/>
        <rFont val="Arial"/>
        <family val="2"/>
      </rPr>
      <t>Rationale</t>
    </r>
    <r>
      <rPr>
        <i/>
        <sz val="10"/>
        <color indexed="23"/>
        <rFont val="Arial"/>
        <family val="2"/>
      </rPr>
      <t>:  ISO 26262-6 chapter 9 a), c) and 1a Table10 "Requirements-based test")</t>
    </r>
  </si>
  <si>
    <r>
      <t xml:space="preserve">Do the software unit test cases demonstrate:
               - 100% test coverage,
               - mapping to the requirements,
               - expected results?
(we could state that there is not any unintended functionality)
</t>
    </r>
    <r>
      <rPr>
        <i/>
        <sz val="10"/>
        <color indexed="23"/>
        <rFont val="Arial"/>
        <family val="2"/>
      </rPr>
      <t>(</t>
    </r>
    <r>
      <rPr>
        <i/>
        <u/>
        <sz val="10"/>
        <color indexed="23"/>
        <rFont val="Arial"/>
        <family val="2"/>
      </rPr>
      <t>Rationale</t>
    </r>
    <r>
      <rPr>
        <i/>
        <sz val="10"/>
        <color indexed="23"/>
        <rFont val="Arial"/>
        <family val="2"/>
      </rPr>
      <t>:  ISO 26262-6 chapter 9 d) and Table12)</t>
    </r>
  </si>
  <si>
    <r>
      <t xml:space="preserve">Is the minimum stabilization time required in HSIS tested by unit test cases?
</t>
    </r>
    <r>
      <rPr>
        <i/>
        <sz val="10"/>
        <rFont val="Arial"/>
        <family val="2"/>
      </rPr>
      <t>(at AAU level "in product environnement, on target board")</t>
    </r>
    <r>
      <rPr>
        <sz val="10"/>
        <rFont val="Arial"/>
        <family val="2"/>
      </rPr>
      <t xml:space="preserve">
</t>
    </r>
    <r>
      <rPr>
        <i/>
        <sz val="10"/>
        <color indexed="23"/>
        <rFont val="Arial"/>
        <family val="2"/>
      </rPr>
      <t>(</t>
    </r>
    <r>
      <rPr>
        <i/>
        <u/>
        <sz val="10"/>
        <color indexed="23"/>
        <rFont val="Arial"/>
        <family val="2"/>
      </rPr>
      <t>Rationale</t>
    </r>
    <r>
      <rPr>
        <i/>
        <sz val="10"/>
        <color indexed="23"/>
        <rFont val="Arial"/>
        <family val="2"/>
      </rPr>
      <t>:  ISO 26262-6 chapter 9 b))</t>
    </r>
  </si>
  <si>
    <r>
      <t xml:space="preserve">Is the RAM and ROM consumption measured and conform to the budgets?
</t>
    </r>
    <r>
      <rPr>
        <i/>
        <sz val="10"/>
        <rFont val="Arial"/>
        <family val="2"/>
      </rPr>
      <t>(at AAU level "in product environnement, on target board")</t>
    </r>
    <r>
      <rPr>
        <sz val="10"/>
        <rFont val="Arial"/>
        <family val="2"/>
      </rPr>
      <t xml:space="preserve">
</t>
    </r>
    <r>
      <rPr>
        <i/>
        <sz val="10"/>
        <color indexed="23"/>
        <rFont val="Arial"/>
        <family val="2"/>
      </rPr>
      <t>(</t>
    </r>
    <r>
      <rPr>
        <i/>
        <u/>
        <sz val="10"/>
        <color indexed="23"/>
        <rFont val="Arial"/>
        <family val="2"/>
      </rPr>
      <t>Rationale</t>
    </r>
    <r>
      <rPr>
        <i/>
        <sz val="10"/>
        <color indexed="23"/>
        <rFont val="Arial"/>
        <family val="2"/>
      </rPr>
      <t>:  ISO 26262-6 chapter 9 f) and 1d Table10 "Resource usage test")</t>
    </r>
  </si>
  <si>
    <r>
      <t xml:space="preserve">Are shared variables (existing in AAU scope only) and critical sections tested?
</t>
    </r>
    <r>
      <rPr>
        <i/>
        <sz val="10"/>
        <rFont val="Arial"/>
        <family val="2"/>
      </rPr>
      <t>(at AAU level "in product environnement, on target board")</t>
    </r>
    <r>
      <rPr>
        <sz val="10"/>
        <rFont val="Arial"/>
        <family val="2"/>
      </rPr>
      <t xml:space="preserve">
</t>
    </r>
    <r>
      <rPr>
        <i/>
        <sz val="10"/>
        <color indexed="23"/>
        <rFont val="Arial"/>
        <family val="2"/>
      </rPr>
      <t>(</t>
    </r>
    <r>
      <rPr>
        <i/>
        <u/>
        <sz val="10"/>
        <color indexed="23"/>
        <rFont val="Arial"/>
        <family val="2"/>
      </rPr>
      <t>Rationale</t>
    </r>
    <r>
      <rPr>
        <i/>
        <sz val="10"/>
        <color indexed="23"/>
        <rFont val="Arial"/>
        <family val="2"/>
      </rPr>
      <t>:  ISO 26262-6 chapter 9 e) and 1d Table11 "Lessons learned/expert judgement")</t>
    </r>
  </si>
  <si>
    <r>
      <t xml:space="preserve">Are out of bounds access (array, pointer) tested?
</t>
    </r>
    <r>
      <rPr>
        <i/>
        <sz val="10"/>
        <color indexed="23"/>
        <rFont val="Arial"/>
        <family val="2"/>
      </rPr>
      <t>(</t>
    </r>
    <r>
      <rPr>
        <i/>
        <u/>
        <sz val="10"/>
        <color indexed="23"/>
        <rFont val="Arial"/>
        <family val="2"/>
      </rPr>
      <t>Rationale</t>
    </r>
    <r>
      <rPr>
        <i/>
        <sz val="10"/>
        <color indexed="23"/>
        <rFont val="Arial"/>
        <family val="2"/>
      </rPr>
      <t>:  ISO 26262-6 chapter 9 e) and 1c Table11 "Analysis of boundary values" 
1d Table11 "Lessons learned/expert judgement")</t>
    </r>
  </si>
  <si>
    <r>
      <t xml:space="preserve">Is an alternate escape mechanism other than the watchdog timer reset tested for all loops waiting an event?
</t>
    </r>
    <r>
      <rPr>
        <i/>
        <sz val="10"/>
        <rFont val="Arial"/>
        <family val="2"/>
      </rPr>
      <t>(at AAU level "in product environnement, on target board")</t>
    </r>
    <r>
      <rPr>
        <sz val="10"/>
        <rFont val="Arial"/>
        <family val="2"/>
      </rPr>
      <t xml:space="preserve">
</t>
    </r>
    <r>
      <rPr>
        <i/>
        <sz val="10"/>
        <color indexed="23"/>
        <rFont val="Arial"/>
        <family val="2"/>
      </rPr>
      <t>(</t>
    </r>
    <r>
      <rPr>
        <i/>
        <u/>
        <sz val="10"/>
        <color indexed="23"/>
        <rFont val="Arial"/>
        <family val="2"/>
      </rPr>
      <t>Rationale</t>
    </r>
    <r>
      <rPr>
        <i/>
        <sz val="10"/>
        <color indexed="23"/>
        <rFont val="Arial"/>
        <family val="2"/>
      </rPr>
      <t>:  ISO 26262-6 chapter 9 e) and 1d Table11 "Lessons learned/expert judgement")</t>
    </r>
  </si>
  <si>
    <r>
      <t xml:space="preserve">Are the structural coverage targets respected?
</t>
    </r>
    <r>
      <rPr>
        <i/>
        <sz val="10"/>
        <color indexed="23"/>
        <rFont val="Arial"/>
        <family val="2"/>
      </rPr>
      <t>(</t>
    </r>
    <r>
      <rPr>
        <i/>
        <u/>
        <sz val="10"/>
        <color indexed="23"/>
        <rFont val="Arial"/>
        <family val="2"/>
      </rPr>
      <t>Rationale</t>
    </r>
    <r>
      <rPr>
        <i/>
        <sz val="10"/>
        <color indexed="23"/>
        <rFont val="Arial"/>
        <family val="2"/>
      </rPr>
      <t>:  ISO 26262-6 Table12:
ASIL A, B : Statement Coverage
ASIL B, C ,D : Branch Coverage
ASIL D : MC/DC (Modified Condition/Decision Coverage))</t>
    </r>
  </si>
  <si>
    <r>
      <t xml:space="preserve">Are all applicable SW Architecture specifications (mentioned in the test header) covered 100% by the test case?
</t>
    </r>
    <r>
      <rPr>
        <sz val="10"/>
        <color indexed="23"/>
        <rFont val="Arial"/>
        <family val="2"/>
      </rPr>
      <t>(Rationale:  A-SPICE PAM v2.5, ENG.7 Software Integration, BP7;
ISO 26262-6, 10.4.3 a); )</t>
    </r>
  </si>
  <si>
    <r>
      <t xml:space="preserve">For each test, is traceability with the SW Architecture specification(s)  correctly established?
</t>
    </r>
    <r>
      <rPr>
        <sz val="10"/>
        <color indexed="23"/>
        <rFont val="Arial"/>
        <family val="2"/>
      </rPr>
      <t>(Rationale:  A-SPICE PAM v2.5, ENG.7 Software Integration, BP7;
ISO 26262-6, 10.4.3 a); )</t>
    </r>
  </si>
  <si>
    <r>
      <t xml:space="preserve">Are the initial conditions for testing correctly defined ? 
</t>
    </r>
    <r>
      <rPr>
        <sz val="10"/>
        <color indexed="23"/>
        <rFont val="Arial"/>
        <family val="2"/>
      </rPr>
      <t>( Rationale: A-SPICE ENG.7 Software Integration, BP3, GP 2.2.3, GP 2.2.1; 
SW04TEM001_Software_Integration_Test_Specification_Report.xlt)</t>
    </r>
  </si>
  <si>
    <r>
      <t xml:space="preserve">For each test, is the purpose clearly stated ?
</t>
    </r>
    <r>
      <rPr>
        <sz val="10"/>
        <color indexed="23"/>
        <rFont val="Arial"/>
        <family val="2"/>
      </rPr>
      <t>( Rationale: A-SPICE ENG.7 Software Integration, BP3, GP 2.2.3, GP 2.2.1; 
SW04TEM001_Software_Integration_Test_Specification_Report.xlt)</t>
    </r>
  </si>
  <si>
    <r>
      <t xml:space="preserve">For each test, are all test steps aligned with the test purpose?
</t>
    </r>
    <r>
      <rPr>
        <sz val="10"/>
        <color indexed="23"/>
        <rFont val="Arial"/>
        <family val="2"/>
      </rPr>
      <t>( Rationale: A-SPICE ENG.7 Software Integration, BP3, GP 2.2.3, GP 2.2.1; 
SW04TEM001_Software_Integration_Test_Specification_Report.xlt)</t>
    </r>
  </si>
  <si>
    <r>
      <t xml:space="preserve">Is the maximum execution time of functions  called in critical tasks or interrupts tested  and compliant with the SW architecture document?
</t>
    </r>
    <r>
      <rPr>
        <sz val="10"/>
        <color indexed="23"/>
        <rFont val="Arial"/>
        <family val="2"/>
      </rPr>
      <t>(Rationale:  ISO 26262-6, 10.4.3 Table 13 — Methods for software integration testing 1d; )</t>
    </r>
  </si>
  <si>
    <r>
      <t xml:space="preserve">Is the maximum execution time of functions called during initialization (before nominal OS execution) tested?
</t>
    </r>
    <r>
      <rPr>
        <sz val="10"/>
        <color indexed="23"/>
        <rFont val="Arial"/>
        <family val="2"/>
      </rPr>
      <t>(Rationale:  ISO 26262-6, 10.4.3 Table 13 — Methods for software integration testing 1d; )</t>
    </r>
  </si>
  <si>
    <r>
      <t xml:space="preserve">Is the minimum stabilization time required in HSIS tested by unit test cases?
(at AAU level "in product environnement, on target board")
</t>
    </r>
    <r>
      <rPr>
        <sz val="10"/>
        <color indexed="55"/>
        <rFont val="Arial"/>
        <family val="2"/>
      </rPr>
      <t>(Rationale:  ISO 26262-6 chapter 9 b))</t>
    </r>
  </si>
  <si>
    <t>3.  Work-Product Follow-up Overview</t>
  </si>
  <si>
    <t>The MBD check list added and the priority about action added
Following the Gap-analysis the column priority has been added
Following the ISO 26262 the column type of review has been added
Integration tests  plan has been separated from the SDP</t>
  </si>
  <si>
    <t>Review Type</t>
  </si>
  <si>
    <t>Are the name in the distribution list consistent with the PCIM ?</t>
  </si>
  <si>
    <t>Are the name in the distribution list consistent with the project team ?</t>
  </si>
  <si>
    <t>Are there proofs that all mandatory reviewers have made the review ? (Is the PRWB filled in by all reviewers?)</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</si>
  <si>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</si>
  <si>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</si>
  <si>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All items in dark blue are automatically filled in by PLM. If PLM is not used, these fields have to be filled in manually.</t>
  </si>
  <si>
    <t>Cells automatically filled in by formula or VBA macro (please enable VBA macros)</t>
  </si>
  <si>
    <t>Are the names of author, reviewer and approver correctly filled in as defined in the PCIM and is revision history up to date?
(Rationale: A-SPICE GP 2.2.3, GP 2.2.1;  
SW04TEM000_Software_Integration_Test_Plan.dotx)</t>
  </si>
  <si>
    <t>Are there proofs that all mandatory reviewers have made the review ? (Is the MBD PRWB sheet filled in by all reviewers ?)</t>
  </si>
  <si>
    <t>Is the COTS tab filled in according to M1 ?</t>
  </si>
  <si>
    <t>Is the document based on the good template ? The minimum is to use the Word/Excel/PowerPoint template</t>
  </si>
  <si>
    <t>Readability : is this document easy to read, easy to understand ?</t>
  </si>
  <si>
    <t>Usability : are the concept inside this document usable and usefull ?</t>
  </si>
  <si>
    <t>Interface : are the interfaces between this document and processes consistent</t>
  </si>
  <si>
    <t>Consistency : is this document consistent with other documents ? Scope and interfaces are clear ?</t>
  </si>
  <si>
    <t>Configuration management rules : are the naming convention respected ?</t>
  </si>
  <si>
    <t>3. Clean up the process</t>
  </si>
  <si>
    <t>Are the hyperlinks working (no dead links) ?</t>
  </si>
  <si>
    <t>Are all documents hyperlinks linked with the PCI ?</t>
  </si>
  <si>
    <t>Are the NA documents removed in accordance with official PCI ?
  =&gt; If a part of the document is now NA, the content must be discussed with the he process owner</t>
  </si>
  <si>
    <t>Are all accronyms updated with the official accronyms list in Sharepoint ?</t>
  </si>
  <si>
    <t>Short term scope</t>
  </si>
  <si>
    <t>Full scope</t>
  </si>
  <si>
    <t>Version : is the version of the document identified and uptodate ?</t>
  </si>
  <si>
    <t>3.1.1</t>
  </si>
  <si>
    <t>3.1.2</t>
  </si>
  <si>
    <t>3.1.3</t>
  </si>
  <si>
    <t>3.2.1</t>
  </si>
  <si>
    <t>Process assets Check-List</t>
  </si>
  <si>
    <t>CMP checklist</t>
  </si>
  <si>
    <t>Process assets checklist</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</si>
  <si>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</si>
  <si>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</si>
  <si>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</si>
  <si>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</si>
  <si>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</si>
  <si>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</si>
  <si>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</si>
  <si>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</si>
  <si>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</si>
  <si>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</si>
  <si>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</si>
  <si>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</si>
  <si>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</si>
  <si>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</si>
  <si>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</si>
  <si>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</si>
  <si>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</si>
  <si>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</si>
  <si>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</si>
  <si>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</si>
  <si>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</si>
  <si>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Content</t>
  </si>
  <si>
    <t>&lt;Please describe this sheet&gt;</t>
  </si>
  <si>
    <t>1.2. Revision History *</t>
  </si>
  <si>
    <t>Author(s)</t>
  </si>
  <si>
    <t>Description/Comment</t>
  </si>
  <si>
    <t>Title: Name</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</si>
  <si>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</si>
  <si>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</si>
  <si>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</si>
  <si>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</si>
  <si>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</si>
  <si>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</si>
  <si>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</si>
  <si>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</si>
  <si>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</si>
  <si>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</si>
  <si>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</si>
  <si>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</si>
  <si>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&lt;Put here all information which can help the user to use and understand how to use this file&gt;</t>
  </si>
  <si>
    <t>3. Parameters / database</t>
  </si>
  <si>
    <t>&lt;If you have some generic parameters / database, please add them here&gt;</t>
  </si>
  <si>
    <t>AEF 1007 - Peer Review Workbook.xlsm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</si>
</sst>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C]d\-mmm\-yyyy;@"/>
    <numFmt numFmtId="166" formatCode="[$-409]d\-mmm\-yyyy;@"/>
  </numFmts>
  <fonts count="82" x14ac:knownFonts="1">
    <font>
      <sz val="10"/>
      <name val="Arial"/>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8"/>
      <name val="Comic Sans MS"/>
      <family val="4"/>
    </font>
    <font>
      <sz val="12"/>
      <name val="Comic Sans MS"/>
      <family val="4"/>
    </font>
    <font>
      <b/>
      <i/>
      <sz val="14"/>
      <name val="Arial"/>
      <family val="2"/>
    </font>
    <font>
      <b/>
      <sz val="18"/>
      <name val="Arial"/>
      <family val="2"/>
    </font>
    <font>
      <b/>
      <sz val="9"/>
      <name val="Arial"/>
      <family val="2"/>
    </font>
    <font>
      <sz val="9"/>
      <name val="Arial"/>
      <family val="2"/>
    </font>
    <font>
      <b/>
      <sz val="11"/>
      <name val="Arial"/>
      <family val="2"/>
    </font>
    <font>
      <i/>
      <sz val="9"/>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63"/>
      <name val="Arial"/>
      <family val="2"/>
    </font>
    <font>
      <b/>
      <sz val="10"/>
      <color indexed="9"/>
      <name val="Arial"/>
      <family val="2"/>
    </font>
    <font>
      <sz val="10"/>
      <color indexed="23"/>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u/>
      <sz val="9"/>
      <color indexed="81"/>
      <name val="Tahoma"/>
      <family val="2"/>
    </font>
    <font>
      <sz val="11"/>
      <name val="Arial"/>
      <family val="2"/>
    </font>
    <font>
      <b/>
      <i/>
      <u/>
      <sz val="9"/>
      <name val="Arial"/>
      <family val="2"/>
    </font>
    <font>
      <i/>
      <u/>
      <sz val="9"/>
      <name val="Arial"/>
      <family val="2"/>
    </font>
    <font>
      <b/>
      <sz val="8"/>
      <color indexed="81"/>
      <name val="Tahoma"/>
      <family val="2"/>
      <charset val="238"/>
    </font>
    <font>
      <sz val="8"/>
      <color indexed="81"/>
      <name val="Tahoma"/>
      <family val="2"/>
      <charset val="238"/>
    </font>
    <font>
      <sz val="9"/>
      <color indexed="23"/>
      <name val="Arial"/>
      <family val="2"/>
    </font>
    <font>
      <sz val="9"/>
      <color indexed="55"/>
      <name val="Arial"/>
      <family val="2"/>
    </font>
    <font>
      <sz val="10"/>
      <name val="Arial"/>
      <family val="2"/>
      <charset val="238"/>
    </font>
    <font>
      <b/>
      <sz val="16"/>
      <color indexed="81"/>
      <name val="Tahoma"/>
      <family val="2"/>
    </font>
    <font>
      <b/>
      <sz val="16"/>
      <color indexed="10"/>
      <name val="Tahoma"/>
      <family val="2"/>
    </font>
    <font>
      <sz val="10"/>
      <color indexed="55"/>
      <name val="Arial"/>
      <family val="2"/>
    </font>
    <font>
      <sz val="10"/>
      <color indexed="10"/>
      <name val="Arial"/>
      <family val="2"/>
    </font>
    <font>
      <i/>
      <sz val="10"/>
      <color indexed="23"/>
      <name val="Arial"/>
      <family val="2"/>
    </font>
    <font>
      <i/>
      <u/>
      <sz val="10"/>
      <color indexed="23"/>
      <name val="Arial"/>
      <family val="2"/>
    </font>
    <font>
      <i/>
      <sz val="10"/>
      <name val="Arial"/>
      <family val="2"/>
    </font>
    <font>
      <u/>
      <sz val="10"/>
      <color indexed="3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u/>
      <sz val="11"/>
      <color theme="10"/>
      <name val="Arial"/>
      <family val="2"/>
    </font>
    <font>
      <b/>
      <sz val="12"/>
      <name val="Calibri"/>
      <family val="2"/>
      <scheme val="minor"/>
    </font>
    <font>
      <sz val="10"/>
      <color theme="1"/>
      <name val="Arial"/>
      <family val="2"/>
    </font>
    <font>
      <sz val="10"/>
      <color rgb="FF000000"/>
      <name val="Arial"/>
      <family val="2"/>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s>
  <fills count="26">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indexed="43"/>
        <bgColor indexed="64"/>
      </patternFill>
    </fill>
    <fill>
      <patternFill patternType="solid">
        <fgColor rgb="FFF2F2F2"/>
      </patternFill>
    </fill>
    <fill>
      <patternFill patternType="solid">
        <fgColor rgb="FFFFFF99"/>
        <bgColor indexed="64"/>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000080"/>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ck">
        <color indexed="64"/>
      </top>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diagonal/>
    </border>
    <border>
      <left style="thick">
        <color indexed="64"/>
      </left>
      <right style="medium">
        <color indexed="64"/>
      </right>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ck">
        <color indexed="64"/>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ck">
        <color indexed="64"/>
      </left>
      <right/>
      <top style="thick">
        <color indexed="64"/>
      </top>
      <bottom style="thick">
        <color indexed="64"/>
      </bottom>
      <diagonal/>
    </border>
    <border>
      <left style="thick">
        <color indexed="64"/>
      </left>
      <right/>
      <top style="thin">
        <color indexed="64"/>
      </top>
      <bottom style="thin">
        <color indexed="64"/>
      </bottom>
      <diagonal/>
    </border>
    <border>
      <left style="thick">
        <color indexed="64"/>
      </left>
      <right/>
      <top/>
      <bottom style="thin">
        <color indexed="64"/>
      </bottom>
      <diagonal/>
    </border>
    <border>
      <left style="thin">
        <color indexed="64"/>
      </left>
      <right style="thin">
        <color indexed="64"/>
      </right>
      <top/>
      <bottom style="thick">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ck">
        <color indexed="64"/>
      </right>
      <top style="thick">
        <color indexed="64"/>
      </top>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style="medium">
        <color indexed="64"/>
      </right>
      <top style="thin">
        <color theme="4" tint="0.39997558519241921"/>
      </top>
      <bottom style="thin">
        <color theme="4" tint="0.39997558519241921"/>
      </bottom>
      <diagonal/>
    </border>
    <border>
      <left style="thin">
        <color indexed="64"/>
      </left>
      <right style="thin">
        <color indexed="64"/>
      </right>
      <top style="thin">
        <color theme="4" tint="0.39997558519241921"/>
      </top>
      <bottom style="thin">
        <color indexed="64"/>
      </bottom>
      <diagonal/>
    </border>
    <border>
      <left style="medium">
        <color indexed="64"/>
      </left>
      <right style="medium">
        <color indexed="64"/>
      </right>
      <top style="thin">
        <color theme="4" tint="0.39997558519241921"/>
      </top>
      <bottom style="thin">
        <color theme="4" tint="0.39997558519241921"/>
      </bottom>
      <diagonal/>
    </border>
    <border>
      <left/>
      <right/>
      <top/>
      <bottom style="thin">
        <color rgb="FF000080"/>
      </bottom>
      <diagonal/>
    </border>
    <border>
      <left/>
      <right/>
      <top style="thin">
        <color indexed="64"/>
      </top>
      <bottom style="thin">
        <color indexed="64"/>
      </bottom>
      <diagonal/>
    </border>
  </borders>
  <cellStyleXfs count="11">
    <xf numFmtId="0" fontId="0" fillId="0" borderId="0"/>
    <xf numFmtId="0" fontId="53" fillId="7" borderId="50" applyNumberFormat="0" applyAlignment="0" applyProtection="0"/>
    <xf numFmtId="0" fontId="54" fillId="0" borderId="0" applyNumberFormat="0" applyFill="0" applyBorder="0" applyAlignment="0" applyProtection="0"/>
    <xf numFmtId="0" fontId="2" fillId="0" borderId="0"/>
    <xf numFmtId="0" fontId="43" fillId="0" borderId="0"/>
    <xf numFmtId="0" fontId="52" fillId="0" borderId="0"/>
    <xf numFmtId="0" fontId="2" fillId="0" borderId="0"/>
    <xf numFmtId="0" fontId="9" fillId="0" borderId="0"/>
    <xf numFmtId="0" fontId="2" fillId="0" borderId="0"/>
    <xf numFmtId="0" fontId="56" fillId="7" borderId="51" applyNumberFormat="0" applyAlignment="0" applyProtection="0"/>
    <xf numFmtId="0" fontId="1" fillId="0" borderId="0"/>
  </cellStyleXfs>
  <cellXfs count="441">
    <xf numFmtId="0" fontId="0" fillId="0" borderId="0" xfId="0"/>
    <xf numFmtId="0" fontId="9" fillId="2" borderId="0" xfId="7" applyFill="1" applyBorder="1" applyAlignment="1">
      <alignment vertical="distributed"/>
    </xf>
    <xf numFmtId="0" fontId="3" fillId="3" borderId="1" xfId="7" applyFont="1" applyFill="1" applyBorder="1" applyAlignment="1">
      <alignment horizontal="center" vertical="distributed" wrapText="1"/>
    </xf>
    <xf numFmtId="165" fontId="3" fillId="3" borderId="1" xfId="7" applyNumberFormat="1" applyFont="1" applyFill="1" applyBorder="1" applyAlignment="1">
      <alignment horizontal="center" vertical="distributed" wrapText="1"/>
    </xf>
    <xf numFmtId="0" fontId="8" fillId="2" borderId="1" xfId="7" applyFont="1" applyFill="1" applyBorder="1" applyAlignment="1">
      <alignment horizontal="center" vertical="distributed" wrapText="1"/>
    </xf>
    <xf numFmtId="0" fontId="8" fillId="2" borderId="1" xfId="7" applyFont="1" applyFill="1" applyBorder="1" applyAlignment="1">
      <alignment horizontal="left" vertical="distributed" wrapText="1"/>
    </xf>
    <xf numFmtId="165" fontId="8" fillId="2" borderId="1" xfId="7" applyNumberFormat="1" applyFont="1" applyFill="1" applyBorder="1" applyAlignment="1">
      <alignment horizontal="center" vertical="distributed" wrapText="1"/>
    </xf>
    <xf numFmtId="0" fontId="8" fillId="2" borderId="0" xfId="7" applyFont="1" applyFill="1" applyBorder="1" applyAlignment="1">
      <alignment horizontal="center" vertical="distributed" wrapText="1"/>
    </xf>
    <xf numFmtId="0" fontId="9" fillId="2" borderId="0" xfId="7" applyFont="1" applyFill="1" applyBorder="1" applyAlignment="1">
      <alignment vertical="distributed"/>
    </xf>
    <xf numFmtId="0" fontId="8" fillId="2" borderId="0" xfId="7" applyFont="1" applyFill="1" applyBorder="1" applyAlignment="1">
      <alignment horizontal="left" vertical="distributed" wrapText="1"/>
    </xf>
    <xf numFmtId="165" fontId="8" fillId="2" borderId="0" xfId="7" applyNumberFormat="1" applyFont="1" applyFill="1" applyBorder="1" applyAlignment="1">
      <alignment horizontal="center" vertical="distributed" wrapText="1"/>
    </xf>
    <xf numFmtId="0" fontId="9" fillId="2" borderId="0" xfId="7" applyFill="1" applyBorder="1" applyAlignment="1">
      <alignment horizontal="left" vertical="distributed"/>
    </xf>
    <xf numFmtId="165" fontId="9" fillId="2" borderId="0" xfId="7" applyNumberFormat="1" applyFill="1" applyBorder="1" applyAlignment="1">
      <alignment vertical="distributed"/>
    </xf>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 fillId="3" borderId="12" xfId="0" applyFont="1" applyFill="1" applyBorder="1" applyAlignment="1">
      <alignment horizontal="center" wrapText="1"/>
    </xf>
    <xf numFmtId="0" fontId="0" fillId="2" borderId="0" xfId="0" applyFill="1" applyAlignment="1">
      <alignment horizontal="center"/>
    </xf>
    <xf numFmtId="0" fontId="3"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3" fillId="0" borderId="0" xfId="0" applyFont="1" applyFill="1" applyAlignment="1">
      <alignment vertical="center"/>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5" borderId="0" xfId="0" applyFill="1"/>
    <xf numFmtId="0" fontId="3" fillId="5" borderId="0" xfId="0" applyFont="1" applyFill="1" applyAlignment="1">
      <alignment horizontal="center"/>
    </xf>
    <xf numFmtId="0" fontId="13" fillId="6" borderId="13" xfId="0" applyFont="1" applyFill="1" applyBorder="1" applyAlignment="1">
      <alignment horizontal="center" wrapText="1"/>
    </xf>
    <xf numFmtId="0" fontId="3" fillId="6" borderId="14" xfId="0" applyFont="1" applyFill="1" applyBorder="1" applyAlignment="1">
      <alignment horizontal="center" textRotation="45"/>
    </xf>
    <xf numFmtId="0" fontId="5" fillId="6" borderId="0" xfId="0" applyFont="1" applyFill="1" applyBorder="1" applyAlignment="1">
      <alignment horizontal="center" wrapText="1"/>
    </xf>
    <xf numFmtId="0" fontId="15" fillId="5" borderId="1" xfId="0" applyFont="1" applyFill="1" applyBorder="1" applyAlignment="1">
      <alignment vertical="top" wrapText="1"/>
    </xf>
    <xf numFmtId="0" fontId="5" fillId="5" borderId="0" xfId="0" applyFont="1" applyFill="1" applyBorder="1" applyAlignment="1">
      <alignment horizontal="center" wrapText="1"/>
    </xf>
    <xf numFmtId="0" fontId="13" fillId="6" borderId="13" xfId="0" applyFont="1" applyFill="1" applyBorder="1" applyAlignment="1">
      <alignment horizontal="center" vertical="center" wrapText="1"/>
    </xf>
    <xf numFmtId="0" fontId="14" fillId="2" borderId="1" xfId="0" applyFont="1" applyFill="1" applyBorder="1" applyAlignment="1">
      <alignment vertical="top"/>
    </xf>
    <xf numFmtId="0" fontId="13" fillId="6" borderId="15" xfId="0" applyFont="1" applyFill="1" applyBorder="1" applyAlignment="1">
      <alignment horizontal="center" wrapText="1"/>
    </xf>
    <xf numFmtId="0" fontId="16" fillId="6" borderId="1" xfId="0" applyFont="1" applyFill="1" applyBorder="1" applyAlignment="1">
      <alignment horizontal="center" wrapText="1"/>
    </xf>
    <xf numFmtId="0" fontId="3" fillId="6" borderId="0" xfId="0" applyFont="1" applyFill="1" applyBorder="1" applyAlignment="1">
      <alignment horizontal="center" textRotation="45"/>
    </xf>
    <xf numFmtId="0" fontId="15" fillId="0" borderId="1" xfId="0" applyFont="1" applyFill="1" applyBorder="1" applyAlignment="1">
      <alignment vertical="top" wrapText="1"/>
    </xf>
    <xf numFmtId="0" fontId="0" fillId="5" borderId="1" xfId="0" applyFill="1" applyBorder="1" applyAlignment="1">
      <alignment wrapText="1"/>
    </xf>
    <xf numFmtId="0" fontId="8" fillId="5" borderId="1" xfId="8" applyFont="1" applyFill="1" applyBorder="1" applyAlignment="1" applyProtection="1">
      <alignment horizontal="left" vertical="center" wrapText="1" shrinkToFit="1"/>
      <protection locked="0"/>
    </xf>
    <xf numFmtId="0" fontId="0" fillId="5" borderId="1" xfId="0" applyFill="1" applyBorder="1"/>
    <xf numFmtId="0" fontId="8" fillId="0" borderId="1" xfId="0" applyFont="1" applyFill="1" applyBorder="1" applyAlignment="1">
      <alignment vertical="top" wrapText="1"/>
    </xf>
    <xf numFmtId="0" fontId="0" fillId="5" borderId="0" xfId="0" applyFill="1" applyAlignment="1">
      <alignment wrapText="1"/>
    </xf>
    <xf numFmtId="0" fontId="13" fillId="6" borderId="15" xfId="0" applyFont="1" applyFill="1" applyBorder="1" applyAlignment="1">
      <alignment horizontal="center"/>
    </xf>
    <xf numFmtId="0" fontId="13" fillId="6" borderId="1" xfId="0" applyFont="1" applyFill="1" applyBorder="1" applyAlignment="1">
      <alignment horizontal="center"/>
    </xf>
    <xf numFmtId="0" fontId="15" fillId="5" borderId="1" xfId="0" applyFont="1" applyFill="1" applyBorder="1" applyAlignment="1">
      <alignment vertical="top"/>
    </xf>
    <xf numFmtId="0" fontId="15" fillId="2" borderId="1" xfId="0" applyFont="1" applyFill="1" applyBorder="1" applyAlignment="1">
      <alignment vertical="top"/>
    </xf>
    <xf numFmtId="0" fontId="15" fillId="5" borderId="16" xfId="0" applyFont="1" applyFill="1" applyBorder="1" applyAlignment="1">
      <alignment vertical="top"/>
    </xf>
    <xf numFmtId="0" fontId="15" fillId="0" borderId="10" xfId="0" applyFont="1" applyBorder="1" applyAlignment="1">
      <alignment vertical="top" wrapText="1"/>
    </xf>
    <xf numFmtId="0" fontId="0" fillId="2" borderId="0" xfId="0" applyFill="1" applyBorder="1" applyAlignment="1">
      <alignment wrapText="1"/>
    </xf>
    <xf numFmtId="0" fontId="0" fillId="0" borderId="1" xfId="0" applyFill="1" applyBorder="1" applyAlignment="1">
      <alignment horizontal="center" vertical="center" wrapText="1"/>
    </xf>
    <xf numFmtId="0" fontId="8" fillId="2" borderId="12" xfId="7" applyFont="1" applyFill="1" applyBorder="1" applyAlignment="1">
      <alignment horizontal="center" vertical="distributed" wrapText="1"/>
    </xf>
    <xf numFmtId="0" fontId="8" fillId="2" borderId="12" xfId="7" applyFont="1" applyFill="1" applyBorder="1" applyAlignment="1">
      <alignment horizontal="left" vertical="distributed" wrapText="1"/>
    </xf>
    <xf numFmtId="0" fontId="8" fillId="2" borderId="18" xfId="7" applyFont="1" applyFill="1" applyBorder="1" applyAlignment="1">
      <alignment horizontal="center" vertical="distributed" wrapText="1"/>
    </xf>
    <xf numFmtId="0" fontId="14" fillId="8" borderId="1" xfId="0" applyFont="1" applyFill="1" applyBorder="1" applyAlignment="1">
      <alignment vertical="top"/>
    </xf>
    <xf numFmtId="0" fontId="14" fillId="8" borderId="1" xfId="0" applyFont="1" applyFill="1" applyBorder="1" applyAlignment="1">
      <alignment vertical="top" wrapText="1"/>
    </xf>
    <xf numFmtId="0" fontId="5" fillId="8" borderId="0" xfId="0" applyFont="1" applyFill="1" applyBorder="1" applyAlignment="1">
      <alignment horizontal="center" wrapText="1"/>
    </xf>
    <xf numFmtId="0" fontId="3" fillId="8" borderId="0" xfId="0" applyFont="1" applyFill="1" applyAlignment="1">
      <alignment horizontal="center"/>
    </xf>
    <xf numFmtId="0" fontId="15" fillId="8" borderId="1" xfId="0" applyFont="1" applyFill="1" applyBorder="1" applyAlignment="1">
      <alignment vertical="top" wrapText="1"/>
    </xf>
    <xf numFmtId="0" fontId="16" fillId="8" borderId="1" xfId="0" applyFont="1" applyFill="1" applyBorder="1" applyAlignment="1">
      <alignment horizontal="center" wrapText="1"/>
    </xf>
    <xf numFmtId="0" fontId="14" fillId="8" borderId="19" xfId="0" applyFont="1" applyFill="1" applyBorder="1" applyAlignment="1">
      <alignment vertical="top"/>
    </xf>
    <xf numFmtId="0" fontId="14" fillId="8" borderId="17" xfId="0" applyFont="1" applyFill="1" applyBorder="1" applyAlignment="1">
      <alignment vertical="top" wrapText="1"/>
    </xf>
    <xf numFmtId="0" fontId="13" fillId="8" borderId="1" xfId="0" applyFont="1" applyFill="1" applyBorder="1" applyAlignment="1">
      <alignment horizontal="center"/>
    </xf>
    <xf numFmtId="0" fontId="13" fillId="8" borderId="1" xfId="0" applyFont="1" applyFill="1" applyBorder="1" applyAlignment="1">
      <alignment horizontal="center" wrapText="1"/>
    </xf>
    <xf numFmtId="0" fontId="3" fillId="8" borderId="0" xfId="0" applyFont="1" applyFill="1" applyBorder="1" applyAlignment="1">
      <alignment horizontal="center" textRotation="45"/>
    </xf>
    <xf numFmtId="0" fontId="0" fillId="8" borderId="0" xfId="0" applyFill="1"/>
    <xf numFmtId="0" fontId="16" fillId="8" borderId="0" xfId="0" applyFont="1" applyFill="1" applyBorder="1" applyAlignment="1">
      <alignment horizontal="center" wrapText="1"/>
    </xf>
    <xf numFmtId="0" fontId="0" fillId="5" borderId="0" xfId="0" applyFill="1" applyAlignment="1">
      <alignment vertical="center"/>
    </xf>
    <xf numFmtId="0" fontId="13" fillId="8" borderId="1" xfId="0" applyFont="1" applyFill="1" applyBorder="1" applyAlignment="1">
      <alignment horizontal="center" vertical="center" wrapText="1"/>
    </xf>
    <xf numFmtId="0" fontId="0" fillId="5" borderId="0" xfId="0" applyFill="1" applyAlignment="1">
      <alignment horizontal="center" vertical="center"/>
    </xf>
    <xf numFmtId="0" fontId="15" fillId="5"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3" fillId="6" borderId="14" xfId="0" applyFont="1" applyFill="1" applyBorder="1" applyAlignment="1">
      <alignment horizontal="center" vertical="center" textRotation="45"/>
    </xf>
    <xf numFmtId="0" fontId="16" fillId="8" borderId="1" xfId="0" applyFont="1" applyFill="1" applyBorder="1" applyAlignment="1">
      <alignment horizontal="center" vertical="center" wrapText="1"/>
    </xf>
    <xf numFmtId="0" fontId="3" fillId="8" borderId="0" xfId="0" applyFont="1" applyFill="1" applyBorder="1" applyAlignment="1">
      <alignment horizontal="center" vertical="center" textRotation="45"/>
    </xf>
    <xf numFmtId="0" fontId="5" fillId="8" borderId="0" xfId="0" applyFont="1" applyFill="1" applyBorder="1" applyAlignment="1">
      <alignment horizontal="center" vertical="center" wrapText="1"/>
    </xf>
    <xf numFmtId="0" fontId="3" fillId="8" borderId="0" xfId="0" applyFont="1" applyFill="1" applyAlignment="1">
      <alignment horizontal="center" vertical="center"/>
    </xf>
    <xf numFmtId="0" fontId="2" fillId="5" borderId="1" xfId="0" applyFont="1" applyFill="1" applyBorder="1" applyAlignment="1">
      <alignment vertical="center" wrapText="1"/>
    </xf>
    <xf numFmtId="0" fontId="3" fillId="5" borderId="0" xfId="0" applyFont="1" applyFill="1" applyAlignment="1">
      <alignment horizontal="center" vertical="center"/>
    </xf>
    <xf numFmtId="0" fontId="15" fillId="8" borderId="1" xfId="0" applyFont="1" applyFill="1" applyBorder="1" applyAlignment="1">
      <alignment vertical="center" wrapText="1"/>
    </xf>
    <xf numFmtId="0" fontId="0" fillId="5" borderId="1" xfId="0" applyFill="1" applyBorder="1" applyAlignment="1">
      <alignment vertical="center" wrapText="1"/>
    </xf>
    <xf numFmtId="0" fontId="14" fillId="8" borderId="1" xfId="0" applyFont="1" applyFill="1" applyBorder="1" applyAlignment="1">
      <alignment vertical="center" wrapText="1"/>
    </xf>
    <xf numFmtId="0" fontId="0" fillId="5" borderId="1" xfId="0" applyFill="1" applyBorder="1" applyAlignment="1">
      <alignment vertical="center"/>
    </xf>
    <xf numFmtId="0" fontId="5" fillId="5" borderId="0" xfId="0" applyFont="1" applyFill="1" applyBorder="1" applyAlignment="1">
      <alignment horizontal="center" vertical="center" wrapText="1"/>
    </xf>
    <xf numFmtId="0" fontId="2" fillId="0" borderId="1" xfId="0" applyFont="1" applyBorder="1" applyAlignment="1">
      <alignment vertical="center" wrapText="1"/>
    </xf>
    <xf numFmtId="0" fontId="2" fillId="3" borderId="1" xfId="0" applyFont="1" applyFill="1" applyBorder="1" applyAlignment="1">
      <alignment horizontal="center" vertical="center" wrapText="1"/>
    </xf>
    <xf numFmtId="0" fontId="2" fillId="2" borderId="0" xfId="0" applyFont="1" applyFill="1" applyBorder="1" applyAlignment="1">
      <alignment wrapText="1"/>
    </xf>
    <xf numFmtId="0" fontId="57" fillId="9" borderId="0" xfId="0" applyFont="1" applyFill="1" applyBorder="1" applyAlignment="1">
      <alignment horizontal="center" vertical="center" wrapText="1"/>
    </xf>
    <xf numFmtId="0" fontId="3" fillId="3" borderId="12" xfId="0" applyFont="1" applyFill="1" applyBorder="1" applyAlignment="1">
      <alignment horizontal="center" vertical="center" wrapText="1"/>
    </xf>
    <xf numFmtId="0" fontId="57" fillId="0" borderId="0" xfId="0" applyFont="1" applyFill="1" applyBorder="1" applyAlignment="1">
      <alignment horizontal="center" vertical="center" wrapText="1"/>
    </xf>
    <xf numFmtId="0" fontId="57" fillId="0" borderId="0" xfId="0" applyFont="1" applyFill="1" applyAlignment="1">
      <alignment vertical="center"/>
    </xf>
    <xf numFmtId="0" fontId="57" fillId="0" borderId="0" xfId="0" applyFont="1" applyFill="1" applyBorder="1" applyAlignment="1">
      <alignment vertical="center" wrapText="1"/>
    </xf>
    <xf numFmtId="0" fontId="32" fillId="2" borderId="2" xfId="0" applyFont="1" applyFill="1" applyBorder="1"/>
    <xf numFmtId="0" fontId="2" fillId="2" borderId="0" xfId="0" applyFont="1" applyFill="1" applyAlignment="1">
      <alignment horizontal="center"/>
    </xf>
    <xf numFmtId="0" fontId="0" fillId="10" borderId="0" xfId="0" applyFill="1" applyAlignment="1">
      <alignment horizontal="center"/>
    </xf>
    <xf numFmtId="0" fontId="2" fillId="2" borderId="1" xfId="0" applyFont="1" applyFill="1" applyBorder="1" applyAlignment="1">
      <alignment horizontal="center" wrapText="1"/>
    </xf>
    <xf numFmtId="0" fontId="2" fillId="2"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0" fillId="2" borderId="5" xfId="0" applyFill="1" applyBorder="1" applyAlignment="1">
      <alignment wrapText="1"/>
    </xf>
    <xf numFmtId="0" fontId="2" fillId="2" borderId="0" xfId="0" applyFont="1" applyFill="1" applyBorder="1"/>
    <xf numFmtId="0" fontId="3" fillId="11" borderId="1" xfId="0" applyFont="1" applyFill="1" applyBorder="1" applyAlignment="1">
      <alignment horizontal="center" vertical="center" wrapText="1"/>
    </xf>
    <xf numFmtId="0" fontId="2" fillId="2" borderId="10" xfId="0" applyFont="1" applyFill="1" applyBorder="1"/>
    <xf numFmtId="0" fontId="57" fillId="9"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 fillId="10" borderId="0" xfId="0" applyFont="1" applyFill="1" applyBorder="1" applyAlignment="1">
      <alignment horizontal="center" vertical="center"/>
    </xf>
    <xf numFmtId="0" fontId="2" fillId="10" borderId="1" xfId="0" applyFont="1" applyFill="1" applyBorder="1" applyAlignment="1">
      <alignment horizontal="center" vertical="center"/>
    </xf>
    <xf numFmtId="0" fontId="3" fillId="12" borderId="1" xfId="0" applyFont="1" applyFill="1" applyBorder="1" applyAlignment="1">
      <alignment horizontal="center" vertical="center" wrapText="1"/>
    </xf>
    <xf numFmtId="0" fontId="3" fillId="13" borderId="1" xfId="0" applyFont="1" applyFill="1" applyBorder="1" applyAlignment="1">
      <alignment horizontal="center" vertical="center" wrapText="1"/>
    </xf>
    <xf numFmtId="14" fontId="3" fillId="13" borderId="1" xfId="0" applyNumberFormat="1" applyFont="1" applyFill="1" applyBorder="1" applyAlignment="1">
      <alignment horizontal="center" vertical="center" wrapText="1"/>
    </xf>
    <xf numFmtId="0" fontId="27" fillId="14"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0" fontId="3" fillId="3" borderId="52" xfId="0" applyFont="1" applyFill="1" applyBorder="1" applyAlignment="1">
      <alignment horizontal="center" vertical="center" wrapText="1"/>
    </xf>
    <xf numFmtId="0" fontId="2" fillId="0" borderId="0" xfId="0" applyFont="1" applyBorder="1" applyAlignment="1">
      <alignment wrapText="1"/>
    </xf>
    <xf numFmtId="0" fontId="0" fillId="10" borderId="1" xfId="0" applyFill="1" applyBorder="1" applyAlignment="1">
      <alignment horizontal="center" vertical="center" wrapText="1"/>
    </xf>
    <xf numFmtId="0" fontId="0" fillId="10" borderId="0" xfId="0" applyFill="1" applyAlignment="1">
      <alignment horizontal="center" vertical="center" wrapText="1"/>
    </xf>
    <xf numFmtId="0" fontId="0" fillId="10" borderId="0" xfId="0" applyFill="1" applyAlignment="1">
      <alignment horizontal="center" vertical="center"/>
    </xf>
    <xf numFmtId="0" fontId="57" fillId="10" borderId="0" xfId="0" applyFont="1" applyFill="1" applyBorder="1" applyAlignment="1">
      <alignment horizontal="center" vertical="center" wrapText="1"/>
    </xf>
    <xf numFmtId="0" fontId="57" fillId="10" borderId="0" xfId="0" applyFont="1" applyFill="1" applyAlignment="1">
      <alignment horizontal="center" vertical="center" wrapText="1"/>
    </xf>
    <xf numFmtId="0" fontId="57" fillId="10" borderId="0" xfId="0" applyFont="1" applyFill="1" applyAlignment="1">
      <alignment vertical="center"/>
    </xf>
    <xf numFmtId="0" fontId="0" fillId="10" borderId="0" xfId="0" applyFill="1" applyAlignment="1">
      <alignment vertical="center"/>
    </xf>
    <xf numFmtId="0" fontId="0" fillId="10" borderId="0" xfId="0" applyFill="1"/>
    <xf numFmtId="0" fontId="0" fillId="10" borderId="0" xfId="0" applyFill="1" applyBorder="1" applyAlignment="1">
      <alignment horizontal="center" vertical="center"/>
    </xf>
    <xf numFmtId="0" fontId="0" fillId="10" borderId="0" xfId="0" applyFill="1" applyBorder="1"/>
    <xf numFmtId="0" fontId="5" fillId="16" borderId="1" xfId="0" applyFont="1" applyFill="1" applyBorder="1" applyAlignment="1">
      <alignment horizontal="center" vertical="center" wrapText="1"/>
    </xf>
    <xf numFmtId="0" fontId="57"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5" borderId="1" xfId="0" applyNumberFormat="1" applyFill="1" applyBorder="1" applyAlignment="1">
      <alignment horizontal="center" vertical="center" wrapText="1"/>
    </xf>
    <xf numFmtId="0" fontId="8" fillId="15" borderId="1" xfId="0" applyFont="1" applyFill="1" applyBorder="1" applyAlignment="1">
      <alignment horizontal="center" vertical="center" wrapText="1"/>
    </xf>
    <xf numFmtId="0" fontId="0" fillId="0" borderId="0" xfId="0" applyFill="1" applyBorder="1" applyAlignment="1">
      <alignment horizontal="center"/>
    </xf>
    <xf numFmtId="0" fontId="2" fillId="15" borderId="1" xfId="0" applyFont="1" applyFill="1" applyBorder="1" applyAlignment="1">
      <alignment horizontal="center" vertical="center"/>
    </xf>
    <xf numFmtId="0" fontId="0" fillId="15" borderId="1" xfId="0" applyFill="1" applyBorder="1" applyAlignment="1">
      <alignment horizontal="center" vertical="center"/>
    </xf>
    <xf numFmtId="0" fontId="2" fillId="2" borderId="5" xfId="0" applyFont="1" applyFill="1" applyBorder="1" applyAlignment="1">
      <alignment wrapText="1"/>
    </xf>
    <xf numFmtId="0" fontId="2" fillId="12" borderId="0" xfId="0" applyFont="1" applyFill="1" applyBorder="1" applyAlignment="1">
      <alignment horizontal="left" vertical="center"/>
    </xf>
    <xf numFmtId="0" fontId="2" fillId="14" borderId="0" xfId="0" applyFont="1" applyFill="1" applyBorder="1" applyAlignment="1">
      <alignment horizontal="left" vertical="center"/>
    </xf>
    <xf numFmtId="0" fontId="2" fillId="17" borderId="0" xfId="0" applyFont="1" applyFill="1" applyBorder="1" applyAlignment="1">
      <alignment horizontal="left" vertical="center"/>
    </xf>
    <xf numFmtId="0" fontId="2" fillId="15" borderId="0" xfId="0" applyFont="1" applyFill="1" applyBorder="1" applyAlignment="1">
      <alignment horizontal="left" vertical="center"/>
    </xf>
    <xf numFmtId="0" fontId="2" fillId="2" borderId="1" xfId="0" applyFont="1" applyFill="1" applyBorder="1"/>
    <xf numFmtId="0" fontId="2" fillId="0" borderId="1" xfId="0" applyFont="1" applyBorder="1" applyAlignment="1">
      <alignment horizontal="center" vertical="center"/>
    </xf>
    <xf numFmtId="0" fontId="2" fillId="5" borderId="1" xfId="0" applyFont="1" applyFill="1" applyBorder="1" applyAlignment="1">
      <alignment vertical="center"/>
    </xf>
    <xf numFmtId="0" fontId="2" fillId="2" borderId="1" xfId="7" applyFont="1" applyFill="1" applyBorder="1" applyAlignment="1">
      <alignment horizontal="left" vertical="distributed" wrapText="1"/>
    </xf>
    <xf numFmtId="14" fontId="2"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53" fillId="7" borderId="52" xfId="1" applyBorder="1" applyAlignment="1">
      <alignment horizontal="center" vertical="center"/>
    </xf>
    <xf numFmtId="0" fontId="2" fillId="3" borderId="12" xfId="0" applyFont="1" applyFill="1" applyBorder="1" applyAlignment="1">
      <alignment horizontal="center" vertical="center" wrapText="1"/>
    </xf>
    <xf numFmtId="0" fontId="53" fillId="7" borderId="1" xfId="1" applyFont="1" applyBorder="1" applyAlignment="1">
      <alignment horizontal="center"/>
    </xf>
    <xf numFmtId="0" fontId="58" fillId="7" borderId="51" xfId="9" applyFont="1" applyAlignment="1">
      <alignment horizontal="center"/>
    </xf>
    <xf numFmtId="0" fontId="58" fillId="7" borderId="53" xfId="9" applyFont="1" applyBorder="1" applyAlignment="1">
      <alignment horizontal="center"/>
    </xf>
    <xf numFmtId="0" fontId="53" fillId="7" borderId="1" xfId="1" applyBorder="1" applyAlignment="1">
      <alignment horizontal="center" vertical="center"/>
    </xf>
    <xf numFmtId="0" fontId="55" fillId="7" borderId="52" xfId="1" applyFont="1" applyBorder="1" applyAlignment="1">
      <alignment horizontal="center" vertical="center"/>
    </xf>
    <xf numFmtId="0" fontId="3" fillId="3" borderId="1" xfId="0" applyFont="1" applyFill="1" applyBorder="1" applyAlignment="1">
      <alignment horizontal="center" vertical="center" wrapText="1"/>
    </xf>
    <xf numFmtId="0" fontId="2" fillId="2" borderId="1" xfId="0" applyFont="1" applyFill="1" applyBorder="1" applyAlignment="1">
      <alignment horizontal="center"/>
    </xf>
    <xf numFmtId="0" fontId="14" fillId="0" borderId="20" xfId="3" applyFont="1" applyBorder="1" applyAlignment="1">
      <alignment horizontal="center" vertical="center"/>
    </xf>
    <xf numFmtId="0" fontId="14" fillId="0" borderId="21" xfId="3" applyFont="1" applyBorder="1" applyAlignment="1">
      <alignment horizontal="center" vertical="center"/>
    </xf>
    <xf numFmtId="0" fontId="13" fillId="8" borderId="7" xfId="0" applyFont="1" applyFill="1" applyBorder="1" applyAlignment="1">
      <alignment horizontal="center" vertical="center" wrapText="1"/>
    </xf>
    <xf numFmtId="0" fontId="36" fillId="8" borderId="0" xfId="3" applyFont="1" applyFill="1"/>
    <xf numFmtId="0" fontId="16" fillId="8" borderId="22" xfId="3" applyFont="1" applyFill="1" applyBorder="1" applyAlignment="1">
      <alignment horizontal="center" vertical="center"/>
    </xf>
    <xf numFmtId="0" fontId="14" fillId="0" borderId="20" xfId="3" applyFont="1" applyFill="1" applyBorder="1" applyAlignment="1">
      <alignment horizontal="center" vertical="center"/>
    </xf>
    <xf numFmtId="0" fontId="0" fillId="0" borderId="0" xfId="0" applyFill="1"/>
    <xf numFmtId="0" fontId="2" fillId="2" borderId="1" xfId="0" applyNumberFormat="1" applyFont="1" applyFill="1" applyBorder="1"/>
    <xf numFmtId="0" fontId="5" fillId="18" borderId="22" xfId="3" applyFont="1" applyFill="1" applyBorder="1" applyAlignment="1">
      <alignment horizontal="center" vertical="center"/>
    </xf>
    <xf numFmtId="0" fontId="34" fillId="18" borderId="22" xfId="3" applyFont="1" applyFill="1" applyBorder="1" applyAlignment="1">
      <alignment vertical="center"/>
    </xf>
    <xf numFmtId="0" fontId="16" fillId="18" borderId="22" xfId="0" applyFont="1" applyFill="1" applyBorder="1" applyAlignment="1">
      <alignment horizontal="center" vertical="center" shrinkToFit="1"/>
    </xf>
    <xf numFmtId="0" fontId="15" fillId="8" borderId="0" xfId="0" applyFont="1" applyFill="1" applyAlignment="1">
      <alignment vertical="center" wrapText="1" shrinkToFit="1"/>
    </xf>
    <xf numFmtId="0" fontId="34" fillId="18" borderId="23" xfId="3" applyFont="1" applyFill="1" applyBorder="1" applyAlignment="1">
      <alignment horizontal="center" vertical="center"/>
    </xf>
    <xf numFmtId="0" fontId="16" fillId="18" borderId="23" xfId="3" applyFont="1" applyFill="1" applyBorder="1" applyAlignment="1">
      <alignment horizontal="center" vertical="center"/>
    </xf>
    <xf numFmtId="0" fontId="14" fillId="0" borderId="24" xfId="3" applyFont="1" applyBorder="1" applyAlignment="1">
      <alignment horizontal="center" vertical="center"/>
    </xf>
    <xf numFmtId="0" fontId="14" fillId="0" borderId="25" xfId="3" applyFont="1" applyFill="1" applyBorder="1" applyAlignment="1">
      <alignment horizontal="center" vertical="center"/>
    </xf>
    <xf numFmtId="0" fontId="54" fillId="8" borderId="54" xfId="2" applyFont="1" applyFill="1" applyBorder="1" applyAlignment="1">
      <alignment horizontal="center" vertical="center"/>
    </xf>
    <xf numFmtId="0" fontId="16" fillId="8" borderId="0" xfId="0" applyFont="1" applyFill="1" applyBorder="1" applyAlignment="1">
      <alignment horizontal="center" textRotation="45"/>
    </xf>
    <xf numFmtId="0" fontId="36" fillId="8" borderId="0" xfId="0" applyFont="1" applyFill="1"/>
    <xf numFmtId="0" fontId="54" fillId="8" borderId="11" xfId="2" applyFont="1" applyFill="1" applyBorder="1" applyAlignment="1">
      <alignment horizontal="center" vertical="center"/>
    </xf>
    <xf numFmtId="0" fontId="14" fillId="18" borderId="14" xfId="0" applyFont="1" applyFill="1" applyBorder="1" applyAlignment="1">
      <alignment horizontal="center" vertical="center"/>
    </xf>
    <xf numFmtId="0" fontId="17" fillId="8" borderId="26" xfId="0" applyFont="1" applyFill="1" applyBorder="1" applyAlignment="1">
      <alignment vertical="center" wrapText="1" shrinkToFit="1"/>
    </xf>
    <xf numFmtId="0" fontId="14" fillId="8" borderId="26" xfId="0" applyFont="1" applyFill="1" applyBorder="1" applyAlignment="1">
      <alignment vertical="top"/>
    </xf>
    <xf numFmtId="0" fontId="13" fillId="8" borderId="5" xfId="0" applyFont="1" applyFill="1" applyBorder="1" applyAlignment="1">
      <alignment horizontal="center" wrapText="1"/>
    </xf>
    <xf numFmtId="0" fontId="15" fillId="5" borderId="0" xfId="0" applyFont="1" applyFill="1"/>
    <xf numFmtId="0" fontId="14" fillId="6" borderId="15" xfId="0" applyFont="1" applyFill="1" applyBorder="1" applyAlignment="1">
      <alignment horizontal="center" wrapText="1"/>
    </xf>
    <xf numFmtId="0" fontId="14" fillId="8" borderId="5" xfId="0" applyFont="1" applyFill="1" applyBorder="1" applyAlignment="1">
      <alignment horizontal="center" wrapText="1"/>
    </xf>
    <xf numFmtId="0" fontId="14" fillId="0" borderId="27" xfId="3" applyFont="1" applyFill="1" applyBorder="1" applyAlignment="1">
      <alignment horizontal="center" vertical="center"/>
    </xf>
    <xf numFmtId="0" fontId="14" fillId="0" borderId="27" xfId="3" applyFont="1" applyBorder="1" applyAlignment="1">
      <alignment horizontal="center" vertical="center"/>
    </xf>
    <xf numFmtId="0" fontId="14" fillId="0" borderId="28" xfId="3" applyFont="1" applyBorder="1" applyAlignment="1">
      <alignment horizontal="center" vertical="center"/>
    </xf>
    <xf numFmtId="0" fontId="14" fillId="0" borderId="29" xfId="3" applyFont="1" applyBorder="1" applyAlignment="1">
      <alignment horizontal="center" vertical="center"/>
    </xf>
    <xf numFmtId="0" fontId="14" fillId="0" borderId="30" xfId="3" applyFont="1" applyBorder="1" applyAlignment="1">
      <alignment horizontal="center" vertical="center"/>
    </xf>
    <xf numFmtId="0" fontId="16" fillId="8" borderId="31" xfId="0" applyFont="1" applyFill="1" applyBorder="1" applyAlignment="1">
      <alignment horizontal="center" vertical="center" wrapText="1" shrinkToFit="1"/>
    </xf>
    <xf numFmtId="0" fontId="16" fillId="8" borderId="32" xfId="3" applyFont="1" applyFill="1" applyBorder="1" applyAlignment="1">
      <alignment horizontal="center" vertical="center"/>
    </xf>
    <xf numFmtId="0" fontId="16" fillId="8" borderId="33" xfId="3" applyFont="1" applyFill="1" applyBorder="1" applyAlignment="1">
      <alignment horizontal="center" vertical="center" wrapText="1"/>
    </xf>
    <xf numFmtId="0" fontId="14" fillId="8" borderId="1" xfId="0" applyFont="1" applyFill="1" applyBorder="1" applyAlignment="1">
      <alignment horizontal="left" vertical="center"/>
    </xf>
    <xf numFmtId="0" fontId="2" fillId="2" borderId="12" xfId="7" applyFont="1" applyFill="1" applyBorder="1" applyAlignment="1">
      <alignment horizontal="center" vertical="distributed" wrapText="1"/>
    </xf>
    <xf numFmtId="166" fontId="8" fillId="2" borderId="12" xfId="7" applyNumberFormat="1" applyFont="1" applyFill="1" applyBorder="1" applyAlignment="1">
      <alignment horizontal="center" vertical="distributed" wrapText="1"/>
    </xf>
    <xf numFmtId="166" fontId="8" fillId="2" borderId="1" xfId="7" applyNumberFormat="1" applyFont="1" applyFill="1" applyBorder="1" applyAlignment="1">
      <alignment horizontal="center" vertical="distributed" wrapText="1"/>
    </xf>
    <xf numFmtId="0" fontId="14" fillId="18" borderId="22" xfId="0" applyFont="1" applyFill="1" applyBorder="1" applyAlignment="1">
      <alignment horizontal="center" vertical="center"/>
    </xf>
    <xf numFmtId="0" fontId="14" fillId="18" borderId="22" xfId="0" applyFont="1" applyFill="1" applyBorder="1" applyAlignment="1">
      <alignment horizontal="center" vertical="center" shrinkToFit="1"/>
    </xf>
    <xf numFmtId="0" fontId="14" fillId="0" borderId="20" xfId="0" applyFont="1" applyBorder="1" applyAlignment="1">
      <alignment horizontal="center" vertical="center"/>
    </xf>
    <xf numFmtId="0" fontId="15" fillId="18" borderId="22" xfId="0" applyFont="1" applyFill="1" applyBorder="1" applyAlignment="1">
      <alignment vertical="center"/>
    </xf>
    <xf numFmtId="0" fontId="14" fillId="18" borderId="31" xfId="0" applyFont="1" applyFill="1" applyBorder="1" applyAlignment="1">
      <alignment horizontal="center" vertical="center" shrinkToFit="1"/>
    </xf>
    <xf numFmtId="0" fontId="14" fillId="0" borderId="21" xfId="0" applyFont="1" applyBorder="1" applyAlignment="1">
      <alignment horizontal="center" vertical="center"/>
    </xf>
    <xf numFmtId="0" fontId="14" fillId="8" borderId="34" xfId="0" applyFont="1" applyFill="1" applyBorder="1" applyAlignment="1">
      <alignment vertical="top"/>
    </xf>
    <xf numFmtId="0" fontId="16" fillId="8" borderId="35" xfId="3" applyFont="1" applyFill="1" applyBorder="1" applyAlignment="1">
      <alignment horizontal="center" vertical="center"/>
    </xf>
    <xf numFmtId="0" fontId="54" fillId="8" borderId="55" xfId="2" applyFont="1" applyFill="1" applyBorder="1" applyAlignment="1">
      <alignment horizontal="center" vertical="center"/>
    </xf>
    <xf numFmtId="0" fontId="54" fillId="8" borderId="1" xfId="2" applyFont="1" applyFill="1" applyBorder="1" applyAlignment="1">
      <alignment horizontal="center" vertical="center"/>
    </xf>
    <xf numFmtId="0" fontId="54" fillId="8" borderId="56" xfId="2" applyFont="1" applyFill="1" applyBorder="1" applyAlignment="1">
      <alignment horizontal="center" vertical="center"/>
    </xf>
    <xf numFmtId="0" fontId="59" fillId="8" borderId="56" xfId="2" applyFont="1" applyFill="1" applyBorder="1" applyAlignment="1">
      <alignment horizontal="center" vertical="center"/>
    </xf>
    <xf numFmtId="0" fontId="2" fillId="8" borderId="0" xfId="3" applyFill="1"/>
    <xf numFmtId="0" fontId="15" fillId="8" borderId="4" xfId="3" applyFont="1" applyFill="1" applyBorder="1" applyAlignment="1">
      <alignment vertical="center" wrapText="1" shrinkToFit="1"/>
    </xf>
    <xf numFmtId="0" fontId="60" fillId="18" borderId="1" xfId="3" applyFont="1" applyFill="1" applyBorder="1" applyAlignment="1">
      <alignment vertical="center" wrapText="1"/>
    </xf>
    <xf numFmtId="0" fontId="60" fillId="8" borderId="10" xfId="3" applyFont="1" applyFill="1" applyBorder="1" applyAlignment="1">
      <alignment vertical="center" wrapText="1"/>
    </xf>
    <xf numFmtId="0" fontId="2" fillId="2" borderId="12" xfId="7" applyFont="1" applyFill="1" applyBorder="1" applyAlignment="1">
      <alignment horizontal="left" vertical="distributed" wrapText="1"/>
    </xf>
    <xf numFmtId="0" fontId="8" fillId="2" borderId="18" xfId="7" applyFont="1" applyFill="1" applyBorder="1" applyAlignment="1">
      <alignment horizontal="left" vertical="distributed" wrapText="1"/>
    </xf>
    <xf numFmtId="165" fontId="8" fillId="2" borderId="18" xfId="7" applyNumberFormat="1" applyFont="1" applyFill="1" applyBorder="1" applyAlignment="1">
      <alignment horizontal="center" vertical="distributed" wrapText="1"/>
    </xf>
    <xf numFmtId="0" fontId="3" fillId="8" borderId="14" xfId="0" applyFont="1" applyFill="1" applyBorder="1" applyAlignment="1">
      <alignment horizontal="center" textRotation="45"/>
    </xf>
    <xf numFmtId="0" fontId="15" fillId="0" borderId="27" xfId="3" quotePrefix="1" applyFont="1" applyFill="1" applyBorder="1" applyAlignment="1">
      <alignment horizontal="center" vertical="center" wrapText="1"/>
    </xf>
    <xf numFmtId="0" fontId="15" fillId="5" borderId="27" xfId="3" applyNumberFormat="1" applyFont="1" applyFill="1" applyBorder="1" applyAlignment="1">
      <alignment horizontal="center" vertical="center" wrapText="1"/>
    </xf>
    <xf numFmtId="0" fontId="15" fillId="5" borderId="30" xfId="3" applyNumberFormat="1" applyFont="1" applyFill="1" applyBorder="1" applyAlignment="1">
      <alignment horizontal="center" vertical="center" wrapText="1"/>
    </xf>
    <xf numFmtId="0" fontId="16" fillId="18" borderId="27" xfId="3" applyFont="1" applyFill="1" applyBorder="1" applyAlignment="1">
      <alignment horizontal="center" vertical="center" wrapText="1"/>
    </xf>
    <xf numFmtId="0" fontId="16" fillId="18" borderId="10" xfId="3" applyFont="1" applyFill="1" applyBorder="1" applyAlignment="1">
      <alignment horizontal="center" vertical="center" wrapText="1"/>
    </xf>
    <xf numFmtId="0" fontId="15" fillId="0" borderId="27" xfId="3" applyFont="1" applyFill="1" applyBorder="1" applyAlignment="1">
      <alignment horizontal="center" vertical="center" wrapText="1"/>
    </xf>
    <xf numFmtId="0" fontId="14" fillId="18" borderId="27" xfId="3" applyFont="1" applyFill="1" applyBorder="1" applyAlignment="1">
      <alignment vertical="center" wrapText="1"/>
    </xf>
    <xf numFmtId="0" fontId="15" fillId="0" borderId="27" xfId="5" applyFont="1" applyFill="1" applyBorder="1" applyAlignment="1">
      <alignment horizontal="center" vertical="center"/>
    </xf>
    <xf numFmtId="0" fontId="15" fillId="5" borderId="36" xfId="5" quotePrefix="1" applyFont="1" applyFill="1" applyBorder="1" applyAlignment="1">
      <alignment horizontal="center" vertical="center"/>
    </xf>
    <xf numFmtId="0" fontId="15" fillId="0" borderId="30" xfId="5" applyFont="1" applyFill="1" applyBorder="1" applyAlignment="1">
      <alignment horizontal="center" vertical="center"/>
    </xf>
    <xf numFmtId="0" fontId="16" fillId="18" borderId="1" xfId="3" applyFont="1" applyFill="1" applyBorder="1" applyAlignment="1">
      <alignment horizontal="center" vertical="center" wrapText="1"/>
    </xf>
    <xf numFmtId="0" fontId="14" fillId="18" borderId="28" xfId="3" applyFont="1" applyFill="1" applyBorder="1" applyAlignment="1">
      <alignment horizontal="center" vertical="center"/>
    </xf>
    <xf numFmtId="0" fontId="15" fillId="5" borderId="27" xfId="6" quotePrefix="1" applyFont="1" applyFill="1" applyBorder="1" applyAlignment="1">
      <alignment horizontal="center" vertical="center"/>
    </xf>
    <xf numFmtId="0" fontId="14" fillId="18" borderId="27" xfId="3" applyFont="1" applyFill="1" applyBorder="1" applyAlignment="1">
      <alignment wrapText="1"/>
    </xf>
    <xf numFmtId="0" fontId="15" fillId="5" borderId="27" xfId="6" applyFont="1" applyFill="1" applyBorder="1" applyAlignment="1">
      <alignment horizontal="center" vertical="center" wrapText="1"/>
    </xf>
    <xf numFmtId="0" fontId="15" fillId="5" borderId="30" xfId="6" quotePrefix="1" applyFont="1" applyFill="1" applyBorder="1" applyAlignment="1">
      <alignment horizontal="center" vertical="center"/>
    </xf>
    <xf numFmtId="0" fontId="13" fillId="8" borderId="13" xfId="0" applyFont="1" applyFill="1" applyBorder="1" applyAlignment="1">
      <alignment horizontal="center" vertical="center" wrapText="1"/>
    </xf>
    <xf numFmtId="0" fontId="2" fillId="2" borderId="1" xfId="7" applyFont="1" applyFill="1" applyBorder="1" applyAlignment="1">
      <alignment horizontal="center" vertical="distributed" wrapText="1"/>
    </xf>
    <xf numFmtId="0" fontId="2" fillId="2" borderId="34" xfId="7" applyFont="1" applyFill="1" applyBorder="1" applyAlignment="1">
      <alignment horizontal="center" vertical="distributed" wrapText="1"/>
    </xf>
    <xf numFmtId="0" fontId="13" fillId="6" borderId="0" xfId="0" applyFont="1" applyFill="1" applyBorder="1" applyAlignment="1">
      <alignment horizontal="center"/>
    </xf>
    <xf numFmtId="0" fontId="0" fillId="2" borderId="0" xfId="0" applyFill="1" applyAlignment="1">
      <alignment wrapText="1" shrinkToFit="1"/>
    </xf>
    <xf numFmtId="0" fontId="2" fillId="2" borderId="1" xfId="0" applyNumberFormat="1" applyFont="1" applyFill="1" applyBorder="1" applyAlignment="1">
      <alignment vertical="top"/>
    </xf>
    <xf numFmtId="0" fontId="0" fillId="2" borderId="1" xfId="0" applyNumberFormat="1" applyFill="1" applyBorder="1" applyAlignment="1">
      <alignment vertical="top"/>
    </xf>
    <xf numFmtId="0" fontId="0" fillId="2" borderId="0" xfId="0" applyFill="1" applyAlignment="1">
      <alignment vertical="top"/>
    </xf>
    <xf numFmtId="0" fontId="0" fillId="2" borderId="2" xfId="0" applyFill="1" applyBorder="1" applyAlignment="1">
      <alignment vertical="top"/>
    </xf>
    <xf numFmtId="0" fontId="2" fillId="2" borderId="0" xfId="0" applyFont="1" applyFill="1" applyBorder="1" applyAlignment="1">
      <alignment horizontal="left" vertical="top" wrapText="1"/>
    </xf>
    <xf numFmtId="0" fontId="0" fillId="2" borderId="3" xfId="0" applyFill="1" applyBorder="1" applyAlignment="1">
      <alignment vertical="top"/>
    </xf>
    <xf numFmtId="0" fontId="0" fillId="2" borderId="7" xfId="0" applyFill="1" applyBorder="1" applyAlignment="1">
      <alignment vertical="top"/>
    </xf>
    <xf numFmtId="0" fontId="0" fillId="2" borderId="4" xfId="0" applyFill="1" applyBorder="1" applyAlignment="1">
      <alignment vertical="top"/>
    </xf>
    <xf numFmtId="0" fontId="2" fillId="2" borderId="8" xfId="0" applyFont="1" applyFill="1" applyBorder="1" applyAlignment="1">
      <alignment wrapText="1" shrinkToFit="1"/>
    </xf>
    <xf numFmtId="0" fontId="2" fillId="0" borderId="1" xfId="0" applyFont="1" applyFill="1" applyBorder="1" applyAlignment="1">
      <alignment vertical="top" wrapText="1"/>
    </xf>
    <xf numFmtId="0" fontId="2" fillId="0" borderId="10" xfId="5" applyFont="1" applyFill="1" applyBorder="1" applyAlignment="1">
      <alignment vertical="center" wrapText="1"/>
    </xf>
    <xf numFmtId="0" fontId="2" fillId="0" borderId="10" xfId="3" applyFont="1" applyFill="1" applyBorder="1" applyAlignment="1">
      <alignment vertical="center" wrapText="1"/>
    </xf>
    <xf numFmtId="0" fontId="2" fillId="5" borderId="10" xfId="5" applyFont="1" applyFill="1" applyBorder="1" applyAlignment="1">
      <alignment vertical="center" wrapText="1"/>
    </xf>
    <xf numFmtId="0" fontId="2" fillId="0" borderId="1" xfId="5" applyFont="1" applyFill="1" applyBorder="1" applyAlignment="1">
      <alignment vertical="center" wrapText="1"/>
    </xf>
    <xf numFmtId="0" fontId="2" fillId="2" borderId="37" xfId="5" applyFont="1" applyFill="1" applyBorder="1" applyAlignment="1">
      <alignment vertical="center" wrapText="1"/>
    </xf>
    <xf numFmtId="0" fontId="2" fillId="5" borderId="10" xfId="3" applyFont="1" applyFill="1" applyBorder="1" applyAlignment="1">
      <alignment vertical="center" wrapText="1"/>
    </xf>
    <xf numFmtId="0" fontId="2" fillId="5" borderId="37" xfId="3" applyFont="1" applyFill="1" applyBorder="1" applyAlignment="1">
      <alignment vertical="center" wrapText="1"/>
    </xf>
    <xf numFmtId="0" fontId="2" fillId="0" borderId="10" xfId="0" applyFont="1" applyBorder="1" applyAlignment="1">
      <alignment vertical="top" wrapText="1"/>
    </xf>
    <xf numFmtId="0" fontId="2" fillId="5" borderId="1" xfId="0" applyFont="1" applyFill="1" applyBorder="1" applyAlignment="1">
      <alignment vertical="top" wrapText="1"/>
    </xf>
    <xf numFmtId="0" fontId="2" fillId="5" borderId="31" xfId="0" applyFont="1" applyFill="1" applyBorder="1" applyAlignment="1">
      <alignment vertical="top" wrapText="1"/>
    </xf>
    <xf numFmtId="0" fontId="2" fillId="19" borderId="1" xfId="0" applyFont="1" applyFill="1" applyBorder="1" applyAlignment="1">
      <alignment vertical="top" wrapText="1"/>
    </xf>
    <xf numFmtId="0" fontId="2" fillId="0" borderId="38" xfId="0" applyFont="1" applyBorder="1" applyAlignment="1">
      <alignment horizontal="left" vertical="center" wrapText="1" shrinkToFit="1"/>
    </xf>
    <xf numFmtId="0" fontId="2" fillId="0" borderId="38" xfId="0" applyFont="1" applyBorder="1" applyAlignment="1">
      <alignment vertical="center" wrapText="1" shrinkToFit="1"/>
    </xf>
    <xf numFmtId="0" fontId="2" fillId="0" borderId="39" xfId="0" applyFont="1" applyBorder="1" applyAlignment="1">
      <alignment horizontal="left" vertical="center" wrapText="1" shrinkToFit="1"/>
    </xf>
    <xf numFmtId="0" fontId="2" fillId="0" borderId="40" xfId="0" applyFont="1" applyBorder="1" applyAlignment="1">
      <alignment vertical="center" wrapText="1" shrinkToFit="1"/>
    </xf>
    <xf numFmtId="0" fontId="2" fillId="0" borderId="38" xfId="0" applyFont="1" applyFill="1" applyBorder="1" applyAlignment="1">
      <alignment vertical="center" wrapText="1" shrinkToFit="1"/>
    </xf>
    <xf numFmtId="0" fontId="2" fillId="18" borderId="31" xfId="0" applyFont="1" applyFill="1" applyBorder="1" applyAlignment="1">
      <alignment horizontal="center" vertical="center" shrinkToFit="1"/>
    </xf>
    <xf numFmtId="0" fontId="2" fillId="5" borderId="1" xfId="0" applyFont="1" applyFill="1" applyBorder="1"/>
    <xf numFmtId="0" fontId="2" fillId="5" borderId="1" xfId="0" applyFont="1" applyFill="1" applyBorder="1" applyAlignment="1">
      <alignment wrapText="1"/>
    </xf>
    <xf numFmtId="0" fontId="2" fillId="0" borderId="10" xfId="0" applyFont="1" applyFill="1" applyBorder="1" applyAlignment="1">
      <alignment vertical="top" wrapText="1"/>
    </xf>
    <xf numFmtId="0" fontId="2" fillId="0" borderId="21" xfId="0" applyFont="1" applyBorder="1" applyAlignment="1">
      <alignment horizontal="left" vertical="center" wrapText="1" shrinkToFit="1"/>
    </xf>
    <xf numFmtId="0" fontId="2" fillId="0" borderId="21" xfId="0" applyFont="1" applyBorder="1" applyAlignment="1">
      <alignment vertical="center" wrapText="1" shrinkToFit="1"/>
    </xf>
    <xf numFmtId="0" fontId="2" fillId="0" borderId="41" xfId="0" applyFont="1" applyBorder="1" applyAlignment="1">
      <alignment vertical="center" wrapText="1" shrinkToFit="1"/>
    </xf>
    <xf numFmtId="0" fontId="2" fillId="0" borderId="21" xfId="0" applyFont="1" applyFill="1" applyBorder="1" applyAlignment="1">
      <alignment vertical="center" wrapText="1" shrinkToFit="1"/>
    </xf>
    <xf numFmtId="0" fontId="2" fillId="0" borderId="20" xfId="0" applyFont="1" applyBorder="1" applyAlignment="1">
      <alignment horizontal="left" vertical="center" wrapText="1" shrinkToFit="1"/>
    </xf>
    <xf numFmtId="0" fontId="2" fillId="0" borderId="21" xfId="0" applyFont="1" applyFill="1" applyBorder="1" applyAlignment="1">
      <alignment horizontal="left" vertical="center" wrapText="1" shrinkToFit="1"/>
    </xf>
    <xf numFmtId="0" fontId="2" fillId="0" borderId="21" xfId="0" applyFont="1" applyBorder="1" applyAlignment="1">
      <alignment horizontal="left" vertical="center" wrapText="1"/>
    </xf>
    <xf numFmtId="0" fontId="2" fillId="0" borderId="42" xfId="0" applyFont="1" applyBorder="1" applyAlignment="1">
      <alignment horizontal="left" vertical="center" wrapText="1"/>
    </xf>
    <xf numFmtId="0" fontId="2" fillId="0" borderId="43" xfId="0" applyFont="1" applyFill="1" applyBorder="1" applyAlignment="1">
      <alignment horizontal="left" vertical="center" wrapText="1" shrinkToFit="1"/>
    </xf>
    <xf numFmtId="0" fontId="2" fillId="0" borderId="43" xfId="0" applyFont="1" applyBorder="1" applyAlignment="1">
      <alignment horizontal="left" vertical="center" wrapText="1" shrinkToFit="1"/>
    </xf>
    <xf numFmtId="0" fontId="2" fillId="0" borderId="42" xfId="0" applyFont="1" applyBorder="1" applyAlignment="1">
      <alignment horizontal="left" vertical="center" wrapText="1" shrinkToFit="1"/>
    </xf>
    <xf numFmtId="0" fontId="61" fillId="0" borderId="10" xfId="0" applyFont="1" applyFill="1" applyBorder="1" applyAlignment="1">
      <alignment wrapText="1"/>
    </xf>
    <xf numFmtId="0" fontId="61" fillId="0" borderId="7" xfId="0" applyFont="1" applyFill="1" applyBorder="1" applyAlignment="1">
      <alignment wrapText="1"/>
    </xf>
    <xf numFmtId="0" fontId="2" fillId="0" borderId="44" xfId="0" applyFont="1" applyBorder="1" applyAlignment="1">
      <alignment horizontal="left" vertical="center" wrapText="1" shrinkToFit="1"/>
    </xf>
    <xf numFmtId="0" fontId="62" fillId="18" borderId="45" xfId="0" applyFont="1" applyFill="1" applyBorder="1" applyAlignment="1">
      <alignment vertical="center" wrapText="1"/>
    </xf>
    <xf numFmtId="0" fontId="62" fillId="0" borderId="1" xfId="0" applyFont="1" applyFill="1" applyBorder="1" applyAlignment="1">
      <alignment vertical="center" wrapText="1"/>
    </xf>
    <xf numFmtId="0" fontId="61" fillId="0" borderId="1" xfId="0" applyFont="1" applyFill="1" applyBorder="1" applyAlignment="1">
      <alignment wrapText="1"/>
    </xf>
    <xf numFmtId="0" fontId="61" fillId="0" borderId="1" xfId="0" applyFont="1" applyFill="1" applyBorder="1" applyAlignment="1">
      <alignment vertical="center" wrapText="1"/>
    </xf>
    <xf numFmtId="0" fontId="62" fillId="0" borderId="1" xfId="0" applyFont="1" applyFill="1" applyBorder="1" applyAlignment="1">
      <alignment wrapText="1"/>
    </xf>
    <xf numFmtId="0" fontId="61" fillId="0" borderId="46" xfId="0" applyFont="1" applyFill="1" applyBorder="1" applyAlignment="1">
      <alignment wrapText="1"/>
    </xf>
    <xf numFmtId="0" fontId="2" fillId="0" borderId="1" xfId="6" applyFont="1" applyFill="1" applyBorder="1" applyAlignment="1">
      <alignment vertical="center" wrapText="1"/>
    </xf>
    <xf numFmtId="0" fontId="2" fillId="0" borderId="1" xfId="3" applyFont="1" applyFill="1" applyBorder="1" applyAlignment="1">
      <alignment vertical="center" wrapText="1"/>
    </xf>
    <xf numFmtId="0" fontId="2" fillId="5" borderId="1" xfId="6" applyFont="1" applyFill="1" applyBorder="1" applyAlignment="1">
      <alignment vertical="center" wrapText="1"/>
    </xf>
    <xf numFmtId="0" fontId="2" fillId="0" borderId="1" xfId="6" applyFont="1" applyBorder="1" applyAlignment="1">
      <alignment vertical="center" wrapText="1"/>
    </xf>
    <xf numFmtId="0" fontId="2" fillId="5" borderId="46" xfId="6" applyFont="1" applyFill="1" applyBorder="1" applyAlignment="1">
      <alignment wrapText="1"/>
    </xf>
    <xf numFmtId="0" fontId="2" fillId="2" borderId="0" xfId="0" applyFont="1" applyFill="1"/>
    <xf numFmtId="0" fontId="2" fillId="2" borderId="0" xfId="0" applyFont="1" applyFill="1" applyAlignment="1">
      <alignment vertical="top"/>
    </xf>
    <xf numFmtId="0" fontId="2" fillId="0" borderId="0" xfId="3" applyAlignment="1">
      <alignment vertical="center"/>
    </xf>
    <xf numFmtId="0" fontId="6" fillId="0" borderId="0" xfId="3" applyFont="1" applyAlignment="1">
      <alignment vertical="center" wrapText="1"/>
    </xf>
    <xf numFmtId="164" fontId="6" fillId="0" borderId="0" xfId="3" applyNumberFormat="1" applyFont="1" applyAlignment="1">
      <alignment horizontal="center" vertical="center" wrapText="1"/>
    </xf>
    <xf numFmtId="20" fontId="6" fillId="0" borderId="0" xfId="3" applyNumberFormat="1" applyFont="1" applyAlignment="1">
      <alignment vertical="center" wrapText="1"/>
    </xf>
    <xf numFmtId="0" fontId="6" fillId="0" borderId="0" xfId="3" applyFont="1" applyAlignment="1">
      <alignment horizontal="left" vertical="center" wrapText="1"/>
    </xf>
    <xf numFmtId="0" fontId="63" fillId="0" borderId="0" xfId="3" quotePrefix="1" applyFont="1" applyAlignment="1">
      <alignment horizontal="right" vertical="center"/>
    </xf>
    <xf numFmtId="0" fontId="7" fillId="0" borderId="0" xfId="3" applyFont="1" applyAlignment="1">
      <alignment horizontal="left" vertical="center" wrapText="1"/>
    </xf>
    <xf numFmtId="0" fontId="2" fillId="0" borderId="0" xfId="3" applyAlignment="1">
      <alignment vertical="center" shrinkToFit="1"/>
    </xf>
    <xf numFmtId="0" fontId="65" fillId="0" borderId="0" xfId="3" applyFont="1" applyAlignment="1">
      <alignment horizontal="left" vertical="center" shrinkToFit="1"/>
    </xf>
    <xf numFmtId="0" fontId="3" fillId="0" borderId="0" xfId="3" applyFont="1" applyAlignment="1">
      <alignment horizontal="left" vertical="center" shrinkToFit="1"/>
    </xf>
    <xf numFmtId="0" fontId="2" fillId="0" borderId="0" xfId="3" applyAlignment="1" applyProtection="1">
      <alignment vertical="center"/>
      <protection locked="0"/>
    </xf>
    <xf numFmtId="0" fontId="2" fillId="0" borderId="0" xfId="3" applyAlignment="1" applyProtection="1">
      <alignment vertical="center" shrinkToFit="1"/>
      <protection locked="0"/>
    </xf>
    <xf numFmtId="0" fontId="70" fillId="0" borderId="2" xfId="3" applyFont="1" applyBorder="1" applyAlignment="1" applyProtection="1">
      <alignment horizontal="left" vertical="center" wrapText="1" shrinkToFit="1"/>
      <protection locked="0"/>
    </xf>
    <xf numFmtId="0" fontId="71" fillId="0" borderId="0" xfId="3" applyFont="1" applyAlignment="1" applyProtection="1">
      <alignment horizontal="left" vertical="center" shrinkToFit="1"/>
      <protection locked="0"/>
    </xf>
    <xf numFmtId="0" fontId="70" fillId="0" borderId="0" xfId="3" applyFont="1" applyAlignment="1" applyProtection="1">
      <alignment horizontal="left" vertical="center" wrapText="1" shrinkToFit="1"/>
      <protection locked="0"/>
    </xf>
    <xf numFmtId="0" fontId="71" fillId="0" borderId="3" xfId="3" applyFont="1" applyBorder="1" applyAlignment="1" applyProtection="1">
      <alignment horizontal="left" vertical="center" shrinkToFit="1"/>
      <protection locked="0"/>
    </xf>
    <xf numFmtId="0" fontId="74" fillId="0" borderId="0" xfId="3" applyFont="1" applyAlignment="1" applyProtection="1">
      <alignment vertical="center"/>
      <protection locked="0"/>
    </xf>
    <xf numFmtId="0" fontId="75" fillId="0" borderId="0" xfId="3" applyFont="1" applyAlignment="1" applyProtection="1">
      <alignment horizontal="center" vertical="center"/>
      <protection locked="0"/>
    </xf>
    <xf numFmtId="0" fontId="1" fillId="10" borderId="0" xfId="10" applyFill="1"/>
    <xf numFmtId="0" fontId="76" fillId="0" borderId="0" xfId="3" applyFont="1" applyAlignment="1">
      <alignment horizontal="right" vertical="center"/>
    </xf>
    <xf numFmtId="0" fontId="77" fillId="0" borderId="57" xfId="3" applyFont="1" applyBorder="1" applyAlignment="1" applyProtection="1">
      <alignment vertical="center"/>
      <protection locked="0"/>
    </xf>
    <xf numFmtId="0" fontId="2" fillId="0" borderId="57" xfId="3" applyBorder="1" applyAlignment="1" applyProtection="1">
      <alignment vertical="center"/>
      <protection locked="0"/>
    </xf>
    <xf numFmtId="0" fontId="78"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50" fillId="0" borderId="0" xfId="3" applyFont="1" applyAlignment="1" applyProtection="1">
      <alignment vertical="center"/>
      <protection locked="0"/>
    </xf>
    <xf numFmtId="0" fontId="3" fillId="0" borderId="0" xfId="3" applyFont="1" applyAlignment="1" applyProtection="1">
      <alignment vertical="center"/>
      <protection locked="0"/>
    </xf>
    <xf numFmtId="49" fontId="79" fillId="0" borderId="0" xfId="3" applyNumberFormat="1" applyFont="1" applyAlignment="1" applyProtection="1">
      <alignment horizontal="left" vertical="center"/>
      <protection locked="0"/>
    </xf>
    <xf numFmtId="49" fontId="2" fillId="0" borderId="0" xfId="3" applyNumberFormat="1" applyAlignment="1">
      <alignment horizontal="center" vertical="center" wrapText="1"/>
    </xf>
    <xf numFmtId="49" fontId="2" fillId="0" borderId="0" xfId="3" applyNumberFormat="1" applyAlignment="1" applyProtection="1">
      <alignment horizontal="left" vertical="center" wrapText="1"/>
      <protection locked="0"/>
    </xf>
    <xf numFmtId="49" fontId="2" fillId="0" borderId="0" xfId="3" applyNumberFormat="1" applyAlignment="1">
      <alignment horizontal="left" vertical="center" wrapText="1"/>
    </xf>
    <xf numFmtId="14" fontId="2" fillId="0" borderId="0" xfId="3" applyNumberFormat="1" applyAlignment="1" applyProtection="1">
      <alignment vertical="center"/>
      <protection locked="0"/>
    </xf>
    <xf numFmtId="0" fontId="80" fillId="0" borderId="0" xfId="3" applyFont="1" applyAlignment="1" applyProtection="1">
      <alignment horizontal="left" vertical="center"/>
      <protection locked="0"/>
    </xf>
    <xf numFmtId="0" fontId="2" fillId="0" borderId="0" xfId="3" applyAlignment="1">
      <alignment horizontal="left" vertical="center" wrapText="1"/>
    </xf>
    <xf numFmtId="0" fontId="77" fillId="0" borderId="5" xfId="3" applyFont="1" applyBorder="1" applyAlignment="1" applyProtection="1">
      <alignment vertical="center"/>
      <protection locked="0"/>
    </xf>
    <xf numFmtId="49" fontId="2" fillId="0" borderId="5" xfId="3" applyNumberFormat="1" applyBorder="1" applyAlignment="1" applyProtection="1">
      <alignment horizontal="left" vertical="center" wrapText="1"/>
      <protection locked="0"/>
    </xf>
    <xf numFmtId="0" fontId="2" fillId="0" borderId="5" xfId="3" applyBorder="1" applyAlignment="1">
      <alignment horizontal="left" vertical="center" wrapText="1"/>
    </xf>
    <xf numFmtId="0" fontId="77" fillId="0" borderId="0" xfId="3" applyFont="1" applyAlignment="1" applyProtection="1">
      <alignment vertical="center"/>
      <protection locked="0"/>
    </xf>
    <xf numFmtId="49" fontId="2" fillId="0" borderId="0" xfId="3" applyNumberFormat="1" applyAlignment="1" applyProtection="1">
      <alignment horizontal="left" vertical="center"/>
      <protection locked="0"/>
    </xf>
    <xf numFmtId="0" fontId="2" fillId="0" borderId="0" xfId="3" applyAlignment="1">
      <alignment horizontal="left" vertical="center"/>
    </xf>
    <xf numFmtId="0" fontId="75" fillId="0" borderId="0" xfId="3" applyFont="1" applyAlignment="1" applyProtection="1">
      <alignment horizontal="center" vertical="center" wrapText="1"/>
      <protection locked="0"/>
    </xf>
    <xf numFmtId="0" fontId="2" fillId="0" borderId="0" xfId="3" applyAlignment="1">
      <alignment vertical="center" wrapText="1"/>
    </xf>
    <xf numFmtId="0" fontId="66" fillId="20" borderId="2" xfId="3" applyFont="1" applyFill="1" applyBorder="1" applyAlignment="1" applyProtection="1">
      <alignment horizontal="center" vertical="center" shrinkToFit="1"/>
      <protection locked="0"/>
    </xf>
    <xf numFmtId="0" fontId="66" fillId="20" borderId="0" xfId="3" applyFont="1" applyFill="1" applyAlignment="1" applyProtection="1">
      <alignment horizontal="center" vertical="center" shrinkToFit="1"/>
      <protection locked="0"/>
    </xf>
    <xf numFmtId="0" fontId="66" fillId="20" borderId="3" xfId="3" applyFont="1" applyFill="1" applyBorder="1" applyAlignment="1" applyProtection="1">
      <alignment horizontal="center" vertical="center" shrinkToFit="1"/>
      <protection locked="0"/>
    </xf>
    <xf numFmtId="0" fontId="2" fillId="0" borderId="4" xfId="3" applyBorder="1" applyAlignment="1" applyProtection="1">
      <alignment horizontal="right" vertical="top" wrapText="1" shrinkToFit="1"/>
      <protection locked="0"/>
    </xf>
    <xf numFmtId="0" fontId="2" fillId="0" borderId="5" xfId="3" applyBorder="1" applyAlignment="1" applyProtection="1">
      <alignment horizontal="right" vertical="top" wrapText="1" shrinkToFit="1"/>
      <protection locked="0"/>
    </xf>
    <xf numFmtId="0" fontId="67" fillId="0" borderId="5" xfId="3" applyFont="1" applyBorder="1" applyAlignment="1" applyProtection="1">
      <alignment horizontal="left" vertical="top" wrapText="1" shrinkToFit="1"/>
      <protection locked="0"/>
    </xf>
    <xf numFmtId="0" fontId="67" fillId="0" borderId="6" xfId="3" applyFont="1" applyBorder="1" applyAlignment="1" applyProtection="1">
      <alignment horizontal="left" vertical="top" wrapText="1" shrinkToFit="1"/>
      <protection locked="0"/>
    </xf>
    <xf numFmtId="0" fontId="4" fillId="0" borderId="5" xfId="3" applyFont="1" applyBorder="1" applyAlignment="1" applyProtection="1">
      <alignment horizontal="left" vertical="top" wrapText="1" shrinkToFit="1"/>
      <protection locked="0"/>
    </xf>
    <xf numFmtId="0" fontId="69" fillId="0" borderId="5" xfId="3" applyFont="1" applyBorder="1" applyAlignment="1" applyProtection="1">
      <alignment horizontal="left" vertical="top" shrinkToFit="1"/>
      <protection locked="0"/>
    </xf>
    <xf numFmtId="0" fontId="69" fillId="0" borderId="6" xfId="3" applyFont="1" applyBorder="1" applyAlignment="1" applyProtection="1">
      <alignment horizontal="left" vertical="top" shrinkToFit="1"/>
      <protection locked="0"/>
    </xf>
    <xf numFmtId="0" fontId="66" fillId="20" borderId="7" xfId="3" applyFont="1" applyFill="1" applyBorder="1" applyAlignment="1" applyProtection="1">
      <alignment horizontal="center" vertical="center" shrinkToFit="1"/>
      <protection locked="0"/>
    </xf>
    <xf numFmtId="0" fontId="66" fillId="20" borderId="8" xfId="3" applyFont="1" applyFill="1" applyBorder="1" applyAlignment="1" applyProtection="1">
      <alignment horizontal="center" vertical="center" shrinkToFit="1"/>
      <protection locked="0"/>
    </xf>
    <xf numFmtId="0" fontId="66" fillId="20" borderId="9" xfId="3" applyFont="1" applyFill="1" applyBorder="1" applyAlignment="1" applyProtection="1">
      <alignment horizontal="center" vertical="center" shrinkToFit="1"/>
      <protection locked="0"/>
    </xf>
    <xf numFmtId="0" fontId="2" fillId="0" borderId="4" xfId="3" applyBorder="1" applyAlignment="1" applyProtection="1">
      <alignment horizontal="center" vertical="top" wrapText="1" shrinkToFit="1"/>
      <protection locked="0"/>
    </xf>
    <xf numFmtId="0" fontId="2" fillId="0" borderId="5" xfId="3" applyBorder="1" applyAlignment="1" applyProtection="1">
      <alignment horizontal="center" vertical="top" wrapText="1" shrinkToFit="1"/>
      <protection locked="0"/>
    </xf>
    <xf numFmtId="0" fontId="2" fillId="0" borderId="6" xfId="3" applyBorder="1" applyAlignment="1" applyProtection="1">
      <alignment horizontal="center" vertical="top" wrapText="1" shrinkToFit="1"/>
      <protection locked="0"/>
    </xf>
    <xf numFmtId="0" fontId="66" fillId="20" borderId="8" xfId="3" applyFont="1" applyFill="1" applyBorder="1" applyAlignment="1" applyProtection="1">
      <alignment horizontal="center" vertical="center" wrapText="1"/>
      <protection locked="0"/>
    </xf>
    <xf numFmtId="0" fontId="66" fillId="20" borderId="0" xfId="3" applyFont="1" applyFill="1" applyAlignment="1" applyProtection="1">
      <alignment horizontal="center" vertical="center" wrapText="1"/>
      <protection locked="0"/>
    </xf>
    <xf numFmtId="0" fontId="2" fillId="0" borderId="7" xfId="3" applyBorder="1" applyAlignment="1" applyProtection="1">
      <alignment horizontal="left" vertical="top"/>
      <protection locked="0"/>
    </xf>
    <xf numFmtId="0" fontId="2" fillId="0" borderId="8" xfId="3" applyBorder="1" applyAlignment="1" applyProtection="1">
      <alignment horizontal="left" vertical="top"/>
      <protection locked="0"/>
    </xf>
    <xf numFmtId="0" fontId="2" fillId="0" borderId="9" xfId="3" applyBorder="1" applyAlignment="1" applyProtection="1">
      <alignment horizontal="left" vertical="top"/>
      <protection locked="0"/>
    </xf>
    <xf numFmtId="0" fontId="2" fillId="0" borderId="4" xfId="3" applyBorder="1" applyAlignment="1" applyProtection="1">
      <alignment horizontal="left" vertical="top"/>
      <protection locked="0"/>
    </xf>
    <xf numFmtId="0" fontId="2" fillId="0" borderId="5" xfId="3" applyBorder="1" applyAlignment="1" applyProtection="1">
      <alignment horizontal="left" vertical="top"/>
      <protection locked="0"/>
    </xf>
    <xf numFmtId="0" fontId="2" fillId="0" borderId="6" xfId="3" applyBorder="1" applyAlignment="1" applyProtection="1">
      <alignment horizontal="left" vertical="top"/>
      <protection locked="0"/>
    </xf>
    <xf numFmtId="0" fontId="7" fillId="0" borderId="7" xfId="3" applyFont="1" applyBorder="1" applyAlignment="1">
      <alignment horizontal="left" vertical="center" wrapText="1"/>
    </xf>
    <xf numFmtId="0" fontId="7" fillId="0" borderId="8" xfId="3" applyFont="1" applyBorder="1" applyAlignment="1">
      <alignment horizontal="left" vertical="center" wrapText="1"/>
    </xf>
    <xf numFmtId="0" fontId="7" fillId="0" borderId="9" xfId="3" applyFont="1" applyBorder="1" applyAlignment="1">
      <alignment horizontal="left" vertical="center" wrapText="1"/>
    </xf>
    <xf numFmtId="0" fontId="7" fillId="0" borderId="7" xfId="3" applyFont="1" applyBorder="1" applyAlignment="1">
      <alignment horizontal="left" vertical="center" shrinkToFit="1"/>
    </xf>
    <xf numFmtId="0" fontId="7" fillId="0" borderId="8" xfId="3" applyFont="1" applyBorder="1" applyAlignment="1">
      <alignment horizontal="left" vertical="center" shrinkToFit="1"/>
    </xf>
    <xf numFmtId="0" fontId="7" fillId="0" borderId="9" xfId="3" applyFont="1" applyBorder="1" applyAlignment="1">
      <alignment horizontal="left" vertical="center" shrinkToFit="1"/>
    </xf>
    <xf numFmtId="0" fontId="64" fillId="0" borderId="4" xfId="3" applyFont="1" applyBorder="1" applyAlignment="1">
      <alignment horizontal="left" vertical="center" shrinkToFit="1"/>
    </xf>
    <xf numFmtId="0" fontId="64" fillId="0" borderId="5" xfId="3" applyFont="1" applyBorder="1" applyAlignment="1">
      <alignment horizontal="left" vertical="center" shrinkToFit="1"/>
    </xf>
    <xf numFmtId="0" fontId="64" fillId="0" borderId="6" xfId="3" applyFont="1" applyBorder="1" applyAlignment="1">
      <alignment horizontal="left" vertical="center" shrinkToFit="1"/>
    </xf>
    <xf numFmtId="49" fontId="2" fillId="0" borderId="10" xfId="3" applyNumberFormat="1" applyBorder="1" applyAlignment="1" applyProtection="1">
      <alignment horizontal="center" vertical="center" wrapText="1"/>
      <protection locked="0"/>
    </xf>
    <xf numFmtId="49" fontId="2" fillId="0" borderId="58" xfId="3" applyNumberFormat="1" applyBorder="1" applyAlignment="1" applyProtection="1">
      <alignment horizontal="center" vertical="center" wrapText="1"/>
      <protection locked="0"/>
    </xf>
    <xf numFmtId="49" fontId="2" fillId="0" borderId="11" xfId="3" applyNumberFormat="1" applyBorder="1" applyAlignment="1" applyProtection="1">
      <alignment horizontal="center" vertical="center" wrapText="1"/>
      <protection locked="0"/>
    </xf>
    <xf numFmtId="0" fontId="2" fillId="0" borderId="10" xfId="3" applyBorder="1" applyAlignment="1">
      <alignment horizontal="left" vertical="center" wrapText="1"/>
    </xf>
    <xf numFmtId="0" fontId="2" fillId="0" borderId="58" xfId="3" applyBorder="1" applyAlignment="1">
      <alignment horizontal="left" vertical="center" wrapText="1"/>
    </xf>
    <xf numFmtId="0" fontId="2" fillId="0" borderId="11" xfId="3" applyBorder="1" applyAlignment="1">
      <alignment horizontal="left" vertical="center" wrapText="1"/>
    </xf>
    <xf numFmtId="0" fontId="54" fillId="0" borderId="10" xfId="2" applyBorder="1" applyAlignment="1">
      <alignment horizontal="left" vertical="center" wrapText="1"/>
    </xf>
    <xf numFmtId="49" fontId="2" fillId="0" borderId="1" xfId="3" applyNumberFormat="1" applyBorder="1" applyAlignment="1" applyProtection="1">
      <alignment vertical="center" wrapText="1"/>
      <protection locked="0"/>
    </xf>
    <xf numFmtId="49" fontId="2" fillId="0" borderId="1" xfId="3" applyNumberFormat="1" applyBorder="1" applyAlignment="1" applyProtection="1">
      <alignment horizontal="left" vertical="center" wrapText="1"/>
      <protection locked="0"/>
    </xf>
    <xf numFmtId="0" fontId="2" fillId="0" borderId="1" xfId="3" applyBorder="1" applyAlignment="1">
      <alignment horizontal="left" vertical="center" wrapText="1"/>
    </xf>
    <xf numFmtId="0" fontId="28" fillId="22" borderId="1" xfId="3" applyFont="1" applyFill="1" applyBorder="1" applyAlignment="1" applyProtection="1">
      <alignment horizontal="center" vertical="center" wrapText="1"/>
      <protection locked="0"/>
    </xf>
    <xf numFmtId="0" fontId="81" fillId="25" borderId="1" xfId="3" applyFont="1" applyFill="1" applyBorder="1" applyAlignment="1">
      <alignment horizontal="center" vertical="center" wrapText="1"/>
    </xf>
    <xf numFmtId="0" fontId="2" fillId="0" borderId="1" xfId="3" applyBorder="1" applyAlignment="1">
      <alignment horizontal="center" vertical="center" wrapText="1"/>
    </xf>
    <xf numFmtId="49" fontId="2" fillId="0" borderId="1" xfId="3" applyNumberFormat="1" applyBorder="1" applyAlignment="1" applyProtection="1">
      <alignment horizontal="center" vertical="center" wrapText="1"/>
      <protection locked="0"/>
    </xf>
    <xf numFmtId="49" fontId="2" fillId="0" borderId="1" xfId="3" applyNumberFormat="1" applyBorder="1" applyAlignment="1">
      <alignment horizontal="center" vertical="center" wrapText="1"/>
    </xf>
    <xf numFmtId="49" fontId="2" fillId="0" borderId="1" xfId="3" applyNumberFormat="1" applyBorder="1" applyAlignment="1">
      <alignment horizontal="left" vertical="center" wrapText="1"/>
    </xf>
    <xf numFmtId="49" fontId="2" fillId="23" borderId="1" xfId="3" applyNumberFormat="1" applyFill="1" applyBorder="1" applyAlignment="1" applyProtection="1">
      <alignment horizontal="center" vertical="center" wrapText="1"/>
      <protection locked="0"/>
    </xf>
    <xf numFmtId="49" fontId="2" fillId="24" borderId="1" xfId="3" applyNumberFormat="1" applyFill="1" applyBorder="1" applyAlignment="1" applyProtection="1">
      <alignment horizontal="center" vertical="center" wrapText="1"/>
      <protection locked="0"/>
    </xf>
    <xf numFmtId="0" fontId="7" fillId="21" borderId="7" xfId="3" applyFont="1" applyFill="1" applyBorder="1" applyAlignment="1">
      <alignment horizontal="left" vertical="center" shrinkToFit="1"/>
    </xf>
    <xf numFmtId="0" fontId="7" fillId="21" borderId="8" xfId="3" applyFont="1" applyFill="1" applyBorder="1" applyAlignment="1">
      <alignment horizontal="left" vertical="center" shrinkToFit="1"/>
    </xf>
    <xf numFmtId="0" fontId="7" fillId="21" borderId="9" xfId="3" applyFont="1" applyFill="1" applyBorder="1" applyAlignment="1">
      <alignment horizontal="left" vertical="center" shrinkToFit="1"/>
    </xf>
    <xf numFmtId="0" fontId="65" fillId="21" borderId="4" xfId="3" applyFont="1" applyFill="1" applyBorder="1" applyAlignment="1">
      <alignment horizontal="left" vertical="center" shrinkToFit="1"/>
    </xf>
    <xf numFmtId="0" fontId="65" fillId="21" borderId="5" xfId="3" applyFont="1" applyFill="1" applyBorder="1" applyAlignment="1">
      <alignment horizontal="left" vertical="center" shrinkToFit="1"/>
    </xf>
    <xf numFmtId="0" fontId="65" fillId="21" borderId="6" xfId="3" applyFont="1" applyFill="1" applyBorder="1" applyAlignment="1">
      <alignment horizontal="left" vertical="center" shrinkToFit="1"/>
    </xf>
    <xf numFmtId="0" fontId="2" fillId="22" borderId="1" xfId="3" applyFill="1" applyBorder="1" applyAlignment="1" applyProtection="1">
      <alignment horizontal="center" vertical="center" wrapText="1"/>
      <protection locked="0"/>
    </xf>
    <xf numFmtId="0" fontId="7" fillId="21" borderId="7" xfId="3" applyFont="1" applyFill="1" applyBorder="1" applyAlignment="1">
      <alignment horizontal="left" vertical="center" wrapText="1"/>
    </xf>
    <xf numFmtId="0" fontId="7" fillId="21" borderId="8" xfId="3" applyFont="1" applyFill="1" applyBorder="1" applyAlignment="1">
      <alignment horizontal="left" vertical="center" wrapText="1"/>
    </xf>
    <xf numFmtId="0" fontId="7" fillId="21" borderId="9" xfId="3" applyFont="1" applyFill="1" applyBorder="1" applyAlignment="1">
      <alignment horizontal="left" vertical="center" wrapText="1"/>
    </xf>
    <xf numFmtId="0" fontId="64" fillId="21" borderId="4" xfId="3" applyFont="1" applyFill="1" applyBorder="1" applyAlignment="1">
      <alignment horizontal="left" vertical="center" shrinkToFit="1"/>
    </xf>
    <xf numFmtId="0" fontId="64" fillId="21" borderId="5" xfId="3" applyFont="1" applyFill="1" applyBorder="1" applyAlignment="1">
      <alignment horizontal="left" vertical="center" shrinkToFit="1"/>
    </xf>
    <xf numFmtId="0" fontId="64" fillId="21" borderId="6" xfId="3" applyFont="1" applyFill="1" applyBorder="1" applyAlignment="1">
      <alignment horizontal="left" vertical="center" shrinkToFit="1"/>
    </xf>
    <xf numFmtId="0" fontId="2" fillId="2" borderId="8" xfId="0" applyFont="1" applyFill="1" applyBorder="1" applyAlignment="1">
      <alignment horizontal="center" vertical="top"/>
    </xf>
    <xf numFmtId="0" fontId="0" fillId="2" borderId="9" xfId="0" applyFill="1" applyBorder="1" applyAlignment="1">
      <alignment horizontal="center" vertical="top"/>
    </xf>
    <xf numFmtId="0" fontId="0" fillId="2" borderId="5" xfId="0" applyFill="1" applyBorder="1" applyAlignment="1">
      <alignment horizontal="center" vertical="top"/>
    </xf>
    <xf numFmtId="0" fontId="0" fillId="2" borderId="6" xfId="0" applyFill="1" applyBorder="1" applyAlignment="1">
      <alignment horizontal="center" vertical="top"/>
    </xf>
    <xf numFmtId="0" fontId="11" fillId="3" borderId="7" xfId="7" applyFont="1" applyFill="1" applyBorder="1" applyAlignment="1">
      <alignment horizontal="center" vertical="distributed"/>
    </xf>
    <xf numFmtId="0" fontId="11" fillId="3" borderId="8" xfId="7" applyFont="1" applyFill="1" applyBorder="1" applyAlignment="1">
      <alignment horizontal="center" vertical="distributed"/>
    </xf>
    <xf numFmtId="0" fontId="11" fillId="3" borderId="9" xfId="7" applyFont="1" applyFill="1" applyBorder="1" applyAlignment="1">
      <alignment horizontal="center" vertical="distributed"/>
    </xf>
    <xf numFmtId="0" fontId="3" fillId="3" borderId="7" xfId="0" applyFont="1" applyFill="1" applyBorder="1" applyAlignment="1">
      <alignment horizontal="center" wrapText="1"/>
    </xf>
    <xf numFmtId="0" fontId="3" fillId="3" borderId="8" xfId="0" applyFont="1" applyFill="1" applyBorder="1" applyAlignment="1">
      <alignment horizontal="center" wrapText="1"/>
    </xf>
    <xf numFmtId="0" fontId="3" fillId="3" borderId="9" xfId="0" applyFont="1" applyFill="1" applyBorder="1" applyAlignment="1">
      <alignment horizontal="center" wrapText="1"/>
    </xf>
    <xf numFmtId="0" fontId="0" fillId="2" borderId="10" xfId="0" applyFill="1" applyBorder="1" applyAlignment="1">
      <alignment horizontal="left" wrapText="1" shrinkToFit="1"/>
    </xf>
    <xf numFmtId="0" fontId="0" fillId="2" borderId="11" xfId="0" applyFill="1" applyBorder="1" applyAlignment="1">
      <alignment horizontal="left" wrapText="1" shrinkToFit="1"/>
    </xf>
    <xf numFmtId="0" fontId="2" fillId="2" borderId="10" xfId="0" applyFont="1" applyFill="1" applyBorder="1" applyAlignment="1">
      <alignment horizontal="left" vertical="top" wrapText="1" shrinkToFit="1"/>
    </xf>
    <xf numFmtId="0" fontId="2" fillId="2" borderId="11" xfId="0" applyFont="1" applyFill="1" applyBorder="1" applyAlignment="1">
      <alignment horizontal="left" vertical="top" wrapText="1" shrinkToFit="1"/>
    </xf>
    <xf numFmtId="0" fontId="2" fillId="2" borderId="10" xfId="0" applyFont="1" applyFill="1" applyBorder="1" applyAlignment="1">
      <alignment horizontal="left" wrapText="1" shrinkToFit="1"/>
    </xf>
    <xf numFmtId="0" fontId="2" fillId="2" borderId="11" xfId="0" applyFont="1" applyFill="1" applyBorder="1" applyAlignment="1">
      <alignment horizontal="left" wrapText="1" shrinkToFit="1"/>
    </xf>
    <xf numFmtId="0" fontId="34" fillId="10" borderId="4" xfId="0" applyFont="1" applyFill="1" applyBorder="1" applyAlignment="1">
      <alignment horizontal="left" vertical="center"/>
    </xf>
    <xf numFmtId="0" fontId="34" fillId="10" borderId="5" xfId="0" applyFont="1" applyFill="1" applyBorder="1" applyAlignment="1">
      <alignment horizontal="left" vertical="center"/>
    </xf>
    <xf numFmtId="0" fontId="2" fillId="10" borderId="5" xfId="0" applyFont="1" applyFill="1" applyBorder="1" applyAlignment="1">
      <alignment horizontal="center" vertical="center"/>
    </xf>
    <xf numFmtId="0" fontId="2" fillId="10" borderId="6" xfId="0" applyFont="1" applyFill="1" applyBorder="1" applyAlignment="1">
      <alignment horizontal="center" vertical="center"/>
    </xf>
    <xf numFmtId="0" fontId="14" fillId="8" borderId="1" xfId="0" applyFont="1" applyFill="1" applyBorder="1" applyAlignment="1">
      <alignment horizontal="left" vertical="center" wrapText="1"/>
    </xf>
    <xf numFmtId="0" fontId="13" fillId="6" borderId="15" xfId="0" applyFont="1" applyFill="1" applyBorder="1" applyAlignment="1">
      <alignment horizontal="center" vertical="center" wrapText="1"/>
    </xf>
    <xf numFmtId="0" fontId="13" fillId="6" borderId="47" xfId="0" applyFont="1" applyFill="1" applyBorder="1" applyAlignment="1">
      <alignment horizontal="center" vertical="center" wrapText="1"/>
    </xf>
    <xf numFmtId="0" fontId="14" fillId="8" borderId="10" xfId="0" applyFont="1" applyFill="1" applyBorder="1" applyAlignment="1">
      <alignment horizontal="left" vertical="center" wrapText="1"/>
    </xf>
    <xf numFmtId="0" fontId="14" fillId="8" borderId="11" xfId="0" applyFont="1" applyFill="1" applyBorder="1" applyAlignment="1">
      <alignment horizontal="left" vertical="center" wrapText="1"/>
    </xf>
    <xf numFmtId="0" fontId="13" fillId="6" borderId="48" xfId="0" applyFont="1" applyFill="1" applyBorder="1" applyAlignment="1">
      <alignment horizontal="center" wrapText="1"/>
    </xf>
    <xf numFmtId="0" fontId="13" fillId="6" borderId="49" xfId="0" applyFont="1" applyFill="1" applyBorder="1" applyAlignment="1">
      <alignment horizontal="center" wrapText="1"/>
    </xf>
    <xf numFmtId="0" fontId="2" fillId="2" borderId="12" xfId="7" applyFont="1" applyFill="1" applyBorder="1" applyAlignment="1">
      <alignment horizontal="center" vertical="distributed" wrapText="1"/>
    </xf>
    <xf numFmtId="0" fontId="2" fillId="2" borderId="34" xfId="7" applyFont="1" applyFill="1" applyBorder="1" applyAlignment="1">
      <alignment horizontal="center" vertical="distributed" wrapText="1"/>
    </xf>
  </cellXfs>
  <cellStyles count="11">
    <cellStyle name="Calculation" xfId="1" builtinId="22"/>
    <cellStyle name="Hyperlink" xfId="2" builtinId="8"/>
    <cellStyle name="Normal" xfId="0" builtinId="0"/>
    <cellStyle name="Normal 2" xfId="3" xr:uid="{00000000-0005-0000-0000-000003000000}"/>
    <cellStyle name="Normal 2 2" xfId="4" xr:uid="{00000000-0005-0000-0000-000004000000}"/>
    <cellStyle name="Normal 2 3" xfId="10" xr:uid="{D4190D66-FBB4-495A-B63D-24107AA25138}"/>
    <cellStyle name="Normal 3" xfId="5" xr:uid="{00000000-0005-0000-0000-000005000000}"/>
    <cellStyle name="Normal 3 2" xfId="6" xr:uid="{00000000-0005-0000-0000-000006000000}"/>
    <cellStyle name="Normal_AEF 0XXX M - MA Process Evaluation Form - v2 - draft" xfId="7" xr:uid="{00000000-0005-0000-0000-000007000000}"/>
    <cellStyle name="Normal_Electronics_TG0_template_rev03 DBF" xfId="8" xr:uid="{00000000-0005-0000-0000-000009000000}"/>
    <cellStyle name="Output" xfId="9" builtinId="21"/>
  </cellStyles>
  <dxfs count="90">
    <dxf>
      <font>
        <b/>
        <i/>
        <condense val="0"/>
        <extend val="0"/>
      </font>
      <fill>
        <patternFill>
          <bgColor indexed="10"/>
        </patternFill>
      </fill>
    </dxf>
    <dxf>
      <font>
        <strike/>
        <condense val="0"/>
        <extend val="0"/>
      </font>
      <fill>
        <patternFill>
          <bgColor indexed="15"/>
        </patternFill>
      </fill>
    </dxf>
    <dxf>
      <fill>
        <patternFill>
          <bgColor indexed="11"/>
        </patternFill>
      </fill>
    </dxf>
    <dxf>
      <font>
        <b/>
        <i/>
        <condense val="0"/>
        <extend val="0"/>
      </font>
      <fill>
        <patternFill>
          <bgColor indexed="10"/>
        </patternFill>
      </fill>
    </dxf>
    <dxf>
      <font>
        <strike/>
        <condense val="0"/>
        <extend val="0"/>
      </font>
      <fill>
        <patternFill>
          <bgColor indexed="15"/>
        </patternFill>
      </fill>
    </dxf>
    <dxf>
      <fill>
        <patternFill>
          <bgColor indexed="11"/>
        </patternFill>
      </fill>
    </dxf>
    <dxf>
      <font>
        <b/>
        <i/>
        <condense val="0"/>
        <extend val="0"/>
      </font>
      <fill>
        <patternFill>
          <bgColor indexed="10"/>
        </patternFill>
      </fill>
    </dxf>
    <dxf>
      <font>
        <strike/>
        <condense val="0"/>
        <extend val="0"/>
      </font>
      <fill>
        <patternFill>
          <bgColor indexed="15"/>
        </patternFill>
      </fill>
    </dxf>
    <dxf>
      <fill>
        <patternFill>
          <bgColor indexed="11"/>
        </patternFill>
      </fill>
    </dxf>
    <dxf>
      <font>
        <b/>
        <i/>
        <condense val="0"/>
        <extend val="0"/>
      </font>
      <fill>
        <patternFill>
          <bgColor indexed="10"/>
        </patternFill>
      </fill>
    </dxf>
    <dxf>
      <font>
        <strike/>
        <condense val="0"/>
        <extend val="0"/>
      </font>
      <fill>
        <patternFill>
          <bgColor indexed="15"/>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sharedStrings" Target="sharedStrings.xml"/><Relationship Id="rId35"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47625</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28575</xdr:colOff>
      <xdr:row>2</xdr:row>
      <xdr:rowOff>97645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55</xdr:row>
      <xdr:rowOff>0</xdr:rowOff>
    </xdr:from>
    <xdr:to>
      <xdr:col>3</xdr:col>
      <xdr:colOff>114300</xdr:colOff>
      <xdr:row>58</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75</xdr:row>
      <xdr:rowOff>9525</xdr:rowOff>
    </xdr:from>
    <xdr:to>
      <xdr:col>2</xdr:col>
      <xdr:colOff>4410074</xdr:colOff>
      <xdr:row>76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71</xdr:row>
      <xdr:rowOff>47625</xdr:rowOff>
    </xdr:from>
    <xdr:to>
      <xdr:col>2</xdr:col>
      <xdr:colOff>3648075</xdr:colOff>
      <xdr:row>75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83</xdr:row>
      <xdr:rowOff>114300</xdr:rowOff>
    </xdr:from>
    <xdr:to>
      <xdr:col>2</xdr:col>
      <xdr:colOff>4791074</xdr:colOff>
      <xdr:row>85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79</xdr:row>
      <xdr:rowOff>133350</xdr:rowOff>
    </xdr:from>
    <xdr:to>
      <xdr:col>2</xdr:col>
      <xdr:colOff>3638550</xdr:colOff>
      <xdr:row>84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92</xdr:row>
      <xdr:rowOff>19050</xdr:rowOff>
    </xdr:from>
    <xdr:to>
      <xdr:col>2</xdr:col>
      <xdr:colOff>1990724</xdr:colOff>
      <xdr:row>93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88</xdr:row>
      <xdr:rowOff>0</xdr:rowOff>
    </xdr:from>
    <xdr:to>
      <xdr:col>2</xdr:col>
      <xdr:colOff>1123950</xdr:colOff>
      <xdr:row>92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102</xdr:row>
      <xdr:rowOff>104775</xdr:rowOff>
    </xdr:from>
    <xdr:to>
      <xdr:col>2</xdr:col>
      <xdr:colOff>2009774</xdr:colOff>
      <xdr:row>104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98</xdr:row>
      <xdr:rowOff>76200</xdr:rowOff>
    </xdr:from>
    <xdr:to>
      <xdr:col>2</xdr:col>
      <xdr:colOff>1076325</xdr:colOff>
      <xdr:row>102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92</xdr:row>
      <xdr:rowOff>28575</xdr:rowOff>
    </xdr:from>
    <xdr:to>
      <xdr:col>2</xdr:col>
      <xdr:colOff>4762500</xdr:colOff>
      <xdr:row>93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88</xdr:row>
      <xdr:rowOff>38100</xdr:rowOff>
    </xdr:from>
    <xdr:to>
      <xdr:col>2</xdr:col>
      <xdr:colOff>3619500</xdr:colOff>
      <xdr:row>92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92</xdr:row>
      <xdr:rowOff>28575</xdr:rowOff>
    </xdr:from>
    <xdr:to>
      <xdr:col>4</xdr:col>
      <xdr:colOff>428625</xdr:colOff>
      <xdr:row>93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88</xdr:row>
      <xdr:rowOff>9525</xdr:rowOff>
    </xdr:from>
    <xdr:to>
      <xdr:col>2</xdr:col>
      <xdr:colOff>6705600</xdr:colOff>
      <xdr:row>92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103</xdr:row>
      <xdr:rowOff>142875</xdr:rowOff>
    </xdr:from>
    <xdr:to>
      <xdr:col>3</xdr:col>
      <xdr:colOff>590549</xdr:colOff>
      <xdr:row>106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99</xdr:row>
      <xdr:rowOff>85725</xdr:rowOff>
    </xdr:from>
    <xdr:to>
      <xdr:col>2</xdr:col>
      <xdr:colOff>6696075</xdr:colOff>
      <xdr:row>103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115</xdr:row>
      <xdr:rowOff>57150</xdr:rowOff>
    </xdr:from>
    <xdr:to>
      <xdr:col>2</xdr:col>
      <xdr:colOff>4410074</xdr:colOff>
      <xdr:row>116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110</xdr:row>
      <xdr:rowOff>0</xdr:rowOff>
    </xdr:from>
    <xdr:to>
      <xdr:col>2</xdr:col>
      <xdr:colOff>3648075</xdr:colOff>
      <xdr:row>115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110</xdr:row>
      <xdr:rowOff>142875</xdr:rowOff>
    </xdr:from>
    <xdr:to>
      <xdr:col>2</xdr:col>
      <xdr:colOff>1809749</xdr:colOff>
      <xdr:row>113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106</xdr:row>
      <xdr:rowOff>152400</xdr:rowOff>
    </xdr:from>
    <xdr:to>
      <xdr:col>2</xdr:col>
      <xdr:colOff>1047750</xdr:colOff>
      <xdr:row>111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75</xdr:row>
      <xdr:rowOff>28575</xdr:rowOff>
    </xdr:from>
    <xdr:to>
      <xdr:col>2</xdr:col>
      <xdr:colOff>2919413</xdr:colOff>
      <xdr:row>79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84</xdr:row>
      <xdr:rowOff>0</xdr:rowOff>
    </xdr:from>
    <xdr:to>
      <xdr:col>2</xdr:col>
      <xdr:colOff>2909888</xdr:colOff>
      <xdr:row>88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84</xdr:row>
      <xdr:rowOff>0</xdr:rowOff>
    </xdr:from>
    <xdr:to>
      <xdr:col>2</xdr:col>
      <xdr:colOff>2909888</xdr:colOff>
      <xdr:row>88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84</xdr:row>
      <xdr:rowOff>0</xdr:rowOff>
    </xdr:from>
    <xdr:to>
      <xdr:col>2</xdr:col>
      <xdr:colOff>5976938</xdr:colOff>
      <xdr:row>88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57150</xdr:rowOff>
    </xdr:from>
    <xdr:to>
      <xdr:col>2</xdr:col>
      <xdr:colOff>395288</xdr:colOff>
      <xdr:row>98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92</xdr:row>
      <xdr:rowOff>76200</xdr:rowOff>
    </xdr:from>
    <xdr:to>
      <xdr:col>2</xdr:col>
      <xdr:colOff>2919413</xdr:colOff>
      <xdr:row>110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92</xdr:row>
      <xdr:rowOff>76200</xdr:rowOff>
    </xdr:from>
    <xdr:to>
      <xdr:col>2</xdr:col>
      <xdr:colOff>5967413</xdr:colOff>
      <xdr:row>99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92</xdr:row>
      <xdr:rowOff>57150</xdr:rowOff>
    </xdr:from>
    <xdr:to>
      <xdr:col>2</xdr:col>
      <xdr:colOff>5976938</xdr:colOff>
      <xdr:row>99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92</xdr:row>
      <xdr:rowOff>57150</xdr:rowOff>
    </xdr:from>
    <xdr:to>
      <xdr:col>2</xdr:col>
      <xdr:colOff>5976938</xdr:colOff>
      <xdr:row>110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102</xdr:row>
      <xdr:rowOff>133350</xdr:rowOff>
    </xdr:from>
    <xdr:to>
      <xdr:col>2</xdr:col>
      <xdr:colOff>2919413</xdr:colOff>
      <xdr:row>110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102</xdr:row>
      <xdr:rowOff>133350</xdr:rowOff>
    </xdr:from>
    <xdr:to>
      <xdr:col>2</xdr:col>
      <xdr:colOff>347663</xdr:colOff>
      <xdr:row>106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90</xdr:row>
      <xdr:rowOff>28576</xdr:rowOff>
    </xdr:from>
    <xdr:to>
      <xdr:col>1</xdr:col>
      <xdr:colOff>962025</xdr:colOff>
      <xdr:row>109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81</xdr:row>
      <xdr:rowOff>147638</xdr:rowOff>
    </xdr:from>
    <xdr:to>
      <xdr:col>2</xdr:col>
      <xdr:colOff>6696075</xdr:colOff>
      <xdr:row>101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125</xdr:row>
          <xdr:rowOff>104775</xdr:rowOff>
        </xdr:from>
        <xdr:to>
          <xdr:col>2</xdr:col>
          <xdr:colOff>6524625</xdr:colOff>
          <xdr:row>127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51</xdr:row>
      <xdr:rowOff>142875</xdr:rowOff>
    </xdr:from>
    <xdr:to>
      <xdr:col>2</xdr:col>
      <xdr:colOff>714375</xdr:colOff>
      <xdr:row>54</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51</xdr:row>
      <xdr:rowOff>114300</xdr:rowOff>
    </xdr:from>
    <xdr:to>
      <xdr:col>2</xdr:col>
      <xdr:colOff>3571875</xdr:colOff>
      <xdr:row>55</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51</xdr:row>
      <xdr:rowOff>104774</xdr:rowOff>
    </xdr:from>
    <xdr:to>
      <xdr:col>3</xdr:col>
      <xdr:colOff>533400</xdr:colOff>
      <xdr:row>55</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47</xdr:row>
      <xdr:rowOff>114300</xdr:rowOff>
    </xdr:from>
    <xdr:to>
      <xdr:col>2</xdr:col>
      <xdr:colOff>3581400</xdr:colOff>
      <xdr:row>50</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52</xdr:row>
      <xdr:rowOff>223838</xdr:rowOff>
    </xdr:from>
    <xdr:to>
      <xdr:col>2</xdr:col>
      <xdr:colOff>2114550</xdr:colOff>
      <xdr:row>53</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52</xdr:row>
      <xdr:rowOff>223837</xdr:rowOff>
    </xdr:from>
    <xdr:to>
      <xdr:col>2</xdr:col>
      <xdr:colOff>5095875</xdr:colOff>
      <xdr:row>52</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49</xdr:row>
      <xdr:rowOff>76200</xdr:rowOff>
    </xdr:from>
    <xdr:to>
      <xdr:col>2</xdr:col>
      <xdr:colOff>3581400</xdr:colOff>
      <xdr:row>52</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49</xdr:row>
      <xdr:rowOff>76200</xdr:rowOff>
    </xdr:from>
    <xdr:to>
      <xdr:col>2</xdr:col>
      <xdr:colOff>2124076</xdr:colOff>
      <xdr:row>52</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171450</xdr:colOff>
          <xdr:row>0</xdr:row>
          <xdr:rowOff>57150</xdr:rowOff>
        </xdr:from>
        <xdr:to>
          <xdr:col>7</xdr:col>
          <xdr:colOff>209550</xdr:colOff>
          <xdr:row>2</xdr:row>
          <xdr:rowOff>104775</xdr:rowOff>
        </xdr:to>
        <xdr:sp macro="" textlink="">
          <xdr:nvSpPr>
            <xdr:cNvPr id="14337" name="ComputeSynthesis"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27</xdr:row>
      <xdr:rowOff>295275</xdr:rowOff>
    </xdr:from>
    <xdr:to>
      <xdr:col>1</xdr:col>
      <xdr:colOff>5648325</xdr:colOff>
      <xdr:row>27</xdr:row>
      <xdr:rowOff>295275</xdr:rowOff>
    </xdr:to>
    <xdr:pic>
      <xdr:nvPicPr>
        <xdr:cNvPr id="1839664" name="Image 1">
          <a:extLst>
            <a:ext uri="{FF2B5EF4-FFF2-40B4-BE49-F238E27FC236}">
              <a16:creationId xmlns:a16="http://schemas.microsoft.com/office/drawing/2014/main" id="{00000000-0008-0000-0D00-000030121C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8039100"/>
          <a:ext cx="56292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19050</xdr:colOff>
      <xdr:row>27</xdr:row>
      <xdr:rowOff>342900</xdr:rowOff>
    </xdr:from>
    <xdr:to>
      <xdr:col>1</xdr:col>
      <xdr:colOff>7924800</xdr:colOff>
      <xdr:row>27</xdr:row>
      <xdr:rowOff>4133850</xdr:rowOff>
    </xdr:to>
    <xdr:pic>
      <xdr:nvPicPr>
        <xdr:cNvPr id="1839665" name="Image 3">
          <a:extLst>
            <a:ext uri="{FF2B5EF4-FFF2-40B4-BE49-F238E27FC236}">
              <a16:creationId xmlns:a16="http://schemas.microsoft.com/office/drawing/2014/main" id="{00000000-0008-0000-0D00-000031121C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8150" y="8086725"/>
          <a:ext cx="7905750"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Documents%20and%20Settings/FTHOMPSON/Bureau/CMMI%20Local/Change%20Control%20Board%20(TED)/Design%20Progress%20Sheet%20v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lvteams.alv.autoliv.int/Users/cyril.jouhanneau/Documents/avirer/PMD%20v1.10%20-%20With%20General%20info%20from%20blank.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lvteams.alv.autoliv.int/Users/cyril.jouhannea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ériés"/>
      <sheetName val="1stPage"/>
      <sheetName val="Add to Schedule"/>
      <sheetName val="Follow tasks"/>
      <sheetName val="Planning"/>
      <sheetName val="CCB"/>
      <sheetName val="Actions"/>
      <sheetName val="RisksFollowUp"/>
      <sheetName val="Metrics-SWReqs"/>
      <sheetName val="Metrics-CRS"/>
      <sheetName val="Metrics-EVE"/>
      <sheetName val="Metrics-Process"/>
      <sheetName val="Metrics-Milestones"/>
    </sheetNames>
    <sheetDataSet>
      <sheetData sheetId="0">
        <row r="1">
          <cell r="A1">
            <v>37987</v>
          </cell>
        </row>
        <row r="2">
          <cell r="A2">
            <v>38089</v>
          </cell>
        </row>
        <row r="3">
          <cell r="A3">
            <v>38108</v>
          </cell>
        </row>
        <row r="4">
          <cell r="A4">
            <v>38115</v>
          </cell>
        </row>
        <row r="5">
          <cell r="A5">
            <v>38127</v>
          </cell>
        </row>
        <row r="6">
          <cell r="A6">
            <v>38138</v>
          </cell>
        </row>
        <row r="7">
          <cell r="A7">
            <v>38182</v>
          </cell>
        </row>
        <row r="8">
          <cell r="A8">
            <v>38214</v>
          </cell>
        </row>
        <row r="9">
          <cell r="A9">
            <v>38292</v>
          </cell>
        </row>
        <row r="10">
          <cell r="A10">
            <v>38302</v>
          </cell>
        </row>
        <row r="11">
          <cell r="A11">
            <v>38346</v>
          </cell>
        </row>
        <row r="12">
          <cell r="A12">
            <v>38353</v>
          </cell>
        </row>
        <row r="13">
          <cell r="A13">
            <v>38439</v>
          </cell>
        </row>
        <row r="14">
          <cell r="A14">
            <v>38473</v>
          </cell>
        </row>
        <row r="15">
          <cell r="A15">
            <v>38477</v>
          </cell>
        </row>
        <row r="16">
          <cell r="A16">
            <v>38480</v>
          </cell>
        </row>
        <row r="17">
          <cell r="A17">
            <v>38488</v>
          </cell>
        </row>
        <row r="18">
          <cell r="A18">
            <v>38547</v>
          </cell>
        </row>
        <row r="19">
          <cell r="A19">
            <v>38579</v>
          </cell>
        </row>
        <row r="20">
          <cell r="A20">
            <v>38657</v>
          </cell>
        </row>
        <row r="21">
          <cell r="A21">
            <v>38667</v>
          </cell>
        </row>
        <row r="22">
          <cell r="A22">
            <v>38711</v>
          </cell>
        </row>
        <row r="23">
          <cell r="A23">
            <v>38718</v>
          </cell>
        </row>
        <row r="24">
          <cell r="A24">
            <v>38824</v>
          </cell>
        </row>
        <row r="25">
          <cell r="A25">
            <v>38838</v>
          </cell>
        </row>
        <row r="26">
          <cell r="A26">
            <v>38845</v>
          </cell>
        </row>
        <row r="27">
          <cell r="A27">
            <v>38862</v>
          </cell>
        </row>
        <row r="28">
          <cell r="A28">
            <v>38873</v>
          </cell>
        </row>
        <row r="29">
          <cell r="A29">
            <v>38912</v>
          </cell>
        </row>
        <row r="30">
          <cell r="A30">
            <v>38944</v>
          </cell>
        </row>
        <row r="31">
          <cell r="A31">
            <v>39022</v>
          </cell>
        </row>
        <row r="32">
          <cell r="A32">
            <v>39032</v>
          </cell>
        </row>
        <row r="33">
          <cell r="A33">
            <v>39076</v>
          </cell>
        </row>
        <row r="34">
          <cell r="A34">
            <v>39083</v>
          </cell>
        </row>
        <row r="35">
          <cell r="A35">
            <v>39181</v>
          </cell>
        </row>
        <row r="36">
          <cell r="A36">
            <v>39203</v>
          </cell>
        </row>
        <row r="37">
          <cell r="A37">
            <v>39210</v>
          </cell>
        </row>
        <row r="38">
          <cell r="A38">
            <v>39219</v>
          </cell>
        </row>
        <row r="39">
          <cell r="A39">
            <v>39230</v>
          </cell>
        </row>
        <row r="40">
          <cell r="A40">
            <v>39277</v>
          </cell>
        </row>
        <row r="41">
          <cell r="A41">
            <v>39309</v>
          </cell>
        </row>
        <row r="42">
          <cell r="A42">
            <v>39387</v>
          </cell>
        </row>
        <row r="43">
          <cell r="A43">
            <v>39397</v>
          </cell>
        </row>
        <row r="44">
          <cell r="A44">
            <v>39441</v>
          </cell>
        </row>
        <row r="45">
          <cell r="A45">
            <v>39448</v>
          </cell>
        </row>
        <row r="46">
          <cell r="A46">
            <v>39531</v>
          </cell>
        </row>
        <row r="47">
          <cell r="A47">
            <v>39569</v>
          </cell>
        </row>
        <row r="48">
          <cell r="A48">
            <v>39569</v>
          </cell>
        </row>
        <row r="49">
          <cell r="A49">
            <v>39576</v>
          </cell>
        </row>
        <row r="50">
          <cell r="A50">
            <v>39580</v>
          </cell>
        </row>
        <row r="51">
          <cell r="A51">
            <v>39643</v>
          </cell>
        </row>
        <row r="52">
          <cell r="A52">
            <v>39675</v>
          </cell>
        </row>
        <row r="53">
          <cell r="A53">
            <v>39753</v>
          </cell>
        </row>
        <row r="54">
          <cell r="A54">
            <v>39763</v>
          </cell>
        </row>
        <row r="55">
          <cell r="A55">
            <v>39807</v>
          </cell>
        </row>
        <row r="56">
          <cell r="A56">
            <v>39814</v>
          </cell>
        </row>
        <row r="57">
          <cell r="A57">
            <v>39916</v>
          </cell>
        </row>
        <row r="58">
          <cell r="A58">
            <v>39934</v>
          </cell>
        </row>
        <row r="59">
          <cell r="A59">
            <v>39941</v>
          </cell>
        </row>
        <row r="60">
          <cell r="A60">
            <v>39954</v>
          </cell>
        </row>
        <row r="61">
          <cell r="A61">
            <v>39965</v>
          </cell>
        </row>
        <row r="62">
          <cell r="A62">
            <v>40008</v>
          </cell>
        </row>
        <row r="63">
          <cell r="A63">
            <v>40040</v>
          </cell>
        </row>
        <row r="64">
          <cell r="A64">
            <v>40118</v>
          </cell>
        </row>
        <row r="65">
          <cell r="A65">
            <v>40128</v>
          </cell>
        </row>
        <row r="66">
          <cell r="A66">
            <v>40172</v>
          </cell>
        </row>
        <row r="67">
          <cell r="A67">
            <v>40179</v>
          </cell>
        </row>
        <row r="68">
          <cell r="A68">
            <v>40273</v>
          </cell>
        </row>
        <row r="69">
          <cell r="A69">
            <v>40299</v>
          </cell>
        </row>
        <row r="70">
          <cell r="A70">
            <v>40306</v>
          </cell>
        </row>
        <row r="71">
          <cell r="A71">
            <v>40311</v>
          </cell>
        </row>
        <row r="72">
          <cell r="A72">
            <v>40322</v>
          </cell>
        </row>
        <row r="73">
          <cell r="A73">
            <v>40373</v>
          </cell>
        </row>
        <row r="74">
          <cell r="A74">
            <v>40405</v>
          </cell>
        </row>
        <row r="75">
          <cell r="A75">
            <v>40483</v>
          </cell>
        </row>
        <row r="76">
          <cell r="A76">
            <v>40493</v>
          </cell>
        </row>
        <row r="77">
          <cell r="A77">
            <v>40537</v>
          </cell>
        </row>
        <row r="78">
          <cell r="A78">
            <v>40544</v>
          </cell>
        </row>
        <row r="79">
          <cell r="A79">
            <v>40658</v>
          </cell>
        </row>
        <row r="80">
          <cell r="A80">
            <v>40664</v>
          </cell>
        </row>
        <row r="81">
          <cell r="A81">
            <v>40671</v>
          </cell>
        </row>
        <row r="82">
          <cell r="A82">
            <v>40696</v>
          </cell>
        </row>
        <row r="83">
          <cell r="A83">
            <v>40707</v>
          </cell>
        </row>
        <row r="84">
          <cell r="A84">
            <v>40738</v>
          </cell>
        </row>
        <row r="85">
          <cell r="A85">
            <v>40770</v>
          </cell>
        </row>
        <row r="86">
          <cell r="A86">
            <v>40848</v>
          </cell>
        </row>
        <row r="87">
          <cell r="A87">
            <v>40858</v>
          </cell>
        </row>
        <row r="88">
          <cell r="A88">
            <v>40902</v>
          </cell>
        </row>
        <row r="89">
          <cell r="A89">
            <v>40909</v>
          </cell>
        </row>
        <row r="90">
          <cell r="A90">
            <v>41008</v>
          </cell>
        </row>
        <row r="91">
          <cell r="A91">
            <v>41030</v>
          </cell>
        </row>
        <row r="92">
          <cell r="A92">
            <v>41037</v>
          </cell>
        </row>
        <row r="93">
          <cell r="A93">
            <v>41046</v>
          </cell>
        </row>
        <row r="94">
          <cell r="A94">
            <v>41057</v>
          </cell>
        </row>
        <row r="95">
          <cell r="A95">
            <v>41104</v>
          </cell>
        </row>
        <row r="96">
          <cell r="A96">
            <v>41136</v>
          </cell>
        </row>
        <row r="97">
          <cell r="A97">
            <v>41214</v>
          </cell>
        </row>
        <row r="98">
          <cell r="A98">
            <v>41224</v>
          </cell>
        </row>
        <row r="99">
          <cell r="A99">
            <v>41268</v>
          </cell>
        </row>
        <row r="100">
          <cell r="A100">
            <v>41275</v>
          </cell>
        </row>
        <row r="101">
          <cell r="A101">
            <v>41365</v>
          </cell>
        </row>
        <row r="102">
          <cell r="A102">
            <v>41395</v>
          </cell>
        </row>
        <row r="103">
          <cell r="A103">
            <v>41402</v>
          </cell>
        </row>
        <row r="104">
          <cell r="A104">
            <v>41403</v>
          </cell>
        </row>
        <row r="105">
          <cell r="A105">
            <v>41414</v>
          </cell>
        </row>
        <row r="106">
          <cell r="A106">
            <v>41469</v>
          </cell>
        </row>
        <row r="107">
          <cell r="A107">
            <v>41501</v>
          </cell>
        </row>
        <row r="108">
          <cell r="A108">
            <v>41579</v>
          </cell>
        </row>
        <row r="109">
          <cell r="A109">
            <v>41589</v>
          </cell>
        </row>
        <row r="110">
          <cell r="A110">
            <v>41633</v>
          </cell>
        </row>
        <row r="111">
          <cell r="A111">
            <v>41640</v>
          </cell>
        </row>
        <row r="112">
          <cell r="A112">
            <v>41750</v>
          </cell>
        </row>
        <row r="113">
          <cell r="A113">
            <v>41760</v>
          </cell>
        </row>
        <row r="114">
          <cell r="A114">
            <v>41767</v>
          </cell>
        </row>
        <row r="115">
          <cell r="A115">
            <v>41788</v>
          </cell>
        </row>
        <row r="116">
          <cell r="A116">
            <v>41799</v>
          </cell>
        </row>
        <row r="117">
          <cell r="A117">
            <v>41834</v>
          </cell>
        </row>
        <row r="118">
          <cell r="A118">
            <v>41866</v>
          </cell>
        </row>
        <row r="119">
          <cell r="A119">
            <v>41944</v>
          </cell>
        </row>
        <row r="120">
          <cell r="A120">
            <v>41954</v>
          </cell>
        </row>
        <row r="121">
          <cell r="A121">
            <v>41998</v>
          </cell>
        </row>
        <row r="122">
          <cell r="A122">
            <v>42005</v>
          </cell>
        </row>
        <row r="123">
          <cell r="A123">
            <v>42100</v>
          </cell>
        </row>
        <row r="124">
          <cell r="A124">
            <v>42125</v>
          </cell>
        </row>
        <row r="125">
          <cell r="A125">
            <v>42132</v>
          </cell>
        </row>
        <row r="126">
          <cell r="A126">
            <v>42138</v>
          </cell>
        </row>
        <row r="127">
          <cell r="A127">
            <v>42149</v>
          </cell>
        </row>
        <row r="128">
          <cell r="A128">
            <v>42199</v>
          </cell>
        </row>
        <row r="129">
          <cell r="A129">
            <v>42231</v>
          </cell>
        </row>
        <row r="130">
          <cell r="A130">
            <v>42309</v>
          </cell>
        </row>
        <row r="131">
          <cell r="A131">
            <v>42319</v>
          </cell>
        </row>
        <row r="132">
          <cell r="A132">
            <v>42363</v>
          </cell>
        </row>
        <row r="133">
          <cell r="A133">
            <v>42370</v>
          </cell>
        </row>
        <row r="134">
          <cell r="A134">
            <v>42457</v>
          </cell>
        </row>
        <row r="135">
          <cell r="A135">
            <v>42491</v>
          </cell>
        </row>
        <row r="136">
          <cell r="A136">
            <v>42495</v>
          </cell>
        </row>
        <row r="137">
          <cell r="A137">
            <v>42498</v>
          </cell>
        </row>
        <row r="138">
          <cell r="A138">
            <v>42506</v>
          </cell>
        </row>
        <row r="139">
          <cell r="A139">
            <v>42565</v>
          </cell>
        </row>
        <row r="140">
          <cell r="A140">
            <v>42597</v>
          </cell>
        </row>
        <row r="141">
          <cell r="A141">
            <v>42675</v>
          </cell>
        </row>
        <row r="142">
          <cell r="A142">
            <v>42685</v>
          </cell>
        </row>
        <row r="143">
          <cell r="A143">
            <v>42729</v>
          </cell>
        </row>
        <row r="144">
          <cell r="A144">
            <v>42736</v>
          </cell>
        </row>
        <row r="145">
          <cell r="A145">
            <v>42842</v>
          </cell>
        </row>
        <row r="146">
          <cell r="A146">
            <v>42856</v>
          </cell>
        </row>
        <row r="147">
          <cell r="A147">
            <v>42863</v>
          </cell>
        </row>
        <row r="148">
          <cell r="A148">
            <v>42880</v>
          </cell>
        </row>
        <row r="149">
          <cell r="A149">
            <v>42891</v>
          </cell>
        </row>
        <row r="150">
          <cell r="A150">
            <v>42930</v>
          </cell>
        </row>
        <row r="151">
          <cell r="A151">
            <v>42962</v>
          </cell>
        </row>
        <row r="152">
          <cell r="A152">
            <v>43040</v>
          </cell>
        </row>
        <row r="153">
          <cell r="A153">
            <v>43050</v>
          </cell>
        </row>
        <row r="154">
          <cell r="A154">
            <v>43094</v>
          </cell>
        </row>
        <row r="155">
          <cell r="A155">
            <v>43101</v>
          </cell>
        </row>
        <row r="156">
          <cell r="A156">
            <v>43192</v>
          </cell>
        </row>
        <row r="157">
          <cell r="A157">
            <v>43221</v>
          </cell>
        </row>
        <row r="158">
          <cell r="A158">
            <v>43228</v>
          </cell>
        </row>
        <row r="159">
          <cell r="A159">
            <v>43230</v>
          </cell>
        </row>
        <row r="160">
          <cell r="A160">
            <v>43241</v>
          </cell>
        </row>
        <row r="161">
          <cell r="A161">
            <v>43295</v>
          </cell>
        </row>
        <row r="162">
          <cell r="A162">
            <v>43327</v>
          </cell>
        </row>
        <row r="163">
          <cell r="A163">
            <v>43405</v>
          </cell>
        </row>
        <row r="164">
          <cell r="A164">
            <v>43415</v>
          </cell>
        </row>
        <row r="165">
          <cell r="A165">
            <v>43459</v>
          </cell>
        </row>
        <row r="166">
          <cell r="A166">
            <v>43466</v>
          </cell>
        </row>
        <row r="167">
          <cell r="A167">
            <v>43577</v>
          </cell>
        </row>
        <row r="168">
          <cell r="A168">
            <v>43586</v>
          </cell>
        </row>
        <row r="169">
          <cell r="A169">
            <v>43593</v>
          </cell>
        </row>
        <row r="170">
          <cell r="A170">
            <v>43615</v>
          </cell>
        </row>
        <row r="171">
          <cell r="A171">
            <v>43626</v>
          </cell>
        </row>
        <row r="172">
          <cell r="A172">
            <v>43660</v>
          </cell>
        </row>
        <row r="173">
          <cell r="A173">
            <v>43692</v>
          </cell>
        </row>
        <row r="174">
          <cell r="A174">
            <v>43770</v>
          </cell>
        </row>
        <row r="175">
          <cell r="A175">
            <v>43780</v>
          </cell>
        </row>
        <row r="176">
          <cell r="A176">
            <v>43824</v>
          </cell>
        </row>
        <row r="177">
          <cell r="A177">
            <v>43831</v>
          </cell>
        </row>
        <row r="178">
          <cell r="A178">
            <v>43934</v>
          </cell>
        </row>
        <row r="179">
          <cell r="A179">
            <v>43952</v>
          </cell>
        </row>
        <row r="180">
          <cell r="A180">
            <v>43959</v>
          </cell>
        </row>
        <row r="181">
          <cell r="A181">
            <v>43972</v>
          </cell>
        </row>
        <row r="182">
          <cell r="A182">
            <v>43983</v>
          </cell>
        </row>
        <row r="183">
          <cell r="A183">
            <v>44026</v>
          </cell>
        </row>
        <row r="184">
          <cell r="A184">
            <v>44058</v>
          </cell>
        </row>
        <row r="185">
          <cell r="A185">
            <v>44136</v>
          </cell>
        </row>
        <row r="186">
          <cell r="A186">
            <v>44146</v>
          </cell>
        </row>
        <row r="187">
          <cell r="A187">
            <v>44190</v>
          </cell>
        </row>
      </sheetData>
      <sheetData sheetId="1"/>
      <sheetData sheetId="2"/>
      <sheetData sheetId="3"/>
      <sheetData sheetId="4"/>
      <sheetData sheetId="5"/>
      <sheetData sheetId="6"/>
      <sheetData sheetId="7">
        <row r="1">
          <cell r="AC1" t="str">
            <v>Requirements</v>
          </cell>
          <cell r="AE1">
            <v>1</v>
          </cell>
        </row>
        <row r="2">
          <cell r="AC2" t="str">
            <v xml:space="preserve"> Uncertain or unrealistic specifications</v>
          </cell>
          <cell r="AE2">
            <v>3</v>
          </cell>
        </row>
        <row r="3">
          <cell r="AC3" t="str">
            <v xml:space="preserve"> Uncertain interfaces with other systems</v>
          </cell>
          <cell r="AE3">
            <v>5</v>
          </cell>
        </row>
        <row r="4">
          <cell r="AC4" t="str">
            <v xml:space="preserve"> Evolution of the specifications</v>
          </cell>
          <cell r="AE4">
            <v>7</v>
          </cell>
        </row>
        <row r="5">
          <cell r="AC5" t="str">
            <v xml:space="preserve"> Low quality of the specifications</v>
          </cell>
          <cell r="AE5">
            <v>10</v>
          </cell>
        </row>
        <row r="6">
          <cell r="AC6" t="str">
            <v xml:space="preserve"> Information or process formalization defects</v>
          </cell>
        </row>
        <row r="7">
          <cell r="AC7" t="str">
            <v xml:space="preserve"> Incomprehension or unreadable  specifications because need of a specific tool (ex : statemate)</v>
          </cell>
        </row>
        <row r="8">
          <cell r="AC8" t="str">
            <v>Project follow-up</v>
          </cell>
        </row>
        <row r="9">
          <cell r="AC9" t="str">
            <v xml:space="preserve"> Unforeseeable costs of the project</v>
          </cell>
        </row>
        <row r="10">
          <cell r="AC10" t="str">
            <v xml:space="preserve"> Delay in the delivery</v>
          </cell>
        </row>
        <row r="11">
          <cell r="AC11" t="str">
            <v xml:space="preserve"> Evolution of the specifications</v>
          </cell>
        </row>
        <row r="12">
          <cell r="AC12" t="str">
            <v xml:space="preserve"> Insufficient resources</v>
          </cell>
        </row>
        <row r="13">
          <cell r="AC13" t="str">
            <v xml:space="preserve"> High constraints of planning</v>
          </cell>
        </row>
        <row r="14">
          <cell r="AC14" t="str">
            <v xml:space="preserve"> Tight budget</v>
          </cell>
        </row>
        <row r="15">
          <cell r="AC15" t="str">
            <v xml:space="preserve"> Optimistic forecasts</v>
          </cell>
        </row>
        <row r="16">
          <cell r="AC16" t="str">
            <v xml:space="preserve"> The resources and the budgets are underestimated</v>
          </cell>
        </row>
        <row r="17">
          <cell r="AC17" t="str">
            <v xml:space="preserve"> Frequent amendments are required during the development</v>
          </cell>
        </row>
        <row r="18">
          <cell r="AC18" t="str">
            <v>Project team</v>
          </cell>
        </row>
        <row r="19">
          <cell r="AC19" t="str">
            <v xml:space="preserve"> Miss competence (project follow-up - development - integration - quality - …)</v>
          </cell>
        </row>
        <row r="20">
          <cell r="AC20" t="str">
            <v xml:space="preserve"> Significant organizational changes</v>
          </cell>
        </row>
        <row r="21">
          <cell r="AC21" t="str">
            <v xml:space="preserve"> Miss communication between the actors</v>
          </cell>
        </row>
        <row r="22">
          <cell r="AC22" t="str">
            <v xml:space="preserve"> Low capacity of the actors</v>
          </cell>
        </row>
        <row r="23">
          <cell r="AC23" t="str">
            <v xml:space="preserve"> Absence of motivation of the project team</v>
          </cell>
        </row>
        <row r="24">
          <cell r="AC24" t="str">
            <v>Project complexity</v>
          </cell>
        </row>
        <row r="25">
          <cell r="AC25" t="str">
            <v xml:space="preserve"> Erroneous or unrealizable system</v>
          </cell>
        </row>
        <row r="26">
          <cell r="AC26" t="str">
            <v xml:space="preserve"> Problems of integration</v>
          </cell>
        </row>
        <row r="27">
          <cell r="AC27" t="str">
            <v xml:space="preserve"> New technology</v>
          </cell>
        </row>
        <row r="28">
          <cell r="AC28" t="str">
            <v xml:space="preserve"> Significant degree of innovation</v>
          </cell>
        </row>
        <row r="29">
          <cell r="AC29" t="str">
            <v xml:space="preserve"> Significant volume of generated data</v>
          </cell>
        </row>
        <row r="30">
          <cell r="AC30" t="str">
            <v xml:space="preserve"> Complex structure of the data</v>
          </cell>
        </row>
        <row r="31">
          <cell r="AC31" t="str">
            <v xml:space="preserve"> Performances requested high</v>
          </cell>
        </row>
        <row r="32">
          <cell r="AC32" t="str">
            <v xml:space="preserve"> High quality standards</v>
          </cell>
        </row>
        <row r="33">
          <cell r="AC33" t="str">
            <v xml:space="preserve"> Many external interfaces</v>
          </cell>
        </row>
        <row r="34">
          <cell r="AC34" t="str">
            <v xml:space="preserve"> The project is of excessive size</v>
          </cell>
        </row>
        <row r="35">
          <cell r="AC35" t="str">
            <v xml:space="preserve"> Inadequate µprocessor resources</v>
          </cell>
        </row>
        <row r="36">
          <cell r="AC36" t="str">
            <v xml:space="preserve"> Uncertain software carry-over</v>
          </cell>
        </row>
        <row r="37">
          <cell r="AC37" t="str">
            <v xml:space="preserve"> Strongly disturbed environment</v>
          </cell>
        </row>
        <row r="38">
          <cell r="AC38" t="str">
            <v xml:space="preserve">Development environment </v>
          </cell>
        </row>
        <row r="39">
          <cell r="AC39" t="str">
            <v xml:space="preserve"> Absence of method of specification</v>
          </cell>
        </row>
        <row r="40">
          <cell r="AC40" t="str">
            <v xml:space="preserve"> Absence of method of design</v>
          </cell>
        </row>
        <row r="41">
          <cell r="AC41" t="str">
            <v xml:space="preserve"> Not controlled software tools of engineering</v>
          </cell>
        </row>
        <row r="42">
          <cell r="AC42" t="str">
            <v xml:space="preserve"> Miss availability of the environment of development</v>
          </cell>
        </row>
        <row r="43">
          <cell r="AC43" t="str">
            <v xml:space="preserve"> Unreliable environment of test</v>
          </cell>
        </row>
        <row r="44">
          <cell r="AC44" t="str">
            <v xml:space="preserve"> Absence of configuration management tool</v>
          </cell>
        </row>
        <row r="45">
          <cell r="AC45" t="str">
            <v xml:space="preserve"> Integrated tool non available</v>
          </cell>
        </row>
        <row r="46">
          <cell r="AC46" t="str">
            <v xml:space="preserve"> Test coverage not ensured</v>
          </cell>
        </row>
        <row r="47">
          <cell r="AC47" t="str">
            <v xml:space="preserve"> Management of the changes not controlled</v>
          </cell>
        </row>
        <row r="48">
          <cell r="AC48" t="str">
            <v>Documentation</v>
          </cell>
        </row>
        <row r="49">
          <cell r="AC49" t="str">
            <v xml:space="preserve"> Incoherent or non updated specifications</v>
          </cell>
        </row>
        <row r="50">
          <cell r="AC50" t="str">
            <v xml:space="preserve"> Quality Plan not updated</v>
          </cell>
        </row>
        <row r="51">
          <cell r="AC51" t="str">
            <v xml:space="preserve"> Software Version Form not updated</v>
          </cell>
        </row>
        <row r="52">
          <cell r="AC52" t="str">
            <v xml:space="preserve"> Absence of plan of validation (test)</v>
          </cell>
        </row>
        <row r="53">
          <cell r="AC53" t="str">
            <v>Product Quality</v>
          </cell>
        </row>
        <row r="54">
          <cell r="AC54" t="str">
            <v xml:space="preserve"> Quality requirements unknown or disproportionate</v>
          </cell>
        </row>
        <row r="55">
          <cell r="AC55" t="str">
            <v xml:space="preserve"> High number of anomalies</v>
          </cell>
        </row>
        <row r="56">
          <cell r="AC56" t="str">
            <v xml:space="preserve"> Insufficient documentation quality</v>
          </cell>
        </row>
        <row r="57">
          <cell r="AC57" t="str">
            <v xml:space="preserve"> Insufficient quality code</v>
          </cell>
        </row>
        <row r="58">
          <cell r="AC58" t="str">
            <v xml:space="preserve"> Insufficient cover of test</v>
          </cell>
        </row>
        <row r="59">
          <cell r="AC59" t="str">
            <v xml:space="preserve"> Incomplete file of validation</v>
          </cell>
        </row>
        <row r="60">
          <cell r="AC60" t="str">
            <v xml:space="preserve"> Insufficient performance of the software</v>
          </cell>
        </row>
      </sheetData>
      <sheetData sheetId="8"/>
      <sheetData sheetId="9"/>
      <sheetData sheetId="10"/>
      <sheetData sheetId="1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Content"/>
    </sheetNames>
    <sheetDataSet>
      <sheetData sheetId="0">
        <row r="3">
          <cell r="AD3" t="str">
            <v>PMD vX.2 - Data duplicated with format.xlsm</v>
          </cell>
        </row>
        <row r="5">
          <cell r="A5" t="str">
            <v>Project Name and Number</v>
          </cell>
          <cell r="W5" t="str">
            <v>Released</v>
          </cell>
          <cell r="AB5" t="str">
            <v>YYYY-MM-DD</v>
          </cell>
        </row>
        <row r="7">
          <cell r="A7" t="str">
            <v>Exxxxxx</v>
          </cell>
          <cell r="E7" t="str">
            <v>Generic Excel template</v>
          </cell>
          <cell r="AB7" t="str">
            <v>xxx</v>
          </cell>
          <cell r="AE7" t="str">
            <v>xxx</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persons/person.xml><?xml version="1.0" encoding="utf-8"?>
<personList xmlns="http://schemas.microsoft.com/office/spreadsheetml/2018/threadedcomments" xmlns:x="http://schemas.openxmlformats.org/spreadsheetml/2006/main">
  <person displayName="Irina Voica" id="{0C880BA8-B73D-4DFE-83DD-D2EA884542F3}" userId="S::irina.miron@autoliv.com::e6db56b9-f88c-488b-a14a-58deb1e9c7ec" providerId="AD"/>
  <person displayName="Cyril Jouhanneau" id="{4410F425-F88D-409E-83B0-3808B2D0FE08}" userId="S::cyril.jouhanneau.external@autoliv.com::4fb25fb8-b9de-4265-aa9a-d072f426215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3" dT="2019-09-30T11:48:45.35" personId="{4410F425-F88D-409E-83B0-3808B2D0FE08}" id="{3BEEE150-CDB7-4B22-8521-FD3CA62DD140}">
    <text>To be reworked</text>
  </threadedComment>
  <threadedComment ref="B13" dT="2019-10-24T09:48:25.06" personId="{0C880BA8-B73D-4DFE-83DD-D2EA884542F3}" id="{6DAB6794-725F-4F8C-9624-0F6DB81FF8DB}" parentId="{3BEEE150-CDB7-4B22-8521-FD3CA62DD140}">
    <text>Review sheet there are 4 review methods and only 3 are described here.  I have prepared a document with more detailed description of the review methods</text>
  </threadedComment>
  <threadedComment ref="F19" dT="2019-10-24T09:45:17.22" personId="{0C880BA8-B73D-4DFE-83DD-D2EA884542F3}" id="{DC9E864A-8115-46A7-BAE5-993490F386FE}">
    <text>KGAS_3242 "Each review must be documented."
KGAS_3577 "All review documentations must be put under version control."
KGAS_3227  "All review documentations must include a clear statement if the work product is ready for resubmission and approved for further utilization."
"KGAS_3235" Used verification criteria must be documented for all reviews.</text>
  </threadedComment>
  <threadedComment ref="F20" dT="2019-10-24T09:46:59.19" personId="{0C880BA8-B73D-4DFE-83DD-D2EA884542F3}" id="{0180DF6E-9091-4A6F-8AC9-1CBFDA59F091}">
    <text>KGAS_3236 Consumed effort and duration must be documented for all reviews.</text>
  </threadedComment>
  <threadedComment ref="F21" dT="2019-10-24T09:49:11.65" personId="{0C880BA8-B73D-4DFE-83DD-D2EA884542F3}" id="{DDB2772C-7E8E-4A53-898F-3615291C5B30}">
    <text>KGAS_3236 Consumed effort and duration must be documented for all reviews.</text>
  </threadedComment>
  <threadedComment ref="B49" dT="2019-09-30T11:47:04.11" personId="{4410F425-F88D-409E-83B0-3808B2D0FE08}" id="{177D809D-2020-41FD-A436-DB70B6139886}">
    <text>The moderator is missing in this sheet</text>
  </threadedComment>
</ThreadedComments>
</file>

<file path=xl/threadedComments/threadedComment2.xml><?xml version="1.0" encoding="utf-8"?>
<ThreadedComments xmlns="http://schemas.microsoft.com/office/spreadsheetml/2018/threadedcomments" xmlns:x="http://schemas.openxmlformats.org/spreadsheetml/2006/main">
  <threadedComment ref="J3" dT="2019-09-30T11:49:52.77" personId="{4410F425-F88D-409E-83B0-3808B2D0FE08}" id="{5B1762A5-4B53-406B-831A-42678279CEB5}">
    <text>Review types must be consistant with the process</text>
  </threadedComment>
  <threadedComment ref="I5" dT="2019-10-24T09:46:13.12" personId="{0C880BA8-B73D-4DFE-83DD-D2EA884542F3}" id="{4F07D554-8883-424C-8AAE-3311ED8AC009}">
    <text>KGAS "For all deviations identified in reviews, severity must be documented (e.g. critical for project, mediocre deviation, minor deviation)."</text>
  </threadedComment>
</ThreadedComments>
</file>

<file path=xl/threadedComments/threadedComment3.xml><?xml version="1.0" encoding="utf-8"?>
<ThreadedComments xmlns="http://schemas.microsoft.com/office/spreadsheetml/2018/threadedcomments" xmlns:x="http://schemas.openxmlformats.org/spreadsheetml/2006/main">
  <threadedComment ref="B12" dT="2019-08-14T12:33:09.53" personId="{4410F425-F88D-409E-83B0-3808B2D0FE08}" id="{48FCD6E1-12B1-41B4-9532-5C9EE3E97045}">
    <text>Do we keep this part ?</text>
  </threadedComment>
  <threadedComment ref="B24" dT="2019-08-14T12:32:41.04" personId="{4410F425-F88D-409E-83B0-3808B2D0FE08}" id="{081CC94B-DEC8-4F4A-A881-A989B59BB678}">
    <text>To be discussed. High workload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alva-mks01:7001/siro/viewrevision?projectName=e:/MKSProjects/ALE%20Core%20Software/ALE%20Process%20Standards/ProductIntegration/Other/project.pj&amp;selection=SW04OTH000_Integration_Test_Plan_Review_Criteria.xlsx&amp;revision=1.3" TargetMode="Externa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alva-mks01:7001/siro/viewrevision?projectName=e:/MKSProjects/ALE%20Core%20Software/ALE%20Process%20Standards/Verification/Other.pj&amp;selection=Other/SW05OTH005_SW_Verification_Plan_Review_Criteria.xlsx&amp;revision=1.1"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alva-mks01:7001/siro/viewrevision?projectName=e:/MKSProjects/ALE%20Core%20Software/ALE%20Process%20Standards/Verification/Other.pj&amp;selection=Other/SW05OTH006_SW_Verification_Time_Schedule_Review_Criteria.xlsx&amp;revision=1.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4.bin"/><Relationship Id="rId1" Type="http://schemas.openxmlformats.org/officeDocument/2006/relationships/hyperlink" Target="http://alva-mks01:7001/siro/viewrevision?projectName=e:/MKSProjects/ALE%20Core%20Software/ALE%20Process%20Standards/ProductDevelopment/Other/project.pj&amp;selection=SW03OTH008_SW_Architecture_Review_Criteria.xlsx&amp;revision=1.1" TargetMode="External"/><Relationship Id="rId5" Type="http://schemas.openxmlformats.org/officeDocument/2006/relationships/comments" Target="../comments7.xml"/><Relationship Id="rId4" Type="http://schemas.openxmlformats.org/officeDocument/2006/relationships/vmlDrawing" Target="../drawings/vmlDrawing9.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6.bin"/><Relationship Id="rId1" Type="http://schemas.openxmlformats.org/officeDocument/2006/relationships/hyperlink" Target="http://alva-mks01:7001/siro/viewrevision?projectName=e:/MKSProjects/ALE%20Core%20Software/ALE%20Process%20Standards/ProductDevelopment/Other/project.pj&amp;selection=SW03OTH005_SW_AAU_Design_Peer_Review_Verification_Criteria.xlsx&amp;revision=1.1" TargetMode="External"/><Relationship Id="rId4" Type="http://schemas.openxmlformats.org/officeDocument/2006/relationships/comments" Target="../comments8.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portal.automotive-his.de/images/pdf/SoftwareTest/his-sc-metriken.1.3.1_e.pdf" TargetMode="External"/><Relationship Id="rId1" Type="http://schemas.openxmlformats.org/officeDocument/2006/relationships/hyperlink" Target="http://alva-mks01:7001/siro/viewrevision?projectName=e:/MKSProjects/ALE%20Core%20Software/ALE%20Process%20Standards/ProductDevelopment/Other/project.pj&amp;selection=SW03OTH006_SW_AAU_Code_Peer_Review_Verification_Criteria.xlsx&amp;revision=1.1" TargetMode="External"/><Relationship Id="rId5" Type="http://schemas.openxmlformats.org/officeDocument/2006/relationships/comments" Target="../comments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printerSettings" Target="../printerSettings/printerSettings18.bin"/><Relationship Id="rId1" Type="http://schemas.openxmlformats.org/officeDocument/2006/relationships/hyperlink" Target="http://alva-mks01:7001/siro/viewrevision?projectName=e:/MKSProjects/ALE%20Core%20Software/ALE%20Process%20Standards/ProductDevelopment/Other/project.pj&amp;selection=SW03OTH007_SW_AAU_UnitTests_Peer_Review_Verification_Criteria.xlsx&amp;revision=1.1" TargetMode="External"/><Relationship Id="rId4" Type="http://schemas.openxmlformats.org/officeDocument/2006/relationships/comments" Target="../comments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9.bin"/><Relationship Id="rId1" Type="http://schemas.openxmlformats.org/officeDocument/2006/relationships/hyperlink" Target="http://alva-mks01:7001/siro/viewrevision?projectName=e:/MKSProjects/ALE%20Core%20Software/ALE%20Process%20Standards/ProductIntegration/Other/project.pj&amp;selection=SW04OTH001_Integration_Test_Specifications_Review_Criteria.xlsx&amp;revision=1.4" TargetMode="External"/><Relationship Id="rId4" Type="http://schemas.openxmlformats.org/officeDocument/2006/relationships/comments" Target="../comments11.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hyperlink" Target="http://alva-mks01:7001/siro/viewrevision?projectName=e:/MKSProjects/ALE%20Core%20Software/ALE%20Process%20Standards/Verification/Other.pj&amp;selection=Other/SW05OTH007_SW_Verification_Summary_Report_Review_Criteria.xlsx&amp;revision=1.1"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3.bin"/><Relationship Id="rId4" Type="http://schemas.microsoft.com/office/2017/10/relationships/threadedComment" Target="../threadedComments/threadedComment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Sheet1">
    <tabColor theme="9" tint="0.59999389629810485"/>
  </sheetPr>
  <dimension ref="A1:BH116"/>
  <sheetViews>
    <sheetView showGridLines="0" tabSelected="1" zoomScaleNormal="100" workbookViewId="0">
      <selection activeCell="P2" sqref="P2"/>
    </sheetView>
  </sheetViews>
  <sheetFormatPr defaultColWidth="0" defaultRowHeight="12.75" customHeight="1" zeroHeight="1" x14ac:dyDescent="0.2"/>
  <cols>
    <col min="1" max="33" width="2.85546875" style="317" customWidth="1"/>
    <col min="34" max="34" width="1.28515625" style="317" customWidth="1"/>
    <col min="35" max="60" width="3.28515625" style="317" hidden="1" customWidth="1"/>
    <col min="61" max="16384" width="0" style="317" hidden="1"/>
  </cols>
  <sheetData>
    <row r="1" spans="1:37" s="307" customFormat="1" x14ac:dyDescent="0.2">
      <c r="C1" s="308"/>
      <c r="D1" s="308"/>
      <c r="E1" s="308"/>
      <c r="F1" s="308"/>
      <c r="G1" s="309"/>
      <c r="H1" s="310"/>
      <c r="I1" s="310"/>
      <c r="J1" s="310"/>
      <c r="K1" s="310"/>
      <c r="L1" s="310"/>
      <c r="M1" s="310"/>
      <c r="N1" s="310"/>
      <c r="O1" s="310"/>
      <c r="P1" s="311"/>
      <c r="Q1" s="311"/>
      <c r="R1" s="311"/>
      <c r="S1" s="311"/>
      <c r="T1" s="311"/>
      <c r="U1" s="311"/>
      <c r="V1" s="311"/>
      <c r="W1" s="311"/>
      <c r="X1" s="311"/>
      <c r="Y1" s="311"/>
      <c r="Z1" s="311"/>
      <c r="AA1" s="311"/>
      <c r="AB1" s="311"/>
      <c r="AC1" s="311"/>
      <c r="AD1" s="311"/>
      <c r="AE1" s="311"/>
      <c r="AF1" s="311"/>
      <c r="AG1" s="311"/>
      <c r="AH1" s="311"/>
      <c r="AI1" s="311"/>
      <c r="AJ1" s="311"/>
      <c r="AK1" s="311"/>
    </row>
    <row r="2" spans="1:37" s="307" customFormat="1" x14ac:dyDescent="0.2"/>
    <row r="3" spans="1:37" s="307" customFormat="1" x14ac:dyDescent="0.2">
      <c r="AD3" s="312" t="s">
        <v>616</v>
      </c>
    </row>
    <row r="4" spans="1:37" s="307" customFormat="1" ht="11.1" customHeight="1" x14ac:dyDescent="0.2">
      <c r="A4" s="375" t="s">
        <v>7</v>
      </c>
      <c r="B4" s="376"/>
      <c r="C4" s="376"/>
      <c r="D4" s="376"/>
      <c r="E4" s="376"/>
      <c r="F4" s="376"/>
      <c r="G4" s="376"/>
      <c r="H4" s="376"/>
      <c r="I4" s="376"/>
      <c r="J4" s="376"/>
      <c r="K4" s="376"/>
      <c r="L4" s="376"/>
      <c r="M4" s="376"/>
      <c r="N4" s="376"/>
      <c r="O4" s="376"/>
      <c r="P4" s="376"/>
      <c r="Q4" s="377"/>
      <c r="R4" s="372" t="s">
        <v>18</v>
      </c>
      <c r="S4" s="373"/>
      <c r="T4" s="373"/>
      <c r="U4" s="373"/>
      <c r="V4" s="374"/>
      <c r="W4" s="372" t="s">
        <v>8</v>
      </c>
      <c r="X4" s="373"/>
      <c r="Y4" s="373"/>
      <c r="Z4" s="373"/>
      <c r="AA4" s="374"/>
      <c r="AB4" s="375" t="s">
        <v>578</v>
      </c>
      <c r="AC4" s="376"/>
      <c r="AD4" s="376"/>
      <c r="AE4" s="376"/>
      <c r="AF4" s="376"/>
      <c r="AG4" s="377"/>
      <c r="AH4" s="313"/>
      <c r="AI4" s="313"/>
      <c r="AJ4" s="313"/>
    </row>
    <row r="5" spans="1:37" s="314" customFormat="1" ht="12.75" customHeight="1" x14ac:dyDescent="0.2">
      <c r="A5" s="378" t="str">
        <f ca="1" xml:space="preserve"> IFERROR(IF(alvDocProperty("MXAuthority")="","Process and method",alvDocProperty("MXAuthority")),"Process and method")</f>
        <v>Process and method</v>
      </c>
      <c r="B5" s="379"/>
      <c r="C5" s="379"/>
      <c r="D5" s="379"/>
      <c r="E5" s="379"/>
      <c r="F5" s="379"/>
      <c r="G5" s="379"/>
      <c r="H5" s="379"/>
      <c r="I5" s="379"/>
      <c r="J5" s="379"/>
      <c r="K5" s="379"/>
      <c r="L5" s="379"/>
      <c r="M5" s="379"/>
      <c r="N5" s="379"/>
      <c r="O5" s="379"/>
      <c r="P5" s="379"/>
      <c r="Q5" s="380"/>
      <c r="R5" s="378" t="s">
        <v>579</v>
      </c>
      <c r="S5" s="379"/>
      <c r="T5" s="379"/>
      <c r="U5" s="379"/>
      <c r="V5" s="380"/>
      <c r="W5" s="378" t="str">
        <f ca="1" xml:space="preserve"> IFERROR(IF(alvDocProperty("MXCurrent.Localized")="","Template released",alvDocProperty("MXCurrent.Localized")),"Template released")</f>
        <v>Template released</v>
      </c>
      <c r="X5" s="379"/>
      <c r="Y5" s="379"/>
      <c r="Z5" s="379"/>
      <c r="AA5" s="380"/>
      <c r="AB5" s="378" t="str">
        <f ca="1" xml:space="preserve"> IFERROR(IF(alvDocProperty("MXActual_state_Released")="","2020-04",alvDocProperty("MXActual_state_Released")),"2020-04")</f>
        <v>2020-04</v>
      </c>
      <c r="AC5" s="379"/>
      <c r="AD5" s="379"/>
      <c r="AE5" s="379"/>
      <c r="AF5" s="379"/>
      <c r="AG5" s="380"/>
    </row>
    <row r="6" spans="1:37" s="307" customFormat="1" ht="11.1" customHeight="1" x14ac:dyDescent="0.2">
      <c r="A6" s="372" t="s">
        <v>9</v>
      </c>
      <c r="B6" s="373"/>
      <c r="C6" s="373"/>
      <c r="D6" s="374"/>
      <c r="E6" s="372" t="s">
        <v>10</v>
      </c>
      <c r="F6" s="373"/>
      <c r="G6" s="373"/>
      <c r="H6" s="373"/>
      <c r="I6" s="373"/>
      <c r="J6" s="373"/>
      <c r="K6" s="373"/>
      <c r="L6" s="373"/>
      <c r="M6" s="373"/>
      <c r="N6" s="373"/>
      <c r="O6" s="373"/>
      <c r="P6" s="373"/>
      <c r="Q6" s="373"/>
      <c r="R6" s="373"/>
      <c r="S6" s="373"/>
      <c r="T6" s="373"/>
      <c r="U6" s="373"/>
      <c r="V6" s="374"/>
      <c r="W6" s="375" t="s">
        <v>12</v>
      </c>
      <c r="X6" s="376"/>
      <c r="Y6" s="376"/>
      <c r="Z6" s="376"/>
      <c r="AA6" s="377"/>
      <c r="AB6" s="372" t="s">
        <v>84</v>
      </c>
      <c r="AC6" s="373"/>
      <c r="AD6" s="374"/>
      <c r="AE6" s="372" t="s">
        <v>11</v>
      </c>
      <c r="AF6" s="373"/>
      <c r="AG6" s="374"/>
    </row>
    <row r="7" spans="1:37" s="314" customFormat="1" ht="12.75" customHeight="1" x14ac:dyDescent="0.2">
      <c r="A7" s="378" t="str">
        <f ca="1" xml:space="preserve"> IFERROR(IF(alvDocProperty("MXName")="","TBD",alvDocProperty("MXName")),"TBD")</f>
        <v>TBD</v>
      </c>
      <c r="B7" s="379"/>
      <c r="C7" s="379"/>
      <c r="D7" s="380"/>
      <c r="E7" s="378" t="str">
        <f ca="1" xml:space="preserve"> IFERROR(IF(alvDocProperty("MXTitle")="","Peer Review Workbook",alvDocProperty("MXTitle")),"Peer Review Workbook")</f>
        <v>Peer Review Workbook</v>
      </c>
      <c r="F7" s="379"/>
      <c r="G7" s="379"/>
      <c r="H7" s="379"/>
      <c r="I7" s="379"/>
      <c r="J7" s="379"/>
      <c r="K7" s="379"/>
      <c r="L7" s="379"/>
      <c r="M7" s="379"/>
      <c r="N7" s="379"/>
      <c r="O7" s="379"/>
      <c r="P7" s="379"/>
      <c r="Q7" s="379"/>
      <c r="R7" s="379"/>
      <c r="S7" s="379"/>
      <c r="T7" s="379"/>
      <c r="U7" s="379"/>
      <c r="V7" s="380"/>
      <c r="W7" s="378" t="str">
        <f ca="1" xml:space="preserve"> IFERROR(IF(alvDocProperty("MXDocTemplate_Name")="","AEF1007",alvDocProperty("MXDocTemplate_Name")),"AEF1007")</f>
        <v>AEF1007</v>
      </c>
      <c r="X7" s="379"/>
      <c r="Y7" s="379"/>
      <c r="Z7" s="379"/>
      <c r="AA7" s="380"/>
      <c r="AB7" s="378" t="str">
        <f ca="1" xml:space="preserve"> IFERROR(IF(alvDocProperty("MXRevision")="","TBD",alvDocProperty("MXRevision")),"TBD")</f>
        <v>TBD</v>
      </c>
      <c r="AC7" s="379"/>
      <c r="AD7" s="380"/>
      <c r="AE7" s="378" t="str">
        <f ca="1" xml:space="preserve"> IFERROR(IF(alvDocProperty("MXVersion")="","TBD",alvDocProperty("MXVersion")),"TBD")</f>
        <v>TBD</v>
      </c>
      <c r="AF7" s="379"/>
      <c r="AG7" s="380"/>
    </row>
    <row r="8" spans="1:37" s="314" customFormat="1" x14ac:dyDescent="0.2">
      <c r="A8" s="315"/>
      <c r="B8" s="315"/>
      <c r="C8" s="315"/>
      <c r="D8" s="315"/>
      <c r="E8" s="315"/>
      <c r="F8" s="315"/>
      <c r="G8" s="315"/>
      <c r="H8" s="315"/>
      <c r="I8" s="315"/>
      <c r="J8" s="315"/>
      <c r="K8" s="315"/>
      <c r="L8" s="315"/>
      <c r="M8" s="315"/>
      <c r="N8" s="315"/>
      <c r="O8" s="315"/>
      <c r="P8" s="315"/>
      <c r="Q8" s="315"/>
      <c r="R8" s="315"/>
      <c r="S8" s="315"/>
      <c r="T8" s="315"/>
      <c r="U8" s="315"/>
      <c r="V8" s="315"/>
      <c r="W8" s="316"/>
      <c r="X8" s="316"/>
      <c r="Y8" s="316"/>
      <c r="Z8" s="316"/>
      <c r="AA8" s="316"/>
      <c r="AB8" s="315"/>
      <c r="AC8" s="315"/>
      <c r="AD8" s="315"/>
      <c r="AE8" s="315"/>
      <c r="AF8" s="315"/>
      <c r="AG8" s="315"/>
    </row>
    <row r="9" spans="1:37" ht="11.1" customHeight="1" x14ac:dyDescent="0.2">
      <c r="A9" s="348" t="s">
        <v>227</v>
      </c>
      <c r="B9" s="349"/>
      <c r="C9" s="349"/>
      <c r="D9" s="349"/>
      <c r="E9" s="349"/>
      <c r="F9" s="349"/>
      <c r="G9" s="349"/>
      <c r="H9" s="349"/>
      <c r="I9" s="349"/>
      <c r="J9" s="349"/>
      <c r="K9" s="350"/>
      <c r="L9" s="348" t="s">
        <v>18</v>
      </c>
      <c r="M9" s="349"/>
      <c r="N9" s="349"/>
      <c r="O9" s="349"/>
      <c r="P9" s="349"/>
      <c r="Q9" s="349"/>
      <c r="R9" s="349"/>
      <c r="S9" s="349"/>
      <c r="T9" s="349"/>
      <c r="U9" s="349"/>
      <c r="V9" s="350"/>
      <c r="W9" s="348" t="s">
        <v>25</v>
      </c>
      <c r="X9" s="349"/>
      <c r="Y9" s="349"/>
      <c r="Z9" s="349"/>
      <c r="AA9" s="349"/>
      <c r="AB9" s="349"/>
      <c r="AC9" s="349"/>
      <c r="AD9" s="349"/>
      <c r="AE9" s="349"/>
      <c r="AF9" s="349"/>
      <c r="AG9" s="350"/>
    </row>
    <row r="10" spans="1:37" s="318" customFormat="1" ht="39" customHeight="1" x14ac:dyDescent="0.2">
      <c r="A10" s="351" t="s">
        <v>580</v>
      </c>
      <c r="B10" s="352"/>
      <c r="C10" s="352"/>
      <c r="D10" s="352"/>
      <c r="E10" s="352"/>
      <c r="F10" s="353" t="str">
        <f ca="1" xml:space="preserve"> IFERROR(IF([3]!alvDocProperty("MXUser")="","Check in user",[3]!alvDocProperty("MXUser")),"Error on alvDocProperty.xlam")</f>
        <v>Error on alvDocProperty.xlam</v>
      </c>
      <c r="G10" s="353"/>
      <c r="H10" s="353"/>
      <c r="I10" s="353"/>
      <c r="J10" s="353"/>
      <c r="K10" s="354"/>
      <c r="L10" s="355" t="s">
        <v>581</v>
      </c>
      <c r="M10" s="356"/>
      <c r="N10" s="356"/>
      <c r="O10" s="356"/>
      <c r="P10" s="356"/>
      <c r="Q10" s="356"/>
      <c r="R10" s="356"/>
      <c r="S10" s="356"/>
      <c r="T10" s="356"/>
      <c r="U10" s="356"/>
      <c r="V10" s="357"/>
      <c r="W10" s="355" t="s">
        <v>581</v>
      </c>
      <c r="X10" s="356"/>
      <c r="Y10" s="356"/>
      <c r="Z10" s="356"/>
      <c r="AA10" s="356"/>
      <c r="AB10" s="356"/>
      <c r="AC10" s="356"/>
      <c r="AD10" s="356"/>
      <c r="AE10" s="356"/>
      <c r="AF10" s="356"/>
      <c r="AG10" s="357"/>
    </row>
    <row r="11" spans="1:37" s="318" customFormat="1" ht="4.5" customHeight="1" x14ac:dyDescent="0.2">
      <c r="A11" s="319"/>
      <c r="B11" s="320"/>
      <c r="C11" s="320"/>
      <c r="D11" s="320"/>
      <c r="E11" s="320"/>
      <c r="F11" s="320"/>
      <c r="G11" s="320"/>
      <c r="H11" s="320"/>
      <c r="I11" s="320"/>
      <c r="J11" s="320"/>
      <c r="K11" s="320"/>
      <c r="L11" s="321"/>
      <c r="M11" s="320"/>
      <c r="N11" s="320"/>
      <c r="O11" s="320"/>
      <c r="P11" s="320"/>
      <c r="Q11" s="320"/>
      <c r="R11" s="320"/>
      <c r="S11" s="320"/>
      <c r="T11" s="320"/>
      <c r="U11" s="320"/>
      <c r="V11" s="320"/>
      <c r="W11" s="321"/>
      <c r="X11" s="320"/>
      <c r="Y11" s="320"/>
      <c r="Z11" s="320"/>
      <c r="AA11" s="320"/>
      <c r="AB11" s="320"/>
      <c r="AC11" s="320"/>
      <c r="AD11" s="320"/>
      <c r="AE11" s="320"/>
      <c r="AF11" s="320"/>
      <c r="AG11" s="322"/>
    </row>
    <row r="12" spans="1:37" ht="11.1" customHeight="1" x14ac:dyDescent="0.2">
      <c r="A12" s="358" t="s">
        <v>582</v>
      </c>
      <c r="B12" s="359"/>
      <c r="C12" s="359"/>
      <c r="D12" s="359"/>
      <c r="E12" s="359"/>
      <c r="F12" s="359"/>
      <c r="G12" s="359"/>
      <c r="H12" s="359"/>
      <c r="I12" s="359"/>
      <c r="J12" s="359"/>
      <c r="K12" s="359"/>
      <c r="L12" s="359"/>
      <c r="M12" s="359"/>
      <c r="N12" s="359"/>
      <c r="O12" s="359"/>
      <c r="P12" s="359"/>
      <c r="Q12" s="359"/>
      <c r="R12" s="359"/>
      <c r="S12" s="359"/>
      <c r="T12" s="359"/>
      <c r="U12" s="359"/>
      <c r="V12" s="359"/>
      <c r="W12" s="359"/>
      <c r="X12" s="359"/>
      <c r="Y12" s="359"/>
      <c r="Z12" s="359"/>
      <c r="AA12" s="359"/>
      <c r="AB12" s="359"/>
      <c r="AC12" s="359"/>
      <c r="AD12" s="359"/>
      <c r="AE12" s="359"/>
      <c r="AF12" s="359"/>
      <c r="AG12" s="360"/>
    </row>
    <row r="13" spans="1:37" s="318" customFormat="1" ht="28.5" customHeight="1" x14ac:dyDescent="0.2">
      <c r="A13" s="361" t="s">
        <v>583</v>
      </c>
      <c r="B13" s="362"/>
      <c r="C13" s="362"/>
      <c r="D13" s="362"/>
      <c r="E13" s="362"/>
      <c r="F13" s="362"/>
      <c r="G13" s="362"/>
      <c r="H13" s="362"/>
      <c r="I13" s="362"/>
      <c r="J13" s="362"/>
      <c r="K13" s="362"/>
      <c r="L13" s="362"/>
      <c r="M13" s="362"/>
      <c r="N13" s="362"/>
      <c r="O13" s="362"/>
      <c r="P13" s="362"/>
      <c r="Q13" s="362"/>
      <c r="R13" s="362"/>
      <c r="S13" s="362"/>
      <c r="T13" s="362"/>
      <c r="U13" s="362"/>
      <c r="V13" s="362"/>
      <c r="W13" s="362"/>
      <c r="X13" s="362"/>
      <c r="Y13" s="362"/>
      <c r="Z13" s="362"/>
      <c r="AA13" s="362"/>
      <c r="AB13" s="362"/>
      <c r="AC13" s="362"/>
      <c r="AD13" s="362"/>
      <c r="AE13" s="362"/>
      <c r="AF13" s="362"/>
      <c r="AG13" s="363"/>
    </row>
    <row r="14" spans="1:37" s="318" customFormat="1" ht="4.5" customHeight="1" x14ac:dyDescent="0.2">
      <c r="A14" s="321"/>
      <c r="B14" s="320"/>
      <c r="C14" s="320"/>
      <c r="D14" s="320"/>
      <c r="E14" s="320"/>
      <c r="F14" s="320"/>
      <c r="G14" s="320"/>
      <c r="H14" s="320"/>
      <c r="I14" s="320"/>
      <c r="J14" s="320"/>
      <c r="K14" s="320"/>
      <c r="L14" s="321"/>
      <c r="M14" s="320"/>
      <c r="N14" s="320"/>
      <c r="O14" s="320"/>
      <c r="P14" s="320"/>
      <c r="Q14" s="320"/>
      <c r="R14" s="320"/>
      <c r="S14" s="320"/>
      <c r="T14" s="320"/>
      <c r="U14" s="320"/>
      <c r="V14" s="320"/>
      <c r="W14" s="321"/>
      <c r="X14" s="320"/>
      <c r="Y14" s="320"/>
      <c r="Z14" s="320"/>
      <c r="AA14" s="320"/>
      <c r="AB14" s="320"/>
      <c r="AC14" s="320"/>
      <c r="AD14" s="320"/>
      <c r="AE14" s="320"/>
      <c r="AF14" s="320"/>
      <c r="AG14" s="320"/>
    </row>
    <row r="15" spans="1:37" ht="37.5" customHeight="1" x14ac:dyDescent="0.2">
      <c r="A15" s="364" t="s">
        <v>584</v>
      </c>
      <c r="B15" s="364"/>
      <c r="C15" s="364"/>
      <c r="D15" s="364"/>
      <c r="E15" s="366"/>
      <c r="F15" s="367"/>
      <c r="G15" s="367"/>
      <c r="H15" s="367"/>
      <c r="I15" s="367"/>
      <c r="J15" s="367"/>
      <c r="K15" s="367"/>
      <c r="L15" s="367"/>
      <c r="M15" s="367"/>
      <c r="N15" s="367"/>
      <c r="O15" s="367"/>
      <c r="P15" s="367"/>
      <c r="Q15" s="367"/>
      <c r="R15" s="367"/>
      <c r="S15" s="367"/>
      <c r="T15" s="367"/>
      <c r="U15" s="367"/>
      <c r="V15" s="367"/>
      <c r="W15" s="367"/>
      <c r="X15" s="367"/>
      <c r="Y15" s="367"/>
      <c r="Z15" s="367"/>
      <c r="AA15" s="367"/>
      <c r="AB15" s="367"/>
      <c r="AC15" s="367"/>
      <c r="AD15" s="367"/>
      <c r="AE15" s="367"/>
      <c r="AF15" s="367"/>
      <c r="AG15" s="368"/>
    </row>
    <row r="16" spans="1:37" ht="37.5" customHeight="1" x14ac:dyDescent="0.2">
      <c r="A16" s="365"/>
      <c r="B16" s="365"/>
      <c r="C16" s="365"/>
      <c r="D16" s="365"/>
      <c r="E16" s="369"/>
      <c r="F16" s="370"/>
      <c r="G16" s="370"/>
      <c r="H16" s="370"/>
      <c r="I16" s="370"/>
      <c r="J16" s="370"/>
      <c r="K16" s="370"/>
      <c r="L16" s="370"/>
      <c r="M16" s="370"/>
      <c r="N16" s="370"/>
      <c r="O16" s="370"/>
      <c r="P16" s="370"/>
      <c r="Q16" s="370"/>
      <c r="R16" s="370"/>
      <c r="S16" s="370"/>
      <c r="T16" s="370"/>
      <c r="U16" s="370"/>
      <c r="V16" s="370"/>
      <c r="W16" s="370"/>
      <c r="X16" s="370"/>
      <c r="Y16" s="370"/>
      <c r="Z16" s="370"/>
      <c r="AA16" s="370"/>
      <c r="AB16" s="370"/>
      <c r="AC16" s="370"/>
      <c r="AD16" s="370"/>
      <c r="AE16" s="370"/>
      <c r="AF16" s="370"/>
      <c r="AG16" s="371"/>
    </row>
    <row r="17" spans="1:33" x14ac:dyDescent="0.2">
      <c r="A17" s="323"/>
    </row>
    <row r="18" spans="1:33" x14ac:dyDescent="0.2"/>
    <row r="19" spans="1:33" x14ac:dyDescent="0.2"/>
    <row r="20" spans="1:33" x14ac:dyDescent="0.2"/>
    <row r="21" spans="1:33" ht="15.75" customHeight="1" x14ac:dyDescent="0.2">
      <c r="Q21" s="324"/>
    </row>
    <row r="22" spans="1:33" ht="12" customHeight="1" x14ac:dyDescent="0.2">
      <c r="Q22" s="324"/>
    </row>
    <row r="23" spans="1:33" ht="60" customHeight="1" x14ac:dyDescent="0.2">
      <c r="A23" s="346" t="str">
        <f ca="1">MXTitle</f>
        <v>Peer Review Workbook</v>
      </c>
      <c r="B23" s="347"/>
      <c r="C23" s="347"/>
      <c r="D23" s="347"/>
      <c r="E23" s="347"/>
      <c r="F23" s="347"/>
      <c r="G23" s="347"/>
      <c r="H23" s="347"/>
      <c r="I23" s="347"/>
      <c r="J23" s="347"/>
      <c r="K23" s="347"/>
      <c r="L23" s="347"/>
      <c r="M23" s="347"/>
      <c r="N23" s="347"/>
      <c r="O23" s="347"/>
      <c r="P23" s="347"/>
      <c r="Q23" s="347"/>
      <c r="R23" s="347"/>
      <c r="S23" s="347"/>
      <c r="T23" s="347"/>
      <c r="U23" s="347"/>
      <c r="V23" s="347"/>
      <c r="W23" s="347"/>
      <c r="X23" s="347"/>
      <c r="Y23" s="347"/>
      <c r="Z23" s="347"/>
      <c r="AA23" s="347"/>
      <c r="AB23" s="347"/>
      <c r="AC23" s="347"/>
      <c r="AD23" s="347"/>
      <c r="AE23" s="347"/>
      <c r="AF23" s="347"/>
      <c r="AG23" s="347"/>
    </row>
    <row r="24" spans="1:33" ht="25.5" x14ac:dyDescent="0.2">
      <c r="Q24" s="324"/>
    </row>
    <row r="25" spans="1:33" x14ac:dyDescent="0.2"/>
    <row r="26" spans="1:33" x14ac:dyDescent="0.2"/>
    <row r="27" spans="1:33" hidden="1" x14ac:dyDescent="0.2"/>
    <row r="28" spans="1:33" hidden="1" x14ac:dyDescent="0.2"/>
    <row r="29" spans="1:33" hidden="1" x14ac:dyDescent="0.2"/>
    <row r="30" spans="1:33" hidden="1" x14ac:dyDescent="0.2"/>
    <row r="31" spans="1:33" hidden="1" x14ac:dyDescent="0.2"/>
    <row r="32" spans="1:33"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hidden="1" x14ac:dyDescent="0.2"/>
    <row r="50" hidden="1" x14ac:dyDescent="0.2"/>
    <row r="51" hidden="1" x14ac:dyDescent="0.2"/>
    <row r="52" hidden="1" x14ac:dyDescent="0.2"/>
    <row r="53" hidden="1" x14ac:dyDescent="0.2"/>
    <row r="54" hidden="1" x14ac:dyDescent="0.2"/>
    <row r="55" hidden="1" x14ac:dyDescent="0.2"/>
    <row r="56" hidden="1" x14ac:dyDescent="0.2"/>
    <row r="57" hidden="1" x14ac:dyDescent="0.2"/>
    <row r="58" hidden="1" x14ac:dyDescent="0.2"/>
    <row r="59" hidden="1" x14ac:dyDescent="0.2"/>
    <row r="60" hidden="1" x14ac:dyDescent="0.2"/>
    <row r="61" hidden="1" x14ac:dyDescent="0.2"/>
    <row r="62" hidden="1" x14ac:dyDescent="0.2"/>
    <row r="63" hidden="1" x14ac:dyDescent="0.2"/>
    <row r="64" hidden="1" x14ac:dyDescent="0.2"/>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row r="74" hidden="1" x14ac:dyDescent="0.2"/>
    <row r="75" hidden="1" x14ac:dyDescent="0.2"/>
    <row r="76" hidden="1" x14ac:dyDescent="0.2"/>
    <row r="77" hidden="1" x14ac:dyDescent="0.2"/>
    <row r="78" hidden="1" x14ac:dyDescent="0.2"/>
    <row r="79" hidden="1" x14ac:dyDescent="0.2"/>
    <row r="80"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row r="92" hidden="1" x14ac:dyDescent="0.2"/>
    <row r="93" hidden="1" x14ac:dyDescent="0.2"/>
    <row r="94" hidden="1" x14ac:dyDescent="0.2"/>
    <row r="95" hidden="1" x14ac:dyDescent="0.2"/>
    <row r="96" hidden="1" x14ac:dyDescent="0.2"/>
    <row r="97" hidden="1" x14ac:dyDescent="0.2"/>
    <row r="98" hidden="1" x14ac:dyDescent="0.2"/>
    <row r="99" hidden="1" x14ac:dyDescent="0.2"/>
    <row r="100" hidden="1" x14ac:dyDescent="0.2"/>
    <row r="101" hidden="1" x14ac:dyDescent="0.2"/>
    <row r="102" hidden="1" x14ac:dyDescent="0.2"/>
    <row r="103" hidden="1" x14ac:dyDescent="0.2"/>
    <row r="104" hidden="1" x14ac:dyDescent="0.2"/>
    <row r="105" hidden="1" x14ac:dyDescent="0.2"/>
    <row r="106" hidden="1" x14ac:dyDescent="0.2"/>
    <row r="107" hidden="1" x14ac:dyDescent="0.2"/>
    <row r="108" hidden="1" x14ac:dyDescent="0.2"/>
    <row r="109" hidden="1" x14ac:dyDescent="0.2"/>
    <row r="110" hidden="1" x14ac:dyDescent="0.2"/>
    <row r="111" hidden="1" x14ac:dyDescent="0.2"/>
    <row r="112" hidden="1" x14ac:dyDescent="0.2"/>
    <row r="113" hidden="1" x14ac:dyDescent="0.2"/>
    <row r="114" hidden="1" x14ac:dyDescent="0.2"/>
    <row r="115" hidden="1" x14ac:dyDescent="0.2"/>
    <row r="116" hidden="1" x14ac:dyDescent="0.2"/>
  </sheetData>
  <sheetProtection formatCells="0" formatRows="0" insertColumns="0" insertRows="0" insertHyperlinks="0" deleteRows="0" selectLockedCells="1" sort="0" autoFilter="0" pivotTables="0"/>
  <dataConsolidate/>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Sheet2">
    <tabColor theme="9" tint="0.59999389629810485"/>
    <pageSetUpPr fitToPage="1"/>
  </sheetPr>
  <dimension ref="A1:AH68"/>
  <sheetViews>
    <sheetView showGridLines="0" topLeftCell="A13" zoomScaleNormal="100" workbookViewId="0">
      <selection activeCell="G16" sqref="G16:AF16"/>
    </sheetView>
  </sheetViews>
  <sheetFormatPr defaultRowHeight="15" x14ac:dyDescent="0.25"/>
  <cols>
    <col min="1" max="34" width="2.85546875" style="325" customWidth="1"/>
    <col min="35" max="16384" width="9.140625" style="325"/>
  </cols>
  <sheetData>
    <row r="1" spans="1:34" x14ac:dyDescent="0.25">
      <c r="A1" s="307"/>
      <c r="B1" s="307"/>
      <c r="C1" s="308"/>
      <c r="D1" s="308"/>
      <c r="E1" s="308"/>
      <c r="F1" s="308"/>
      <c r="G1" s="309"/>
      <c r="H1" s="310"/>
      <c r="I1" s="310"/>
      <c r="J1" s="310"/>
      <c r="K1" s="310"/>
      <c r="L1" s="310"/>
      <c r="M1" s="310"/>
      <c r="N1" s="310"/>
      <c r="O1" s="310"/>
      <c r="P1" s="311"/>
      <c r="Q1" s="311"/>
      <c r="R1" s="311"/>
      <c r="S1" s="311"/>
      <c r="T1" s="311"/>
      <c r="U1" s="311"/>
      <c r="V1" s="311"/>
      <c r="W1" s="311"/>
      <c r="X1" s="311"/>
      <c r="Y1" s="311"/>
      <c r="Z1" s="311"/>
      <c r="AA1" s="311"/>
      <c r="AB1" s="311"/>
      <c r="AC1" s="311"/>
      <c r="AD1" s="311"/>
      <c r="AE1" s="311"/>
      <c r="AF1" s="311"/>
      <c r="AG1" s="311"/>
      <c r="AH1" s="311"/>
    </row>
    <row r="2" spans="1:34" x14ac:dyDescent="0.25">
      <c r="A2" s="307"/>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c r="AE2" s="307"/>
      <c r="AF2" s="307"/>
      <c r="AG2" s="307"/>
      <c r="AH2" s="307"/>
    </row>
    <row r="3" spans="1:34" x14ac:dyDescent="0.25">
      <c r="A3" s="307"/>
      <c r="B3" s="307"/>
      <c r="C3" s="307"/>
      <c r="D3" s="307"/>
      <c r="E3" s="307"/>
      <c r="F3" s="307"/>
      <c r="G3" s="307"/>
      <c r="H3" s="307"/>
      <c r="I3" s="307"/>
      <c r="J3" s="307"/>
      <c r="K3" s="307"/>
      <c r="L3" s="307"/>
      <c r="M3" s="307"/>
      <c r="N3" s="307"/>
      <c r="O3" s="307"/>
      <c r="P3" s="307"/>
      <c r="Q3" s="307"/>
      <c r="R3" s="307"/>
      <c r="S3" s="307"/>
      <c r="T3" s="307"/>
      <c r="U3" s="307"/>
      <c r="V3" s="307"/>
      <c r="W3" s="307"/>
      <c r="X3" s="307"/>
      <c r="Y3" s="307"/>
      <c r="Z3" s="307"/>
      <c r="AA3" s="307"/>
      <c r="AB3" s="307"/>
      <c r="AC3" s="307"/>
      <c r="AD3" s="326" t="str">
        <f>FileName</f>
        <v>AEF 1007 - Peer Review Workbook.xlsm</v>
      </c>
      <c r="AE3" s="307"/>
      <c r="AF3" s="307"/>
      <c r="AG3" s="307"/>
      <c r="AH3" s="307"/>
    </row>
    <row r="4" spans="1:34" x14ac:dyDescent="0.25">
      <c r="A4" s="375" t="s">
        <v>7</v>
      </c>
      <c r="B4" s="376"/>
      <c r="C4" s="376"/>
      <c r="D4" s="376"/>
      <c r="E4" s="376"/>
      <c r="F4" s="376"/>
      <c r="G4" s="376"/>
      <c r="H4" s="376"/>
      <c r="I4" s="376"/>
      <c r="J4" s="376"/>
      <c r="K4" s="376"/>
      <c r="L4" s="376"/>
      <c r="M4" s="376"/>
      <c r="N4" s="376"/>
      <c r="O4" s="376"/>
      <c r="P4" s="376"/>
      <c r="Q4" s="376"/>
      <c r="R4" s="376"/>
      <c r="S4" s="376"/>
      <c r="T4" s="376"/>
      <c r="U4" s="376"/>
      <c r="V4" s="377"/>
      <c r="W4" s="406" t="s">
        <v>8</v>
      </c>
      <c r="X4" s="407"/>
      <c r="Y4" s="407"/>
      <c r="Z4" s="407"/>
      <c r="AA4" s="408"/>
      <c r="AB4" s="375" t="s">
        <v>578</v>
      </c>
      <c r="AC4" s="376"/>
      <c r="AD4" s="376"/>
      <c r="AE4" s="376"/>
      <c r="AF4" s="376"/>
      <c r="AG4" s="377"/>
      <c r="AH4" s="313"/>
    </row>
    <row r="5" spans="1:34" x14ac:dyDescent="0.25">
      <c r="A5" s="378" t="str">
        <f>MXAuthority</f>
        <v>Project Name and Number</v>
      </c>
      <c r="B5" s="379"/>
      <c r="C5" s="379"/>
      <c r="D5" s="379"/>
      <c r="E5" s="379"/>
      <c r="F5" s="379"/>
      <c r="G5" s="379"/>
      <c r="H5" s="379"/>
      <c r="I5" s="379"/>
      <c r="J5" s="379"/>
      <c r="K5" s="379"/>
      <c r="L5" s="379"/>
      <c r="M5" s="379"/>
      <c r="N5" s="379"/>
      <c r="O5" s="379"/>
      <c r="P5" s="379"/>
      <c r="Q5" s="379"/>
      <c r="R5" s="379"/>
      <c r="S5" s="379"/>
      <c r="T5" s="379"/>
      <c r="U5" s="379"/>
      <c r="V5" s="380"/>
      <c r="W5" s="409" t="str">
        <f>MXCurrent.Localized</f>
        <v>Released</v>
      </c>
      <c r="X5" s="410"/>
      <c r="Y5" s="410"/>
      <c r="Z5" s="410"/>
      <c r="AA5" s="411"/>
      <c r="AB5" s="378" t="str">
        <f>MXActual_state_Released</f>
        <v>YYYY-MM-DD</v>
      </c>
      <c r="AC5" s="379"/>
      <c r="AD5" s="379"/>
      <c r="AE5" s="379"/>
      <c r="AF5" s="379"/>
      <c r="AG5" s="380"/>
      <c r="AH5" s="314"/>
    </row>
    <row r="6" spans="1:34" x14ac:dyDescent="0.25">
      <c r="A6" s="399" t="s">
        <v>9</v>
      </c>
      <c r="B6" s="400"/>
      <c r="C6" s="400"/>
      <c r="D6" s="401"/>
      <c r="E6" s="399" t="s">
        <v>10</v>
      </c>
      <c r="F6" s="400"/>
      <c r="G6" s="400"/>
      <c r="H6" s="400"/>
      <c r="I6" s="400"/>
      <c r="J6" s="400"/>
      <c r="K6" s="400"/>
      <c r="L6" s="400"/>
      <c r="M6" s="400"/>
      <c r="N6" s="400"/>
      <c r="O6" s="400"/>
      <c r="P6" s="400"/>
      <c r="Q6" s="400"/>
      <c r="R6" s="400"/>
      <c r="S6" s="400"/>
      <c r="T6" s="400"/>
      <c r="U6" s="400"/>
      <c r="V6" s="401"/>
      <c r="W6" s="375" t="s">
        <v>12</v>
      </c>
      <c r="X6" s="376"/>
      <c r="Y6" s="376"/>
      <c r="Z6" s="376"/>
      <c r="AA6" s="377"/>
      <c r="AB6" s="406" t="s">
        <v>84</v>
      </c>
      <c r="AC6" s="407"/>
      <c r="AD6" s="408"/>
      <c r="AE6" s="406" t="s">
        <v>11</v>
      </c>
      <c r="AF6" s="407"/>
      <c r="AG6" s="408"/>
      <c r="AH6" s="307"/>
    </row>
    <row r="7" spans="1:34" x14ac:dyDescent="0.25">
      <c r="A7" s="409" t="str">
        <f>MXName</f>
        <v>Exxxxxx</v>
      </c>
      <c r="B7" s="410"/>
      <c r="C7" s="410"/>
      <c r="D7" s="411"/>
      <c r="E7" s="409" t="str">
        <f>MXTitle</f>
        <v>Generic Excel template</v>
      </c>
      <c r="F7" s="410"/>
      <c r="G7" s="410"/>
      <c r="H7" s="410"/>
      <c r="I7" s="410"/>
      <c r="J7" s="410"/>
      <c r="K7" s="410"/>
      <c r="L7" s="410"/>
      <c r="M7" s="410"/>
      <c r="N7" s="410"/>
      <c r="O7" s="410"/>
      <c r="P7" s="410"/>
      <c r="Q7" s="410"/>
      <c r="R7" s="410"/>
      <c r="S7" s="410"/>
      <c r="T7" s="410"/>
      <c r="U7" s="410"/>
      <c r="V7" s="411"/>
      <c r="W7" s="409" t="str">
        <f ca="1">TemplateRef</f>
        <v>AEF1007</v>
      </c>
      <c r="X7" s="410"/>
      <c r="Y7" s="410"/>
      <c r="Z7" s="410"/>
      <c r="AA7" s="411"/>
      <c r="AB7" s="409" t="str">
        <f>MXRevision</f>
        <v>xxx</v>
      </c>
      <c r="AC7" s="410"/>
      <c r="AD7" s="411"/>
      <c r="AE7" s="409" t="str">
        <f>MXVersion</f>
        <v>xxx</v>
      </c>
      <c r="AF7" s="410"/>
      <c r="AG7" s="411"/>
      <c r="AH7" s="314"/>
    </row>
    <row r="8" spans="1:34" x14ac:dyDescent="0.25">
      <c r="A8" s="399" t="s">
        <v>585</v>
      </c>
      <c r="B8" s="400"/>
      <c r="C8" s="400"/>
      <c r="D8" s="400"/>
      <c r="E8" s="400"/>
      <c r="F8" s="400"/>
      <c r="G8" s="400"/>
      <c r="H8" s="400"/>
      <c r="I8" s="400"/>
      <c r="J8" s="400"/>
      <c r="K8" s="400"/>
      <c r="L8" s="400"/>
      <c r="M8" s="400"/>
      <c r="N8" s="400"/>
      <c r="O8" s="400"/>
      <c r="P8" s="400"/>
      <c r="Q8" s="400"/>
      <c r="R8" s="400"/>
      <c r="S8" s="400"/>
      <c r="T8" s="400"/>
      <c r="U8" s="400"/>
      <c r="V8" s="400"/>
      <c r="W8" s="400"/>
      <c r="X8" s="400"/>
      <c r="Y8" s="400"/>
      <c r="Z8" s="400"/>
      <c r="AA8" s="400"/>
      <c r="AB8" s="400"/>
      <c r="AC8" s="400"/>
      <c r="AD8" s="400"/>
      <c r="AE8" s="400"/>
      <c r="AF8" s="400"/>
      <c r="AG8" s="401"/>
      <c r="AH8" s="317"/>
    </row>
    <row r="9" spans="1:34" x14ac:dyDescent="0.25">
      <c r="A9" s="402" t="s">
        <v>586</v>
      </c>
      <c r="B9" s="403"/>
      <c r="C9" s="403"/>
      <c r="D9" s="403"/>
      <c r="E9" s="403"/>
      <c r="F9" s="403"/>
      <c r="G9" s="403"/>
      <c r="H9" s="403"/>
      <c r="I9" s="403"/>
      <c r="J9" s="403"/>
      <c r="K9" s="403"/>
      <c r="L9" s="403"/>
      <c r="M9" s="403"/>
      <c r="N9" s="403"/>
      <c r="O9" s="403"/>
      <c r="P9" s="403"/>
      <c r="Q9" s="403"/>
      <c r="R9" s="403"/>
      <c r="S9" s="403"/>
      <c r="T9" s="403"/>
      <c r="U9" s="403"/>
      <c r="V9" s="403"/>
      <c r="W9" s="403"/>
      <c r="X9" s="403"/>
      <c r="Y9" s="403"/>
      <c r="Z9" s="403"/>
      <c r="AA9" s="403"/>
      <c r="AB9" s="403"/>
      <c r="AC9" s="403"/>
      <c r="AD9" s="403"/>
      <c r="AE9" s="403"/>
      <c r="AF9" s="403"/>
      <c r="AG9" s="404"/>
      <c r="AH9" s="317"/>
    </row>
    <row r="10" spans="1:34" x14ac:dyDescent="0.25">
      <c r="A10" s="317"/>
      <c r="B10" s="317"/>
      <c r="C10" s="317"/>
      <c r="D10" s="317"/>
      <c r="E10" s="317"/>
      <c r="F10" s="317"/>
      <c r="G10" s="317"/>
      <c r="H10" s="317"/>
      <c r="I10" s="317"/>
      <c r="J10" s="317"/>
      <c r="K10" s="317"/>
      <c r="L10" s="317"/>
      <c r="M10" s="317"/>
      <c r="N10" s="317"/>
      <c r="O10" s="317"/>
      <c r="P10" s="317"/>
      <c r="Q10" s="317"/>
      <c r="R10" s="317"/>
      <c r="S10" s="317"/>
      <c r="T10" s="317"/>
      <c r="U10" s="317"/>
      <c r="V10" s="317"/>
      <c r="W10" s="317"/>
      <c r="X10" s="317"/>
      <c r="Y10" s="317"/>
      <c r="Z10" s="317"/>
      <c r="AA10" s="317"/>
      <c r="AB10" s="317"/>
      <c r="AC10" s="317"/>
      <c r="AD10" s="317"/>
      <c r="AE10" s="317"/>
      <c r="AF10" s="317"/>
      <c r="AG10" s="317"/>
      <c r="AH10" s="317"/>
    </row>
    <row r="11" spans="1:34" x14ac:dyDescent="0.25">
      <c r="A11" s="317"/>
      <c r="B11" s="317"/>
      <c r="C11" s="317"/>
      <c r="D11" s="317"/>
      <c r="E11" s="317"/>
      <c r="F11" s="317"/>
      <c r="G11" s="317"/>
      <c r="H11" s="317"/>
      <c r="I11" s="317"/>
      <c r="J11" s="317"/>
      <c r="K11" s="317"/>
      <c r="L11" s="317"/>
      <c r="M11" s="317"/>
      <c r="N11" s="317"/>
      <c r="O11" s="317"/>
      <c r="P11" s="317"/>
      <c r="Q11" s="317"/>
      <c r="R11" s="317"/>
      <c r="S11" s="317"/>
      <c r="T11" s="317"/>
      <c r="U11" s="317"/>
      <c r="V11" s="317"/>
      <c r="W11" s="317"/>
      <c r="X11" s="317"/>
      <c r="Y11" s="317"/>
      <c r="Z11" s="317"/>
      <c r="AA11" s="317"/>
      <c r="AB11" s="317"/>
      <c r="AC11" s="317"/>
      <c r="AD11" s="317"/>
      <c r="AE11" s="317"/>
      <c r="AF11" s="317"/>
      <c r="AG11" s="317"/>
      <c r="AH11" s="317"/>
    </row>
    <row r="12" spans="1:34" ht="26.25" x14ac:dyDescent="0.25">
      <c r="A12" s="317"/>
      <c r="B12" s="327" t="s">
        <v>587</v>
      </c>
      <c r="C12" s="328"/>
      <c r="D12" s="328"/>
      <c r="E12" s="328"/>
      <c r="F12" s="328"/>
      <c r="G12" s="328"/>
      <c r="H12" s="328"/>
      <c r="I12" s="328"/>
      <c r="J12" s="328"/>
      <c r="K12" s="328"/>
      <c r="L12" s="328"/>
      <c r="M12" s="328"/>
      <c r="N12" s="328"/>
      <c r="O12" s="328"/>
      <c r="P12" s="328"/>
      <c r="Q12" s="328"/>
      <c r="R12" s="328"/>
      <c r="S12" s="328"/>
      <c r="T12" s="328"/>
      <c r="U12" s="328"/>
      <c r="V12" s="328"/>
      <c r="W12" s="328"/>
      <c r="X12" s="328"/>
      <c r="Y12" s="328"/>
      <c r="Z12" s="328"/>
      <c r="AA12" s="328"/>
      <c r="AB12" s="328"/>
      <c r="AC12" s="328"/>
      <c r="AD12" s="328"/>
      <c r="AE12" s="328"/>
      <c r="AF12" s="328"/>
      <c r="AG12" s="317"/>
      <c r="AH12" s="317"/>
    </row>
    <row r="13" spans="1:34" x14ac:dyDescent="0.25">
      <c r="A13" s="317"/>
      <c r="B13" s="317"/>
      <c r="C13" s="317"/>
      <c r="D13" s="317"/>
      <c r="E13" s="317"/>
      <c r="F13" s="317"/>
      <c r="G13" s="317"/>
      <c r="H13" s="317"/>
      <c r="I13" s="317"/>
      <c r="J13" s="317"/>
      <c r="K13" s="317"/>
      <c r="L13" s="317"/>
      <c r="M13" s="317"/>
      <c r="N13" s="317"/>
      <c r="O13" s="317"/>
      <c r="P13" s="317"/>
      <c r="Q13" s="317"/>
      <c r="R13" s="317"/>
      <c r="S13" s="317"/>
      <c r="T13" s="317"/>
      <c r="U13" s="317"/>
      <c r="V13" s="317"/>
      <c r="W13" s="317"/>
      <c r="X13" s="317"/>
      <c r="Y13" s="317"/>
      <c r="Z13" s="317"/>
      <c r="AA13" s="317"/>
      <c r="AB13" s="317"/>
      <c r="AC13" s="317"/>
      <c r="AD13" s="317"/>
      <c r="AE13" s="317"/>
      <c r="AF13" s="317"/>
      <c r="AG13" s="317"/>
      <c r="AH13" s="317"/>
    </row>
    <row r="14" spans="1:34" ht="20.25" x14ac:dyDescent="0.25">
      <c r="A14" s="317"/>
      <c r="B14" s="329" t="s">
        <v>588</v>
      </c>
      <c r="C14" s="330"/>
      <c r="D14" s="317"/>
      <c r="E14" s="317"/>
      <c r="F14" s="317"/>
      <c r="G14" s="317"/>
      <c r="H14" s="317"/>
      <c r="I14" s="317"/>
      <c r="J14" s="317"/>
      <c r="K14" s="317"/>
      <c r="L14" s="317"/>
      <c r="M14" s="317"/>
      <c r="N14" s="317"/>
      <c r="O14" s="317"/>
      <c r="P14" s="317"/>
      <c r="Q14" s="317"/>
      <c r="R14" s="317"/>
      <c r="S14" s="317"/>
      <c r="T14" s="317"/>
      <c r="U14" s="317"/>
      <c r="V14" s="317"/>
      <c r="W14" s="317"/>
      <c r="X14" s="317"/>
      <c r="Y14" s="317"/>
      <c r="Z14" s="317"/>
      <c r="AA14" s="317"/>
      <c r="AB14" s="317"/>
      <c r="AC14" s="317"/>
      <c r="AD14" s="317"/>
      <c r="AE14" s="317"/>
      <c r="AF14" s="317"/>
      <c r="AG14" s="317"/>
      <c r="AH14" s="317"/>
    </row>
    <row r="15" spans="1:34" x14ac:dyDescent="0.25">
      <c r="A15" s="317"/>
      <c r="B15" s="391" t="s">
        <v>589</v>
      </c>
      <c r="C15" s="405"/>
      <c r="D15" s="405"/>
      <c r="E15" s="405"/>
      <c r="F15" s="405"/>
      <c r="G15" s="391" t="s">
        <v>590</v>
      </c>
      <c r="H15" s="391"/>
      <c r="I15" s="391"/>
      <c r="J15" s="391"/>
      <c r="K15" s="391"/>
      <c r="L15" s="391"/>
      <c r="M15" s="391"/>
      <c r="N15" s="391"/>
      <c r="O15" s="391"/>
      <c r="P15" s="391"/>
      <c r="Q15" s="391"/>
      <c r="R15" s="391"/>
      <c r="S15" s="391"/>
      <c r="T15" s="391"/>
      <c r="U15" s="391"/>
      <c r="V15" s="391"/>
      <c r="W15" s="391"/>
      <c r="X15" s="391"/>
      <c r="Y15" s="391"/>
      <c r="Z15" s="391"/>
      <c r="AA15" s="391"/>
      <c r="AB15" s="391"/>
      <c r="AC15" s="391"/>
      <c r="AD15" s="391"/>
      <c r="AE15" s="391"/>
      <c r="AF15" s="391"/>
      <c r="AG15" s="317"/>
      <c r="AH15" s="317"/>
    </row>
    <row r="16" spans="1:34" ht="55.5" customHeight="1" x14ac:dyDescent="0.25">
      <c r="A16" s="317"/>
      <c r="B16" s="397" t="s">
        <v>591</v>
      </c>
      <c r="C16" s="397"/>
      <c r="D16" s="397"/>
      <c r="E16" s="397"/>
      <c r="F16" s="397"/>
      <c r="G16" s="389" t="s">
        <v>592</v>
      </c>
      <c r="H16" s="389"/>
      <c r="I16" s="389"/>
      <c r="J16" s="389"/>
      <c r="K16" s="389"/>
      <c r="L16" s="389"/>
      <c r="M16" s="389"/>
      <c r="N16" s="389"/>
      <c r="O16" s="389"/>
      <c r="P16" s="389"/>
      <c r="Q16" s="389"/>
      <c r="R16" s="389"/>
      <c r="S16" s="389"/>
      <c r="T16" s="389"/>
      <c r="U16" s="389"/>
      <c r="V16" s="389"/>
      <c r="W16" s="389"/>
      <c r="X16" s="389"/>
      <c r="Y16" s="389"/>
      <c r="Z16" s="389"/>
      <c r="AA16" s="389"/>
      <c r="AB16" s="389"/>
      <c r="AC16" s="389"/>
      <c r="AD16" s="389"/>
      <c r="AE16" s="389"/>
      <c r="AF16" s="389"/>
      <c r="AG16" s="317"/>
      <c r="AH16" s="317"/>
    </row>
    <row r="17" spans="1:34" x14ac:dyDescent="0.25">
      <c r="A17" s="317"/>
      <c r="B17" s="397" t="s">
        <v>593</v>
      </c>
      <c r="C17" s="397"/>
      <c r="D17" s="397"/>
      <c r="E17" s="397"/>
      <c r="F17" s="397"/>
      <c r="G17" s="389" t="s">
        <v>594</v>
      </c>
      <c r="H17" s="389"/>
      <c r="I17" s="389"/>
      <c r="J17" s="389"/>
      <c r="K17" s="389"/>
      <c r="L17" s="389"/>
      <c r="M17" s="389"/>
      <c r="N17" s="389"/>
      <c r="O17" s="389"/>
      <c r="P17" s="389"/>
      <c r="Q17" s="389"/>
      <c r="R17" s="389"/>
      <c r="S17" s="389"/>
      <c r="T17" s="389"/>
      <c r="U17" s="389"/>
      <c r="V17" s="389"/>
      <c r="W17" s="389"/>
      <c r="X17" s="389"/>
      <c r="Y17" s="389"/>
      <c r="Z17" s="389"/>
      <c r="AA17" s="389"/>
      <c r="AB17" s="389"/>
      <c r="AC17" s="389"/>
      <c r="AD17" s="389"/>
      <c r="AE17" s="389"/>
      <c r="AF17" s="389"/>
      <c r="AG17" s="317"/>
      <c r="AH17" s="317"/>
    </row>
    <row r="18" spans="1:34" x14ac:dyDescent="0.25">
      <c r="A18" s="317"/>
      <c r="B18" s="398" t="s">
        <v>595</v>
      </c>
      <c r="C18" s="398"/>
      <c r="D18" s="398"/>
      <c r="E18" s="398"/>
      <c r="F18" s="398"/>
      <c r="G18" s="389" t="s">
        <v>596</v>
      </c>
      <c r="H18" s="389"/>
      <c r="I18" s="389"/>
      <c r="J18" s="389"/>
      <c r="K18" s="389"/>
      <c r="L18" s="389"/>
      <c r="M18" s="389"/>
      <c r="N18" s="389"/>
      <c r="O18" s="389"/>
      <c r="P18" s="389"/>
      <c r="Q18" s="389"/>
      <c r="R18" s="389"/>
      <c r="S18" s="389"/>
      <c r="T18" s="389"/>
      <c r="U18" s="389"/>
      <c r="V18" s="389"/>
      <c r="W18" s="389"/>
      <c r="X18" s="389"/>
      <c r="Y18" s="389"/>
      <c r="Z18" s="389"/>
      <c r="AA18" s="389"/>
      <c r="AB18" s="389"/>
      <c r="AC18" s="389"/>
      <c r="AD18" s="389"/>
      <c r="AE18" s="389"/>
      <c r="AF18" s="389"/>
      <c r="AG18" s="317"/>
      <c r="AH18" s="317"/>
    </row>
    <row r="19" spans="1:34" x14ac:dyDescent="0.25">
      <c r="A19" s="317"/>
      <c r="B19" s="398"/>
      <c r="C19" s="398"/>
      <c r="D19" s="398"/>
      <c r="E19" s="398"/>
      <c r="F19" s="398"/>
      <c r="G19" s="389"/>
      <c r="H19" s="389"/>
      <c r="I19" s="389"/>
      <c r="J19" s="389"/>
      <c r="K19" s="389"/>
      <c r="L19" s="389"/>
      <c r="M19" s="389"/>
      <c r="N19" s="389"/>
      <c r="O19" s="389"/>
      <c r="P19" s="389"/>
      <c r="Q19" s="389"/>
      <c r="R19" s="389"/>
      <c r="S19" s="389"/>
      <c r="T19" s="389"/>
      <c r="U19" s="389"/>
      <c r="V19" s="389"/>
      <c r="W19" s="389"/>
      <c r="X19" s="389"/>
      <c r="Y19" s="389"/>
      <c r="Z19" s="389"/>
      <c r="AA19" s="389"/>
      <c r="AB19" s="389"/>
      <c r="AC19" s="389"/>
      <c r="AD19" s="389"/>
      <c r="AE19" s="389"/>
      <c r="AF19" s="389"/>
      <c r="AG19" s="317"/>
      <c r="AH19" s="317"/>
    </row>
    <row r="20" spans="1:34" x14ac:dyDescent="0.25">
      <c r="A20" s="317"/>
      <c r="B20" s="317"/>
      <c r="C20" s="331"/>
      <c r="D20" s="317"/>
      <c r="E20" s="317"/>
      <c r="F20" s="317"/>
      <c r="G20" s="317"/>
      <c r="H20" s="317"/>
      <c r="I20" s="332"/>
      <c r="J20" s="317"/>
      <c r="K20" s="317"/>
      <c r="L20" s="317"/>
      <c r="M20" s="317"/>
      <c r="N20" s="317"/>
      <c r="O20" s="317"/>
      <c r="P20" s="317"/>
      <c r="Q20" s="317"/>
      <c r="R20" s="317"/>
      <c r="S20" s="317"/>
      <c r="T20" s="317"/>
      <c r="U20" s="317"/>
      <c r="V20" s="317"/>
      <c r="W20" s="317"/>
      <c r="X20" s="317"/>
      <c r="Y20" s="317"/>
      <c r="Z20" s="317"/>
      <c r="AA20" s="317"/>
      <c r="AB20" s="317"/>
      <c r="AC20" s="317"/>
      <c r="AD20" s="317"/>
      <c r="AE20" s="317"/>
      <c r="AF20" s="317"/>
      <c r="AG20" s="317"/>
      <c r="AH20" s="317"/>
    </row>
    <row r="21" spans="1:34" ht="20.25" x14ac:dyDescent="0.25">
      <c r="A21" s="329"/>
      <c r="B21" s="329" t="s">
        <v>597</v>
      </c>
      <c r="C21" s="331"/>
      <c r="D21" s="317"/>
      <c r="E21" s="317"/>
      <c r="F21" s="317"/>
      <c r="G21" s="317"/>
      <c r="H21" s="317"/>
      <c r="I21" s="332"/>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row>
    <row r="22" spans="1:34" x14ac:dyDescent="0.25">
      <c r="A22" s="317"/>
      <c r="B22" s="391" t="s">
        <v>84</v>
      </c>
      <c r="C22" s="393"/>
      <c r="D22" s="393"/>
      <c r="E22" s="391" t="s">
        <v>289</v>
      </c>
      <c r="F22" s="391"/>
      <c r="G22" s="391"/>
      <c r="H22" s="391"/>
      <c r="I22" s="391" t="s">
        <v>598</v>
      </c>
      <c r="J22" s="393"/>
      <c r="K22" s="393"/>
      <c r="L22" s="393"/>
      <c r="M22" s="393"/>
      <c r="N22" s="393"/>
      <c r="O22" s="393"/>
      <c r="P22" s="393"/>
      <c r="Q22" s="393"/>
      <c r="R22" s="391" t="s">
        <v>599</v>
      </c>
      <c r="S22" s="391"/>
      <c r="T22" s="391"/>
      <c r="U22" s="391"/>
      <c r="V22" s="391"/>
      <c r="W22" s="391"/>
      <c r="X22" s="391"/>
      <c r="Y22" s="391"/>
      <c r="Z22" s="391"/>
      <c r="AA22" s="391"/>
      <c r="AB22" s="391"/>
      <c r="AC22" s="391"/>
      <c r="AD22" s="391"/>
      <c r="AE22" s="391"/>
      <c r="AF22" s="391"/>
      <c r="AG22" s="317"/>
      <c r="AH22" s="317"/>
    </row>
    <row r="23" spans="1:34" x14ac:dyDescent="0.25">
      <c r="A23" s="317"/>
      <c r="B23" s="394"/>
      <c r="C23" s="395"/>
      <c r="D23" s="395"/>
      <c r="E23" s="389"/>
      <c r="F23" s="389"/>
      <c r="G23" s="389"/>
      <c r="H23" s="389"/>
      <c r="I23" s="389" t="s">
        <v>600</v>
      </c>
      <c r="J23" s="396"/>
      <c r="K23" s="396"/>
      <c r="L23" s="396"/>
      <c r="M23" s="396"/>
      <c r="N23" s="396"/>
      <c r="O23" s="396"/>
      <c r="P23" s="396"/>
      <c r="Q23" s="396"/>
      <c r="R23" s="389"/>
      <c r="S23" s="389"/>
      <c r="T23" s="389"/>
      <c r="U23" s="389"/>
      <c r="V23" s="389"/>
      <c r="W23" s="389"/>
      <c r="X23" s="389"/>
      <c r="Y23" s="389"/>
      <c r="Z23" s="389"/>
      <c r="AA23" s="389"/>
      <c r="AB23" s="389"/>
      <c r="AC23" s="389"/>
      <c r="AD23" s="389"/>
      <c r="AE23" s="389"/>
      <c r="AF23" s="389"/>
      <c r="AG23" s="317"/>
      <c r="AH23" s="317"/>
    </row>
    <row r="24" spans="1:34" x14ac:dyDescent="0.25">
      <c r="A24" s="317"/>
      <c r="B24" s="394"/>
      <c r="C24" s="395"/>
      <c r="D24" s="395"/>
      <c r="E24" s="389"/>
      <c r="F24" s="389"/>
      <c r="G24" s="389"/>
      <c r="H24" s="389"/>
      <c r="I24" s="389"/>
      <c r="J24" s="396"/>
      <c r="K24" s="396"/>
      <c r="L24" s="396"/>
      <c r="M24" s="396"/>
      <c r="N24" s="396"/>
      <c r="O24" s="396"/>
      <c r="P24" s="396"/>
      <c r="Q24" s="396"/>
      <c r="R24" s="389"/>
      <c r="S24" s="389"/>
      <c r="T24" s="389"/>
      <c r="U24" s="389"/>
      <c r="V24" s="389"/>
      <c r="W24" s="389"/>
      <c r="X24" s="389"/>
      <c r="Y24" s="389"/>
      <c r="Z24" s="389"/>
      <c r="AA24" s="389"/>
      <c r="AB24" s="389"/>
      <c r="AC24" s="389"/>
      <c r="AD24" s="389"/>
      <c r="AE24" s="389"/>
      <c r="AF24" s="389"/>
      <c r="AG24" s="317"/>
      <c r="AH24" s="317"/>
    </row>
    <row r="25" spans="1:34" x14ac:dyDescent="0.25">
      <c r="A25" s="317"/>
      <c r="B25" s="394"/>
      <c r="C25" s="395"/>
      <c r="D25" s="395"/>
      <c r="E25" s="389"/>
      <c r="F25" s="389"/>
      <c r="G25" s="389"/>
      <c r="H25" s="389"/>
      <c r="I25" s="389"/>
      <c r="J25" s="396"/>
      <c r="K25" s="396"/>
      <c r="L25" s="396"/>
      <c r="M25" s="396"/>
      <c r="N25" s="396"/>
      <c r="O25" s="396"/>
      <c r="P25" s="396"/>
      <c r="Q25" s="396"/>
      <c r="R25" s="389"/>
      <c r="S25" s="389"/>
      <c r="T25" s="389"/>
      <c r="U25" s="389"/>
      <c r="V25" s="389"/>
      <c r="W25" s="389"/>
      <c r="X25" s="389"/>
      <c r="Y25" s="389"/>
      <c r="Z25" s="389"/>
      <c r="AA25" s="389"/>
      <c r="AB25" s="389"/>
      <c r="AC25" s="389"/>
      <c r="AD25" s="389"/>
      <c r="AE25" s="389"/>
      <c r="AF25" s="389"/>
      <c r="AG25" s="317"/>
      <c r="AH25" s="317"/>
    </row>
    <row r="26" spans="1:34" x14ac:dyDescent="0.25">
      <c r="A26" s="317"/>
      <c r="B26" s="394"/>
      <c r="C26" s="395"/>
      <c r="D26" s="395"/>
      <c r="E26" s="389"/>
      <c r="F26" s="389"/>
      <c r="G26" s="389"/>
      <c r="H26" s="389"/>
      <c r="I26" s="389"/>
      <c r="J26" s="396"/>
      <c r="K26" s="396"/>
      <c r="L26" s="396"/>
      <c r="M26" s="396"/>
      <c r="N26" s="396"/>
      <c r="O26" s="396"/>
      <c r="P26" s="396"/>
      <c r="Q26" s="396"/>
      <c r="R26" s="389"/>
      <c r="S26" s="389"/>
      <c r="T26" s="389"/>
      <c r="U26" s="389"/>
      <c r="V26" s="389"/>
      <c r="W26" s="389"/>
      <c r="X26" s="389"/>
      <c r="Y26" s="389"/>
      <c r="Z26" s="389"/>
      <c r="AA26" s="389"/>
      <c r="AB26" s="389"/>
      <c r="AC26" s="389"/>
      <c r="AD26" s="389"/>
      <c r="AE26" s="389"/>
      <c r="AF26" s="389"/>
      <c r="AG26" s="317"/>
      <c r="AH26" s="317"/>
    </row>
    <row r="27" spans="1:34" x14ac:dyDescent="0.25">
      <c r="A27" s="317"/>
      <c r="B27" s="333" t="s">
        <v>601</v>
      </c>
      <c r="C27" s="334"/>
      <c r="D27" s="334"/>
      <c r="E27" s="335"/>
      <c r="F27" s="335"/>
      <c r="G27" s="335"/>
      <c r="H27" s="335"/>
      <c r="I27" s="335"/>
      <c r="J27" s="336"/>
      <c r="K27" s="336"/>
      <c r="L27" s="336"/>
      <c r="M27" s="336"/>
      <c r="N27" s="336"/>
      <c r="O27" s="336"/>
      <c r="P27" s="336"/>
      <c r="Q27" s="336"/>
      <c r="R27" s="335"/>
      <c r="S27" s="335"/>
      <c r="T27" s="335"/>
      <c r="U27" s="335"/>
      <c r="V27" s="335"/>
      <c r="W27" s="335"/>
      <c r="X27" s="335"/>
      <c r="Y27" s="335"/>
      <c r="Z27" s="335"/>
      <c r="AA27" s="335"/>
      <c r="AB27" s="335"/>
      <c r="AC27" s="335"/>
      <c r="AD27" s="335"/>
      <c r="AE27" s="335"/>
      <c r="AF27" s="335"/>
      <c r="AG27" s="317"/>
      <c r="AH27" s="317"/>
    </row>
    <row r="28" spans="1:34" x14ac:dyDescent="0.25">
      <c r="A28" s="317"/>
      <c r="B28" s="317"/>
      <c r="C28" s="331"/>
      <c r="D28" s="317"/>
      <c r="E28" s="317"/>
      <c r="F28" s="317"/>
      <c r="G28" s="317"/>
      <c r="H28" s="317"/>
      <c r="I28" s="332"/>
      <c r="J28" s="317"/>
      <c r="K28" s="317"/>
      <c r="L28" s="317"/>
      <c r="M28" s="317"/>
      <c r="N28" s="317"/>
      <c r="O28" s="317"/>
      <c r="P28" s="317"/>
      <c r="Q28" s="317"/>
      <c r="R28" s="317"/>
      <c r="S28" s="317"/>
      <c r="T28" s="317"/>
      <c r="U28" s="317"/>
      <c r="V28" s="317"/>
      <c r="W28" s="317"/>
      <c r="X28" s="317"/>
      <c r="Y28" s="317"/>
      <c r="Z28" s="317"/>
      <c r="AA28" s="317"/>
      <c r="AB28" s="317"/>
      <c r="AC28" s="317"/>
      <c r="AD28" s="317"/>
      <c r="AE28" s="317"/>
      <c r="AF28" s="317"/>
      <c r="AG28" s="317"/>
      <c r="AH28" s="317"/>
    </row>
    <row r="29" spans="1:34" x14ac:dyDescent="0.25">
      <c r="A29" s="317"/>
      <c r="B29" s="317"/>
      <c r="C29" s="317"/>
      <c r="D29" s="317"/>
      <c r="E29" s="317"/>
      <c r="F29" s="317"/>
      <c r="G29" s="317"/>
      <c r="H29" s="317"/>
      <c r="I29" s="317"/>
      <c r="J29" s="337"/>
      <c r="K29" s="317"/>
      <c r="L29" s="317"/>
      <c r="M29" s="317"/>
      <c r="N29" s="317"/>
      <c r="O29" s="317"/>
      <c r="P29" s="317"/>
      <c r="Q29" s="317"/>
      <c r="R29" s="317"/>
      <c r="S29" s="317"/>
      <c r="T29" s="317"/>
      <c r="U29" s="317"/>
      <c r="V29" s="317"/>
      <c r="W29" s="317"/>
      <c r="X29" s="317"/>
      <c r="Y29" s="317"/>
      <c r="Z29" s="317"/>
      <c r="AA29" s="317"/>
      <c r="AB29" s="317"/>
      <c r="AC29" s="317"/>
      <c r="AD29" s="317"/>
      <c r="AE29" s="317"/>
      <c r="AF29" s="317"/>
      <c r="AG29" s="317"/>
      <c r="AH29" s="317"/>
    </row>
    <row r="30" spans="1:34" ht="20.25" x14ac:dyDescent="0.25">
      <c r="A30" s="317"/>
      <c r="B30" s="329" t="s">
        <v>602</v>
      </c>
      <c r="C30" s="330"/>
      <c r="D30" s="317"/>
      <c r="E30" s="317"/>
      <c r="F30" s="317"/>
      <c r="G30" s="317"/>
      <c r="H30" s="317"/>
      <c r="I30" s="332"/>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row>
    <row r="31" spans="1:34" ht="18.75" x14ac:dyDescent="0.25">
      <c r="A31" s="317"/>
      <c r="B31" s="338" t="s">
        <v>603</v>
      </c>
      <c r="C31" s="330"/>
      <c r="D31" s="317"/>
      <c r="E31" s="317"/>
      <c r="F31" s="317"/>
      <c r="G31" s="317"/>
      <c r="H31" s="317"/>
      <c r="I31" s="332"/>
      <c r="J31" s="317"/>
      <c r="K31" s="317"/>
      <c r="L31" s="317"/>
      <c r="M31" s="317"/>
      <c r="N31" s="317"/>
      <c r="O31" s="317"/>
      <c r="P31" s="317"/>
      <c r="Q31" s="317"/>
      <c r="R31" s="317"/>
      <c r="S31" s="317"/>
      <c r="T31" s="317"/>
      <c r="U31" s="317"/>
      <c r="V31" s="317"/>
      <c r="W31" s="317"/>
      <c r="X31" s="317"/>
      <c r="Y31" s="317"/>
      <c r="Z31" s="317"/>
      <c r="AA31" s="317"/>
      <c r="AB31" s="317"/>
      <c r="AC31" s="317"/>
      <c r="AD31" s="317"/>
      <c r="AE31" s="317"/>
      <c r="AF31" s="317"/>
      <c r="AG31" s="317"/>
      <c r="AH31" s="317"/>
    </row>
    <row r="32" spans="1:34" x14ac:dyDescent="0.25">
      <c r="A32" s="317"/>
      <c r="B32" s="391" t="s">
        <v>604</v>
      </c>
      <c r="C32" s="391"/>
      <c r="D32" s="391"/>
      <c r="E32" s="391" t="s">
        <v>605</v>
      </c>
      <c r="F32" s="393"/>
      <c r="G32" s="393"/>
      <c r="H32" s="393"/>
      <c r="I32" s="393"/>
      <c r="J32" s="393"/>
      <c r="K32" s="393"/>
      <c r="L32" s="393"/>
      <c r="M32" s="393"/>
      <c r="N32" s="393"/>
      <c r="O32" s="393"/>
      <c r="P32" s="393"/>
      <c r="Q32" s="393"/>
      <c r="R32" s="393"/>
      <c r="S32" s="393"/>
      <c r="T32" s="393"/>
      <c r="U32" s="393"/>
      <c r="V32" s="393"/>
      <c r="W32" s="393"/>
      <c r="X32" s="393"/>
      <c r="Y32" s="391" t="s">
        <v>606</v>
      </c>
      <c r="Z32" s="391"/>
      <c r="AA32" s="391"/>
      <c r="AB32" s="391"/>
      <c r="AC32" s="391"/>
      <c r="AD32" s="391"/>
      <c r="AE32" s="391"/>
      <c r="AF32" s="391"/>
      <c r="AG32" s="317"/>
      <c r="AH32" s="317"/>
    </row>
    <row r="33" spans="1:34" x14ac:dyDescent="0.25">
      <c r="A33" s="317"/>
      <c r="B33" s="388"/>
      <c r="C33" s="388"/>
      <c r="D33" s="388"/>
      <c r="E33" s="389"/>
      <c r="F33" s="390"/>
      <c r="G33" s="390"/>
      <c r="H33" s="390"/>
      <c r="I33" s="390"/>
      <c r="J33" s="390"/>
      <c r="K33" s="390"/>
      <c r="L33" s="390"/>
      <c r="M33" s="390"/>
      <c r="N33" s="390"/>
      <c r="O33" s="390"/>
      <c r="P33" s="390"/>
      <c r="Q33" s="390"/>
      <c r="R33" s="390"/>
      <c r="S33" s="390"/>
      <c r="T33" s="390"/>
      <c r="U33" s="390"/>
      <c r="V33" s="390"/>
      <c r="W33" s="390"/>
      <c r="X33" s="390"/>
      <c r="Y33" s="389"/>
      <c r="Z33" s="390"/>
      <c r="AA33" s="390"/>
      <c r="AB33" s="390"/>
      <c r="AC33" s="390"/>
      <c r="AD33" s="390"/>
      <c r="AE33" s="390"/>
      <c r="AF33" s="390"/>
      <c r="AG33" s="317"/>
      <c r="AH33" s="317"/>
    </row>
    <row r="34" spans="1:34" x14ac:dyDescent="0.25">
      <c r="A34" s="317"/>
      <c r="B34" s="388"/>
      <c r="C34" s="388"/>
      <c r="D34" s="388"/>
      <c r="E34" s="389"/>
      <c r="F34" s="390"/>
      <c r="G34" s="390"/>
      <c r="H34" s="390"/>
      <c r="I34" s="390"/>
      <c r="J34" s="390"/>
      <c r="K34" s="390"/>
      <c r="L34" s="390"/>
      <c r="M34" s="390"/>
      <c r="N34" s="390"/>
      <c r="O34" s="390"/>
      <c r="P34" s="390"/>
      <c r="Q34" s="390"/>
      <c r="R34" s="390"/>
      <c r="S34" s="390"/>
      <c r="T34" s="390"/>
      <c r="U34" s="390"/>
      <c r="V34" s="390"/>
      <c r="W34" s="390"/>
      <c r="X34" s="390"/>
      <c r="Y34" s="389"/>
      <c r="Z34" s="390"/>
      <c r="AA34" s="390"/>
      <c r="AB34" s="390"/>
      <c r="AC34" s="390"/>
      <c r="AD34" s="390"/>
      <c r="AE34" s="390"/>
      <c r="AF34" s="390"/>
      <c r="AG34" s="317"/>
      <c r="AH34" s="317"/>
    </row>
    <row r="35" spans="1:34" x14ac:dyDescent="0.25">
      <c r="A35" s="317"/>
      <c r="B35" s="388"/>
      <c r="C35" s="388"/>
      <c r="D35" s="388"/>
      <c r="E35" s="389"/>
      <c r="F35" s="390"/>
      <c r="G35" s="390"/>
      <c r="H35" s="390"/>
      <c r="I35" s="390"/>
      <c r="J35" s="390"/>
      <c r="K35" s="390"/>
      <c r="L35" s="390"/>
      <c r="M35" s="390"/>
      <c r="N35" s="390"/>
      <c r="O35" s="390"/>
      <c r="P35" s="390"/>
      <c r="Q35" s="390"/>
      <c r="R35" s="390"/>
      <c r="S35" s="390"/>
      <c r="T35" s="390"/>
      <c r="U35" s="390"/>
      <c r="V35" s="390"/>
      <c r="W35" s="390"/>
      <c r="X35" s="390"/>
      <c r="Y35" s="389"/>
      <c r="Z35" s="390"/>
      <c r="AA35" s="390"/>
      <c r="AB35" s="390"/>
      <c r="AC35" s="390"/>
      <c r="AD35" s="390"/>
      <c r="AE35" s="390"/>
      <c r="AF35" s="390"/>
      <c r="AG35" s="317"/>
      <c r="AH35" s="317"/>
    </row>
    <row r="36" spans="1:34" x14ac:dyDescent="0.25">
      <c r="A36" s="317"/>
      <c r="B36" s="388"/>
      <c r="C36" s="388"/>
      <c r="D36" s="388"/>
      <c r="E36" s="389"/>
      <c r="F36" s="390"/>
      <c r="G36" s="390"/>
      <c r="H36" s="390"/>
      <c r="I36" s="390"/>
      <c r="J36" s="390"/>
      <c r="K36" s="390"/>
      <c r="L36" s="390"/>
      <c r="M36" s="390"/>
      <c r="N36" s="390"/>
      <c r="O36" s="390"/>
      <c r="P36" s="390"/>
      <c r="Q36" s="390"/>
      <c r="R36" s="390"/>
      <c r="S36" s="390"/>
      <c r="T36" s="390"/>
      <c r="U36" s="390"/>
      <c r="V36" s="390"/>
      <c r="W36" s="390"/>
      <c r="X36" s="390"/>
      <c r="Y36" s="389"/>
      <c r="Z36" s="390"/>
      <c r="AA36" s="390"/>
      <c r="AB36" s="390"/>
      <c r="AC36" s="390"/>
      <c r="AD36" s="390"/>
      <c r="AE36" s="390"/>
      <c r="AF36" s="390"/>
      <c r="AG36" s="317"/>
      <c r="AH36" s="317"/>
    </row>
    <row r="37" spans="1:34" ht="18.75" x14ac:dyDescent="0.25">
      <c r="A37" s="317"/>
      <c r="B37" s="338" t="s">
        <v>607</v>
      </c>
      <c r="C37" s="330"/>
      <c r="D37" s="317"/>
      <c r="E37" s="317"/>
      <c r="F37" s="317"/>
      <c r="G37" s="317"/>
      <c r="H37" s="317"/>
      <c r="I37" s="332"/>
      <c r="J37" s="317"/>
      <c r="K37" s="317"/>
      <c r="L37" s="317"/>
      <c r="M37" s="317"/>
      <c r="N37" s="317"/>
      <c r="O37" s="317"/>
      <c r="P37" s="317"/>
      <c r="Q37" s="317"/>
      <c r="R37" s="317"/>
      <c r="S37" s="317"/>
      <c r="T37" s="317"/>
      <c r="U37" s="317"/>
      <c r="V37" s="317"/>
      <c r="W37" s="317"/>
      <c r="X37" s="317"/>
      <c r="Y37" s="317"/>
      <c r="Z37" s="317"/>
      <c r="AA37" s="317"/>
      <c r="AB37" s="317"/>
      <c r="AC37" s="317"/>
      <c r="AD37" s="317"/>
      <c r="AE37" s="317"/>
      <c r="AF37" s="317"/>
      <c r="AG37" s="317"/>
      <c r="AH37" s="317"/>
    </row>
    <row r="38" spans="1:34" x14ac:dyDescent="0.25">
      <c r="A38" s="317"/>
      <c r="B38" s="391" t="s">
        <v>604</v>
      </c>
      <c r="C38" s="391"/>
      <c r="D38" s="391"/>
      <c r="E38" s="391" t="s">
        <v>605</v>
      </c>
      <c r="F38" s="393"/>
      <c r="G38" s="393"/>
      <c r="H38" s="393"/>
      <c r="I38" s="393"/>
      <c r="J38" s="393"/>
      <c r="K38" s="393"/>
      <c r="L38" s="393"/>
      <c r="M38" s="393"/>
      <c r="N38" s="393"/>
      <c r="O38" s="393"/>
      <c r="P38" s="393"/>
      <c r="Q38" s="393"/>
      <c r="R38" s="393"/>
      <c r="S38" s="393"/>
      <c r="T38" s="393"/>
      <c r="U38" s="393"/>
      <c r="V38" s="393"/>
      <c r="W38" s="393"/>
      <c r="X38" s="393"/>
      <c r="Y38" s="391" t="s">
        <v>606</v>
      </c>
      <c r="Z38" s="391"/>
      <c r="AA38" s="391"/>
      <c r="AB38" s="391"/>
      <c r="AC38" s="391"/>
      <c r="AD38" s="391"/>
      <c r="AE38" s="391"/>
      <c r="AF38" s="391"/>
      <c r="AG38" s="317"/>
      <c r="AH38" s="317"/>
    </row>
    <row r="39" spans="1:34" x14ac:dyDescent="0.25">
      <c r="A39" s="317"/>
      <c r="B39" s="388"/>
      <c r="C39" s="388"/>
      <c r="D39" s="388"/>
      <c r="E39" s="389"/>
      <c r="F39" s="390"/>
      <c r="G39" s="390"/>
      <c r="H39" s="390"/>
      <c r="I39" s="390"/>
      <c r="J39" s="390"/>
      <c r="K39" s="390"/>
      <c r="L39" s="390"/>
      <c r="M39" s="390"/>
      <c r="N39" s="390"/>
      <c r="O39" s="390"/>
      <c r="P39" s="390"/>
      <c r="Q39" s="390"/>
      <c r="R39" s="390"/>
      <c r="S39" s="390"/>
      <c r="T39" s="390"/>
      <c r="U39" s="390"/>
      <c r="V39" s="390"/>
      <c r="W39" s="390"/>
      <c r="X39" s="390"/>
      <c r="Y39" s="389"/>
      <c r="Z39" s="390"/>
      <c r="AA39" s="390"/>
      <c r="AB39" s="390"/>
      <c r="AC39" s="390"/>
      <c r="AD39" s="390"/>
      <c r="AE39" s="390"/>
      <c r="AF39" s="390"/>
      <c r="AG39" s="317"/>
      <c r="AH39" s="317"/>
    </row>
    <row r="40" spans="1:34" x14ac:dyDescent="0.25">
      <c r="A40" s="317"/>
      <c r="B40" s="388"/>
      <c r="C40" s="388"/>
      <c r="D40" s="388"/>
      <c r="E40" s="389"/>
      <c r="F40" s="390"/>
      <c r="G40" s="390"/>
      <c r="H40" s="390"/>
      <c r="I40" s="390"/>
      <c r="J40" s="390"/>
      <c r="K40" s="390"/>
      <c r="L40" s="390"/>
      <c r="M40" s="390"/>
      <c r="N40" s="390"/>
      <c r="O40" s="390"/>
      <c r="P40" s="390"/>
      <c r="Q40" s="390"/>
      <c r="R40" s="390"/>
      <c r="S40" s="390"/>
      <c r="T40" s="390"/>
      <c r="U40" s="390"/>
      <c r="V40" s="390"/>
      <c r="W40" s="390"/>
      <c r="X40" s="390"/>
      <c r="Y40" s="389"/>
      <c r="Z40" s="390"/>
      <c r="AA40" s="390"/>
      <c r="AB40" s="390"/>
      <c r="AC40" s="390"/>
      <c r="AD40" s="390"/>
      <c r="AE40" s="390"/>
      <c r="AF40" s="390"/>
      <c r="AG40" s="317"/>
      <c r="AH40" s="317"/>
    </row>
    <row r="41" spans="1:34" x14ac:dyDescent="0.25">
      <c r="A41" s="317"/>
      <c r="B41" s="388"/>
      <c r="C41" s="388"/>
      <c r="D41" s="388"/>
      <c r="E41" s="389"/>
      <c r="F41" s="390"/>
      <c r="G41" s="390"/>
      <c r="H41" s="390"/>
      <c r="I41" s="390"/>
      <c r="J41" s="390"/>
      <c r="K41" s="390"/>
      <c r="L41" s="390"/>
      <c r="M41" s="390"/>
      <c r="N41" s="390"/>
      <c r="O41" s="390"/>
      <c r="P41" s="390"/>
      <c r="Q41" s="390"/>
      <c r="R41" s="390"/>
      <c r="S41" s="390"/>
      <c r="T41" s="390"/>
      <c r="U41" s="390"/>
      <c r="V41" s="390"/>
      <c r="W41" s="390"/>
      <c r="X41" s="390"/>
      <c r="Y41" s="389"/>
      <c r="Z41" s="390"/>
      <c r="AA41" s="390"/>
      <c r="AB41" s="390"/>
      <c r="AC41" s="390"/>
      <c r="AD41" s="390"/>
      <c r="AE41" s="390"/>
      <c r="AF41" s="390"/>
      <c r="AG41" s="317"/>
      <c r="AH41" s="317"/>
    </row>
    <row r="42" spans="1:34" x14ac:dyDescent="0.25">
      <c r="A42" s="317"/>
      <c r="B42" s="388"/>
      <c r="C42" s="388"/>
      <c r="D42" s="388"/>
      <c r="E42" s="389"/>
      <c r="F42" s="390"/>
      <c r="G42" s="390"/>
      <c r="H42" s="390"/>
      <c r="I42" s="390"/>
      <c r="J42" s="390"/>
      <c r="K42" s="390"/>
      <c r="L42" s="390"/>
      <c r="M42" s="390"/>
      <c r="N42" s="390"/>
      <c r="O42" s="390"/>
      <c r="P42" s="390"/>
      <c r="Q42" s="390"/>
      <c r="R42" s="390"/>
      <c r="S42" s="390"/>
      <c r="T42" s="390"/>
      <c r="U42" s="390"/>
      <c r="V42" s="390"/>
      <c r="W42" s="390"/>
      <c r="X42" s="390"/>
      <c r="Y42" s="389"/>
      <c r="Z42" s="390"/>
      <c r="AA42" s="390"/>
      <c r="AB42" s="390"/>
      <c r="AC42" s="390"/>
      <c r="AD42" s="390"/>
      <c r="AE42" s="390"/>
      <c r="AF42" s="390"/>
      <c r="AG42" s="317"/>
      <c r="AH42" s="317"/>
    </row>
    <row r="43" spans="1:34" x14ac:dyDescent="0.25">
      <c r="A43" s="317"/>
      <c r="B43" s="317"/>
      <c r="C43" s="331"/>
      <c r="D43" s="317"/>
      <c r="E43" s="317"/>
      <c r="F43" s="317"/>
      <c r="G43" s="317"/>
      <c r="H43" s="317"/>
      <c r="I43" s="332"/>
      <c r="J43" s="317"/>
      <c r="K43" s="317"/>
      <c r="L43" s="317"/>
      <c r="M43" s="317"/>
      <c r="N43" s="317"/>
      <c r="O43" s="317"/>
      <c r="P43" s="317"/>
      <c r="Q43" s="317"/>
      <c r="R43" s="317"/>
      <c r="S43" s="317"/>
      <c r="T43" s="317"/>
      <c r="U43" s="317"/>
      <c r="V43" s="317"/>
      <c r="W43" s="317"/>
      <c r="X43" s="317"/>
      <c r="Y43" s="317"/>
      <c r="Z43" s="317"/>
      <c r="AA43" s="317"/>
      <c r="AB43" s="317"/>
      <c r="AC43" s="317"/>
      <c r="AD43" s="317"/>
      <c r="AE43" s="317"/>
      <c r="AF43" s="317"/>
      <c r="AG43" s="317"/>
      <c r="AH43" s="317"/>
    </row>
    <row r="44" spans="1:34" ht="20.25" x14ac:dyDescent="0.25">
      <c r="A44" s="317"/>
      <c r="B44" s="329" t="s">
        <v>608</v>
      </c>
      <c r="C44" s="330"/>
      <c r="D44" s="317"/>
      <c r="E44" s="317"/>
      <c r="F44" s="317"/>
      <c r="G44" s="317"/>
      <c r="H44" s="317"/>
      <c r="I44" s="332"/>
      <c r="J44" s="317"/>
      <c r="K44" s="317"/>
      <c r="L44" s="317"/>
      <c r="M44" s="317"/>
      <c r="N44" s="317"/>
      <c r="O44" s="317"/>
      <c r="P44" s="317"/>
      <c r="Q44" s="317"/>
      <c r="R44" s="317"/>
      <c r="S44" s="317"/>
      <c r="T44" s="317"/>
      <c r="U44" s="317"/>
      <c r="V44" s="317"/>
      <c r="W44" s="317"/>
      <c r="X44" s="317"/>
      <c r="Y44" s="317"/>
      <c r="Z44" s="317"/>
      <c r="AA44" s="317"/>
      <c r="AB44" s="317"/>
      <c r="AC44" s="317"/>
      <c r="AD44" s="317"/>
      <c r="AE44" s="317"/>
      <c r="AF44" s="317"/>
      <c r="AG44" s="317"/>
      <c r="AH44" s="317"/>
    </row>
    <row r="45" spans="1:34" x14ac:dyDescent="0.25">
      <c r="A45" s="317"/>
      <c r="B45" s="391" t="s">
        <v>609</v>
      </c>
      <c r="C45" s="391"/>
      <c r="D45" s="391"/>
      <c r="E45" s="391"/>
      <c r="F45" s="391"/>
      <c r="G45" s="391"/>
      <c r="H45" s="392"/>
      <c r="I45" s="392"/>
      <c r="J45" s="392"/>
      <c r="K45" s="392"/>
      <c r="L45" s="392"/>
      <c r="M45" s="392"/>
      <c r="N45" s="392"/>
      <c r="O45" s="392"/>
      <c r="P45" s="392"/>
      <c r="Q45" s="392"/>
      <c r="R45" s="392"/>
      <c r="S45" s="392"/>
      <c r="T45" s="392"/>
      <c r="U45" s="392"/>
      <c r="V45" s="392"/>
      <c r="W45" s="392"/>
      <c r="X45" s="392"/>
      <c r="Y45" s="392"/>
      <c r="Z45" s="392"/>
      <c r="AA45" s="392"/>
      <c r="AB45" s="392"/>
      <c r="AC45" s="392"/>
      <c r="AD45" s="392"/>
      <c r="AE45" s="392"/>
      <c r="AF45" s="392"/>
      <c r="AG45" s="317"/>
      <c r="AH45" s="317"/>
    </row>
    <row r="46" spans="1:34" ht="27.75" customHeight="1" x14ac:dyDescent="0.25">
      <c r="A46" s="317"/>
      <c r="B46" s="381" t="s">
        <v>610</v>
      </c>
      <c r="C46" s="382"/>
      <c r="D46" s="382"/>
      <c r="E46" s="382"/>
      <c r="F46" s="382"/>
      <c r="G46" s="383"/>
      <c r="H46" s="387" t="s">
        <v>611</v>
      </c>
      <c r="I46" s="385"/>
      <c r="J46" s="385"/>
      <c r="K46" s="385"/>
      <c r="L46" s="385"/>
      <c r="M46" s="385"/>
      <c r="N46" s="385"/>
      <c r="O46" s="385"/>
      <c r="P46" s="385"/>
      <c r="Q46" s="385"/>
      <c r="R46" s="385"/>
      <c r="S46" s="385"/>
      <c r="T46" s="385"/>
      <c r="U46" s="385"/>
      <c r="V46" s="385"/>
      <c r="W46" s="385"/>
      <c r="X46" s="385"/>
      <c r="Y46" s="385"/>
      <c r="Z46" s="385"/>
      <c r="AA46" s="385"/>
      <c r="AB46" s="385"/>
      <c r="AC46" s="385"/>
      <c r="AD46" s="385"/>
      <c r="AE46" s="385"/>
      <c r="AF46" s="386"/>
      <c r="AG46" s="317"/>
      <c r="AH46" s="317"/>
    </row>
    <row r="47" spans="1:34" x14ac:dyDescent="0.25">
      <c r="A47" s="317"/>
      <c r="B47" s="381"/>
      <c r="C47" s="382"/>
      <c r="D47" s="382"/>
      <c r="E47" s="382"/>
      <c r="F47" s="382"/>
      <c r="G47" s="383"/>
      <c r="H47" s="384"/>
      <c r="I47" s="385"/>
      <c r="J47" s="385"/>
      <c r="K47" s="385"/>
      <c r="L47" s="385"/>
      <c r="M47" s="385"/>
      <c r="N47" s="385"/>
      <c r="O47" s="385"/>
      <c r="P47" s="385"/>
      <c r="Q47" s="385"/>
      <c r="R47" s="385"/>
      <c r="S47" s="385"/>
      <c r="T47" s="385"/>
      <c r="U47" s="385"/>
      <c r="V47" s="385"/>
      <c r="W47" s="385"/>
      <c r="X47" s="385"/>
      <c r="Y47" s="385"/>
      <c r="Z47" s="385"/>
      <c r="AA47" s="385"/>
      <c r="AB47" s="385"/>
      <c r="AC47" s="385"/>
      <c r="AD47" s="385"/>
      <c r="AE47" s="385"/>
      <c r="AF47" s="386"/>
      <c r="AG47" s="317"/>
      <c r="AH47" s="317"/>
    </row>
    <row r="48" spans="1:34" x14ac:dyDescent="0.25">
      <c r="A48" s="317"/>
      <c r="B48" s="381"/>
      <c r="C48" s="382"/>
      <c r="D48" s="382"/>
      <c r="E48" s="382"/>
      <c r="F48" s="382"/>
      <c r="G48" s="383"/>
      <c r="H48" s="384"/>
      <c r="I48" s="385"/>
      <c r="J48" s="385"/>
      <c r="K48" s="385"/>
      <c r="L48" s="385"/>
      <c r="M48" s="385"/>
      <c r="N48" s="385"/>
      <c r="O48" s="385"/>
      <c r="P48" s="385"/>
      <c r="Q48" s="385"/>
      <c r="R48" s="385"/>
      <c r="S48" s="385"/>
      <c r="T48" s="385"/>
      <c r="U48" s="385"/>
      <c r="V48" s="385"/>
      <c r="W48" s="385"/>
      <c r="X48" s="385"/>
      <c r="Y48" s="385"/>
      <c r="Z48" s="385"/>
      <c r="AA48" s="385"/>
      <c r="AB48" s="385"/>
      <c r="AC48" s="385"/>
      <c r="AD48" s="385"/>
      <c r="AE48" s="385"/>
      <c r="AF48" s="386"/>
      <c r="AG48" s="317"/>
      <c r="AH48" s="317"/>
    </row>
    <row r="49" spans="1:34" x14ac:dyDescent="0.25">
      <c r="A49" s="317"/>
      <c r="B49" s="381"/>
      <c r="C49" s="382"/>
      <c r="D49" s="382"/>
      <c r="E49" s="382"/>
      <c r="F49" s="382"/>
      <c r="G49" s="383"/>
      <c r="H49" s="384"/>
      <c r="I49" s="385"/>
      <c r="J49" s="385"/>
      <c r="K49" s="385"/>
      <c r="L49" s="385"/>
      <c r="M49" s="385"/>
      <c r="N49" s="385"/>
      <c r="O49" s="385"/>
      <c r="P49" s="385"/>
      <c r="Q49" s="385"/>
      <c r="R49" s="385"/>
      <c r="S49" s="385"/>
      <c r="T49" s="385"/>
      <c r="U49" s="385"/>
      <c r="V49" s="385"/>
      <c r="W49" s="385"/>
      <c r="X49" s="385"/>
      <c r="Y49" s="385"/>
      <c r="Z49" s="385"/>
      <c r="AA49" s="385"/>
      <c r="AB49" s="385"/>
      <c r="AC49" s="385"/>
      <c r="AD49" s="385"/>
      <c r="AE49" s="385"/>
      <c r="AF49" s="386"/>
      <c r="AG49" s="317"/>
      <c r="AH49" s="317"/>
    </row>
    <row r="50" spans="1:34" x14ac:dyDescent="0.25">
      <c r="A50" s="317"/>
      <c r="B50" s="381"/>
      <c r="C50" s="382"/>
      <c r="D50" s="382"/>
      <c r="E50" s="382"/>
      <c r="F50" s="382"/>
      <c r="G50" s="383"/>
      <c r="H50" s="384"/>
      <c r="I50" s="385"/>
      <c r="J50" s="385"/>
      <c r="K50" s="385"/>
      <c r="L50" s="385"/>
      <c r="M50" s="385"/>
      <c r="N50" s="385"/>
      <c r="O50" s="385"/>
      <c r="P50" s="385"/>
      <c r="Q50" s="385"/>
      <c r="R50" s="385"/>
      <c r="S50" s="385"/>
      <c r="T50" s="385"/>
      <c r="U50" s="385"/>
      <c r="V50" s="385"/>
      <c r="W50" s="385"/>
      <c r="X50" s="385"/>
      <c r="Y50" s="385"/>
      <c r="Z50" s="385"/>
      <c r="AA50" s="385"/>
      <c r="AB50" s="385"/>
      <c r="AC50" s="385"/>
      <c r="AD50" s="385"/>
      <c r="AE50" s="385"/>
      <c r="AF50" s="386"/>
      <c r="AG50" s="317"/>
      <c r="AH50" s="317"/>
    </row>
    <row r="51" spans="1:34" x14ac:dyDescent="0.25">
      <c r="A51" s="317"/>
      <c r="B51" s="335"/>
      <c r="C51" s="335"/>
      <c r="D51" s="335"/>
      <c r="E51" s="335"/>
      <c r="F51" s="335"/>
      <c r="G51" s="335"/>
      <c r="H51" s="339"/>
      <c r="I51" s="339"/>
      <c r="J51" s="339"/>
      <c r="K51" s="339"/>
      <c r="L51" s="339"/>
      <c r="M51" s="339"/>
      <c r="N51" s="339"/>
      <c r="O51" s="339"/>
      <c r="P51" s="339"/>
      <c r="Q51" s="339"/>
      <c r="R51" s="339"/>
      <c r="S51" s="339"/>
      <c r="T51" s="339"/>
      <c r="U51" s="339"/>
      <c r="V51" s="339"/>
      <c r="W51" s="339"/>
      <c r="X51" s="339"/>
      <c r="Y51" s="339"/>
      <c r="Z51" s="339"/>
      <c r="AA51" s="339"/>
      <c r="AB51" s="339"/>
      <c r="AC51" s="339"/>
      <c r="AD51" s="339"/>
      <c r="AE51" s="339"/>
      <c r="AF51" s="339"/>
      <c r="AG51" s="317"/>
      <c r="AH51" s="317"/>
    </row>
    <row r="52" spans="1:34" x14ac:dyDescent="0.25">
      <c r="A52" s="317"/>
      <c r="B52" s="335"/>
      <c r="C52" s="335"/>
      <c r="D52" s="335"/>
      <c r="E52" s="335"/>
      <c r="F52" s="335"/>
      <c r="G52" s="335"/>
      <c r="H52" s="339"/>
      <c r="I52" s="339"/>
      <c r="J52" s="339"/>
      <c r="K52" s="339"/>
      <c r="L52" s="339"/>
      <c r="M52" s="339"/>
      <c r="N52" s="339"/>
      <c r="O52" s="339"/>
      <c r="P52" s="339"/>
      <c r="Q52" s="339"/>
      <c r="R52" s="339"/>
      <c r="S52" s="339"/>
      <c r="T52" s="339"/>
      <c r="U52" s="339"/>
      <c r="V52" s="339"/>
      <c r="W52" s="339"/>
      <c r="X52" s="339"/>
      <c r="Y52" s="339"/>
      <c r="Z52" s="339"/>
      <c r="AA52" s="339"/>
      <c r="AB52" s="339"/>
      <c r="AC52" s="339"/>
      <c r="AD52" s="339"/>
      <c r="AE52" s="339"/>
      <c r="AF52" s="339"/>
      <c r="AG52" s="317"/>
      <c r="AH52" s="317"/>
    </row>
    <row r="53" spans="1:34" ht="26.25" x14ac:dyDescent="0.25">
      <c r="A53" s="317"/>
      <c r="B53" s="340" t="s">
        <v>612</v>
      </c>
      <c r="C53" s="341"/>
      <c r="D53" s="341"/>
      <c r="E53" s="341"/>
      <c r="F53" s="341"/>
      <c r="G53" s="341"/>
      <c r="H53" s="342"/>
      <c r="I53" s="342"/>
      <c r="J53" s="342"/>
      <c r="K53" s="342"/>
      <c r="L53" s="342"/>
      <c r="M53" s="342"/>
      <c r="N53" s="342"/>
      <c r="O53" s="342"/>
      <c r="P53" s="342"/>
      <c r="Q53" s="342"/>
      <c r="R53" s="342"/>
      <c r="S53" s="342"/>
      <c r="T53" s="342"/>
      <c r="U53" s="342"/>
      <c r="V53" s="342"/>
      <c r="W53" s="342"/>
      <c r="X53" s="342"/>
      <c r="Y53" s="342"/>
      <c r="Z53" s="342"/>
      <c r="AA53" s="342"/>
      <c r="AB53" s="342"/>
      <c r="AC53" s="342"/>
      <c r="AD53" s="342"/>
      <c r="AE53" s="342"/>
      <c r="AF53" s="342"/>
      <c r="AG53" s="317"/>
      <c r="AH53" s="317"/>
    </row>
    <row r="54" spans="1:34" ht="26.25" x14ac:dyDescent="0.25">
      <c r="A54" s="317"/>
      <c r="B54" s="343"/>
      <c r="C54" s="335"/>
      <c r="D54" s="335"/>
      <c r="E54" s="335"/>
      <c r="F54" s="335"/>
      <c r="G54" s="335"/>
      <c r="H54" s="339"/>
      <c r="I54" s="339"/>
      <c r="J54" s="339"/>
      <c r="K54" s="339"/>
      <c r="L54" s="339"/>
      <c r="M54" s="339"/>
      <c r="N54" s="339"/>
      <c r="O54" s="339"/>
      <c r="P54" s="339"/>
      <c r="Q54" s="339"/>
      <c r="R54" s="339"/>
      <c r="S54" s="339"/>
      <c r="T54" s="339"/>
      <c r="U54" s="339"/>
      <c r="V54" s="339"/>
      <c r="W54" s="339"/>
      <c r="X54" s="339"/>
      <c r="Y54" s="339"/>
      <c r="Z54" s="339"/>
      <c r="AA54" s="339"/>
      <c r="AB54" s="339"/>
      <c r="AC54" s="339"/>
      <c r="AD54" s="339"/>
      <c r="AE54" s="339"/>
      <c r="AF54" s="339"/>
      <c r="AG54" s="317"/>
      <c r="AH54" s="317"/>
    </row>
    <row r="55" spans="1:34" x14ac:dyDescent="0.25">
      <c r="A55" s="317"/>
      <c r="B55" s="344" t="s">
        <v>613</v>
      </c>
      <c r="C55" s="344"/>
      <c r="D55" s="344"/>
      <c r="E55" s="344"/>
      <c r="F55" s="344"/>
      <c r="G55" s="344"/>
      <c r="H55" s="345"/>
      <c r="I55" s="345"/>
      <c r="J55" s="345"/>
      <c r="K55" s="345"/>
      <c r="L55" s="345"/>
      <c r="M55" s="345"/>
      <c r="N55" s="345"/>
      <c r="O55" s="345"/>
      <c r="P55" s="345"/>
      <c r="Q55" s="345"/>
      <c r="R55" s="345"/>
      <c r="S55" s="345"/>
      <c r="T55" s="345"/>
      <c r="U55" s="345"/>
      <c r="V55" s="345"/>
      <c r="W55" s="345"/>
      <c r="X55" s="345"/>
      <c r="Y55" s="345"/>
      <c r="Z55" s="345"/>
      <c r="AA55" s="345"/>
      <c r="AB55" s="345"/>
      <c r="AC55" s="345"/>
      <c r="AD55" s="345"/>
      <c r="AE55" s="345"/>
      <c r="AF55" s="345"/>
      <c r="AG55" s="317"/>
      <c r="AH55" s="317"/>
    </row>
    <row r="56" spans="1:34" x14ac:dyDescent="0.25">
      <c r="A56" s="317"/>
      <c r="B56" s="344"/>
      <c r="C56" s="344"/>
      <c r="D56" s="344"/>
      <c r="E56" s="344"/>
      <c r="F56" s="344"/>
      <c r="G56" s="344"/>
      <c r="H56" s="345"/>
      <c r="I56" s="345"/>
      <c r="J56" s="345"/>
      <c r="K56" s="345"/>
      <c r="L56" s="345"/>
      <c r="M56" s="345"/>
      <c r="N56" s="345"/>
      <c r="O56" s="345"/>
      <c r="P56" s="345"/>
      <c r="Q56" s="345"/>
      <c r="R56" s="345"/>
      <c r="S56" s="345"/>
      <c r="T56" s="345"/>
      <c r="U56" s="345"/>
      <c r="V56" s="345"/>
      <c r="W56" s="345"/>
      <c r="X56" s="345"/>
      <c r="Y56" s="345"/>
      <c r="Z56" s="345"/>
      <c r="AA56" s="345"/>
      <c r="AB56" s="345"/>
      <c r="AC56" s="345"/>
      <c r="AD56" s="345"/>
      <c r="AE56" s="345"/>
      <c r="AF56" s="345"/>
      <c r="AG56" s="317"/>
      <c r="AH56" s="317"/>
    </row>
    <row r="57" spans="1:34" x14ac:dyDescent="0.25">
      <c r="A57" s="317"/>
      <c r="B57" s="344"/>
      <c r="C57" s="344"/>
      <c r="D57" s="344"/>
      <c r="E57" s="344"/>
      <c r="F57" s="344"/>
      <c r="G57" s="344"/>
      <c r="H57" s="345"/>
      <c r="I57" s="345"/>
      <c r="J57" s="345"/>
      <c r="K57" s="345"/>
      <c r="L57" s="345"/>
      <c r="M57" s="345"/>
      <c r="N57" s="345"/>
      <c r="O57" s="345"/>
      <c r="P57" s="345"/>
      <c r="Q57" s="345"/>
      <c r="R57" s="345"/>
      <c r="S57" s="345"/>
      <c r="T57" s="345"/>
      <c r="U57" s="345"/>
      <c r="V57" s="345"/>
      <c r="W57" s="345"/>
      <c r="X57" s="345"/>
      <c r="Y57" s="345"/>
      <c r="Z57" s="345"/>
      <c r="AA57" s="345"/>
      <c r="AB57" s="345"/>
      <c r="AC57" s="345"/>
      <c r="AD57" s="345"/>
      <c r="AE57" s="345"/>
      <c r="AF57" s="345"/>
      <c r="AG57" s="317"/>
      <c r="AH57" s="317"/>
    </row>
    <row r="58" spans="1:34" ht="26.25" x14ac:dyDescent="0.25">
      <c r="A58" s="317"/>
      <c r="B58" s="340" t="s">
        <v>614</v>
      </c>
      <c r="C58" s="341"/>
      <c r="D58" s="341"/>
      <c r="E58" s="341"/>
      <c r="F58" s="341"/>
      <c r="G58" s="341"/>
      <c r="H58" s="342"/>
      <c r="I58" s="342"/>
      <c r="J58" s="342"/>
      <c r="K58" s="342"/>
      <c r="L58" s="342"/>
      <c r="M58" s="342"/>
      <c r="N58" s="342"/>
      <c r="O58" s="342"/>
      <c r="P58" s="342"/>
      <c r="Q58" s="342"/>
      <c r="R58" s="342"/>
      <c r="S58" s="342"/>
      <c r="T58" s="342"/>
      <c r="U58" s="342"/>
      <c r="V58" s="342"/>
      <c r="W58" s="342"/>
      <c r="X58" s="342"/>
      <c r="Y58" s="342"/>
      <c r="Z58" s="342"/>
      <c r="AA58" s="342"/>
      <c r="AB58" s="342"/>
      <c r="AC58" s="342"/>
      <c r="AD58" s="342"/>
      <c r="AE58" s="342"/>
      <c r="AF58" s="342"/>
      <c r="AG58" s="317"/>
      <c r="AH58" s="317"/>
    </row>
    <row r="59" spans="1:34" x14ac:dyDescent="0.25">
      <c r="A59" s="317"/>
      <c r="B59" s="344"/>
      <c r="C59" s="344"/>
      <c r="D59" s="344"/>
      <c r="E59" s="344"/>
      <c r="F59" s="344"/>
      <c r="G59" s="344"/>
      <c r="H59" s="345"/>
      <c r="I59" s="345"/>
      <c r="J59" s="345"/>
      <c r="K59" s="345"/>
      <c r="L59" s="345"/>
      <c r="M59" s="345"/>
      <c r="N59" s="345"/>
      <c r="O59" s="345"/>
      <c r="P59" s="345"/>
      <c r="Q59" s="345"/>
      <c r="R59" s="345"/>
      <c r="S59" s="345"/>
      <c r="T59" s="345"/>
      <c r="U59" s="345"/>
      <c r="V59" s="345"/>
      <c r="W59" s="345"/>
      <c r="X59" s="345"/>
      <c r="Y59" s="345"/>
      <c r="Z59" s="345"/>
      <c r="AA59" s="345"/>
      <c r="AB59" s="345"/>
      <c r="AC59" s="345"/>
      <c r="AD59" s="345"/>
      <c r="AE59" s="345"/>
      <c r="AF59" s="345"/>
      <c r="AG59" s="317"/>
      <c r="AH59" s="317"/>
    </row>
    <row r="60" spans="1:34" x14ac:dyDescent="0.25">
      <c r="A60" s="317"/>
      <c r="B60" s="344" t="s">
        <v>615</v>
      </c>
      <c r="C60" s="344"/>
      <c r="D60" s="344"/>
      <c r="E60" s="344"/>
      <c r="F60" s="344"/>
      <c r="G60" s="344"/>
      <c r="H60" s="345"/>
      <c r="I60" s="345"/>
      <c r="J60" s="345"/>
      <c r="K60" s="345"/>
      <c r="L60" s="345"/>
      <c r="M60" s="345"/>
      <c r="N60" s="345"/>
      <c r="O60" s="345"/>
      <c r="P60" s="345"/>
      <c r="Q60" s="345"/>
      <c r="R60" s="345"/>
      <c r="S60" s="345"/>
      <c r="T60" s="345"/>
      <c r="U60" s="345"/>
      <c r="V60" s="345"/>
      <c r="W60" s="345"/>
      <c r="X60" s="345"/>
      <c r="Y60" s="345"/>
      <c r="Z60" s="345"/>
      <c r="AA60" s="345"/>
      <c r="AB60" s="345"/>
      <c r="AC60" s="345"/>
      <c r="AD60" s="345"/>
      <c r="AE60" s="345"/>
      <c r="AF60" s="345"/>
      <c r="AG60" s="317"/>
      <c r="AH60" s="317"/>
    </row>
    <row r="61" spans="1:34" x14ac:dyDescent="0.25">
      <c r="A61" s="317"/>
      <c r="B61" s="344"/>
      <c r="C61" s="344"/>
      <c r="D61" s="344"/>
      <c r="E61" s="344"/>
      <c r="F61" s="344"/>
      <c r="G61" s="344"/>
      <c r="H61" s="345"/>
      <c r="I61" s="345"/>
      <c r="J61" s="345"/>
      <c r="K61" s="345"/>
      <c r="L61" s="345"/>
      <c r="M61" s="345"/>
      <c r="N61" s="345"/>
      <c r="O61" s="345"/>
      <c r="P61" s="345"/>
      <c r="Q61" s="345"/>
      <c r="R61" s="345"/>
      <c r="S61" s="345"/>
      <c r="T61" s="345"/>
      <c r="U61" s="345"/>
      <c r="V61" s="345"/>
      <c r="W61" s="345"/>
      <c r="X61" s="345"/>
      <c r="Y61" s="345"/>
      <c r="Z61" s="345"/>
      <c r="AA61" s="345"/>
      <c r="AB61" s="345"/>
      <c r="AC61" s="345"/>
      <c r="AD61" s="345"/>
      <c r="AE61" s="345"/>
      <c r="AF61" s="345"/>
      <c r="AG61" s="317"/>
      <c r="AH61" s="317"/>
    </row>
    <row r="62" spans="1:34" x14ac:dyDescent="0.25">
      <c r="A62" s="317"/>
      <c r="B62" s="344"/>
      <c r="C62" s="344"/>
      <c r="D62" s="344"/>
      <c r="E62" s="344"/>
      <c r="F62" s="344"/>
      <c r="G62" s="344"/>
      <c r="H62" s="345"/>
      <c r="I62" s="345"/>
      <c r="J62" s="345"/>
      <c r="K62" s="345"/>
      <c r="L62" s="345"/>
      <c r="M62" s="345"/>
      <c r="N62" s="345"/>
      <c r="O62" s="345"/>
      <c r="P62" s="345"/>
      <c r="Q62" s="345"/>
      <c r="R62" s="345"/>
      <c r="S62" s="345"/>
      <c r="T62" s="345"/>
      <c r="U62" s="345"/>
      <c r="V62" s="345"/>
      <c r="W62" s="345"/>
      <c r="X62" s="345"/>
      <c r="Y62" s="345"/>
      <c r="Z62" s="345"/>
      <c r="AA62" s="345"/>
      <c r="AB62" s="345"/>
      <c r="AC62" s="345"/>
      <c r="AD62" s="345"/>
      <c r="AE62" s="345"/>
      <c r="AF62" s="345"/>
      <c r="AG62" s="317"/>
      <c r="AH62" s="317"/>
    </row>
    <row r="63" spans="1:34" x14ac:dyDescent="0.25">
      <c r="A63" s="317"/>
      <c r="B63" s="344"/>
      <c r="C63" s="344"/>
      <c r="D63" s="344"/>
      <c r="E63" s="344"/>
      <c r="F63" s="344"/>
      <c r="G63" s="344"/>
      <c r="H63" s="345"/>
      <c r="I63" s="345"/>
      <c r="J63" s="345"/>
      <c r="K63" s="345"/>
      <c r="L63" s="345"/>
      <c r="M63" s="345"/>
      <c r="N63" s="345"/>
      <c r="O63" s="345"/>
      <c r="P63" s="345"/>
      <c r="Q63" s="345"/>
      <c r="R63" s="345"/>
      <c r="S63" s="345"/>
      <c r="T63" s="345"/>
      <c r="U63" s="345"/>
      <c r="V63" s="345"/>
      <c r="W63" s="345"/>
      <c r="X63" s="345"/>
      <c r="Y63" s="345"/>
      <c r="Z63" s="345"/>
      <c r="AA63" s="345"/>
      <c r="AB63" s="345"/>
      <c r="AC63" s="345"/>
      <c r="AD63" s="345"/>
      <c r="AE63" s="345"/>
      <c r="AF63" s="345"/>
      <c r="AG63" s="317"/>
      <c r="AH63" s="317"/>
    </row>
    <row r="64" spans="1:34" x14ac:dyDescent="0.25">
      <c r="A64" s="317"/>
      <c r="B64" s="344"/>
      <c r="C64" s="344"/>
      <c r="D64" s="344"/>
      <c r="E64" s="344"/>
      <c r="F64" s="344"/>
      <c r="G64" s="344"/>
      <c r="H64" s="345"/>
      <c r="I64" s="345"/>
      <c r="J64" s="345"/>
      <c r="K64" s="345"/>
      <c r="L64" s="345"/>
      <c r="M64" s="345"/>
      <c r="N64" s="345"/>
      <c r="O64" s="345"/>
      <c r="P64" s="345"/>
      <c r="Q64" s="345"/>
      <c r="R64" s="345"/>
      <c r="S64" s="345"/>
      <c r="T64" s="345"/>
      <c r="U64" s="345"/>
      <c r="V64" s="345"/>
      <c r="W64" s="345"/>
      <c r="X64" s="345"/>
      <c r="Y64" s="345"/>
      <c r="Z64" s="345"/>
      <c r="AA64" s="345"/>
      <c r="AB64" s="345"/>
      <c r="AC64" s="345"/>
      <c r="AD64" s="345"/>
      <c r="AE64" s="345"/>
      <c r="AF64" s="345"/>
      <c r="AG64" s="317"/>
      <c r="AH64" s="317"/>
    </row>
    <row r="65" spans="1:34" x14ac:dyDescent="0.25">
      <c r="A65" s="317"/>
      <c r="B65" s="344"/>
      <c r="C65" s="344"/>
      <c r="D65" s="344"/>
      <c r="E65" s="344"/>
      <c r="F65" s="344"/>
      <c r="G65" s="344"/>
      <c r="H65" s="345"/>
      <c r="I65" s="345"/>
      <c r="J65" s="345"/>
      <c r="K65" s="345"/>
      <c r="L65" s="345"/>
      <c r="M65" s="345"/>
      <c r="N65" s="345"/>
      <c r="O65" s="345"/>
      <c r="P65" s="345"/>
      <c r="Q65" s="345"/>
      <c r="R65" s="345"/>
      <c r="S65" s="345"/>
      <c r="T65" s="345"/>
      <c r="U65" s="345"/>
      <c r="V65" s="345"/>
      <c r="W65" s="345"/>
      <c r="X65" s="345"/>
      <c r="Y65" s="345"/>
      <c r="Z65" s="345"/>
      <c r="AA65" s="345"/>
      <c r="AB65" s="345"/>
      <c r="AC65" s="345"/>
      <c r="AD65" s="345"/>
      <c r="AE65" s="345"/>
      <c r="AF65" s="345"/>
      <c r="AG65" s="317"/>
      <c r="AH65" s="317"/>
    </row>
    <row r="66" spans="1:34" x14ac:dyDescent="0.25">
      <c r="A66" s="317"/>
      <c r="B66" s="344"/>
      <c r="C66" s="344"/>
      <c r="D66" s="344"/>
      <c r="E66" s="344"/>
      <c r="F66" s="344"/>
      <c r="G66" s="344"/>
      <c r="H66" s="345"/>
      <c r="I66" s="345"/>
      <c r="J66" s="345"/>
      <c r="K66" s="345"/>
      <c r="L66" s="345"/>
      <c r="M66" s="345"/>
      <c r="N66" s="345"/>
      <c r="O66" s="345"/>
      <c r="P66" s="345"/>
      <c r="Q66" s="345"/>
      <c r="R66" s="345"/>
      <c r="S66" s="345"/>
      <c r="T66" s="345"/>
      <c r="U66" s="345"/>
      <c r="V66" s="345"/>
      <c r="W66" s="345"/>
      <c r="X66" s="345"/>
      <c r="Y66" s="345"/>
      <c r="Z66" s="345"/>
      <c r="AA66" s="345"/>
      <c r="AB66" s="345"/>
      <c r="AC66" s="345"/>
      <c r="AD66" s="345"/>
      <c r="AE66" s="345"/>
      <c r="AF66" s="345"/>
      <c r="AG66" s="317"/>
      <c r="AH66" s="317"/>
    </row>
    <row r="67" spans="1:34" x14ac:dyDescent="0.25">
      <c r="A67" s="317"/>
      <c r="B67" s="344"/>
      <c r="C67" s="344"/>
      <c r="D67" s="344"/>
      <c r="E67" s="344"/>
      <c r="F67" s="344"/>
      <c r="G67" s="344"/>
      <c r="H67" s="345"/>
      <c r="I67" s="345"/>
      <c r="J67" s="345"/>
      <c r="K67" s="345"/>
      <c r="L67" s="345"/>
      <c r="M67" s="345"/>
      <c r="N67" s="345"/>
      <c r="O67" s="345"/>
      <c r="P67" s="345"/>
      <c r="Q67" s="345"/>
      <c r="R67" s="345"/>
      <c r="S67" s="345"/>
      <c r="T67" s="345"/>
      <c r="U67" s="345"/>
      <c r="V67" s="345"/>
      <c r="W67" s="345"/>
      <c r="X67" s="345"/>
      <c r="Y67" s="345"/>
      <c r="Z67" s="345"/>
      <c r="AA67" s="345"/>
      <c r="AB67" s="345"/>
      <c r="AC67" s="345"/>
      <c r="AD67" s="345"/>
      <c r="AE67" s="345"/>
      <c r="AF67" s="345"/>
      <c r="AG67" s="317"/>
      <c r="AH67" s="317"/>
    </row>
    <row r="68" spans="1:34" x14ac:dyDescent="0.25">
      <c r="A68" s="317"/>
      <c r="B68" s="317"/>
      <c r="C68" s="317"/>
      <c r="D68" s="317"/>
      <c r="E68" s="317"/>
      <c r="F68" s="317"/>
      <c r="G68" s="317"/>
      <c r="H68" s="317"/>
      <c r="I68" s="317"/>
      <c r="J68" s="317"/>
      <c r="K68" s="317"/>
      <c r="L68" s="317"/>
      <c r="M68" s="317"/>
      <c r="N68" s="317"/>
      <c r="O68" s="317"/>
      <c r="P68" s="317"/>
      <c r="Q68" s="317"/>
      <c r="R68" s="317"/>
      <c r="S68" s="317"/>
      <c r="T68" s="317"/>
      <c r="U68" s="317"/>
      <c r="V68" s="317"/>
      <c r="W68" s="317"/>
      <c r="X68" s="317"/>
      <c r="Y68" s="317"/>
      <c r="Z68" s="317"/>
      <c r="AA68" s="317"/>
      <c r="AB68" s="317"/>
      <c r="AC68" s="317"/>
      <c r="AD68" s="317"/>
      <c r="AE68" s="317"/>
      <c r="AF68" s="317"/>
      <c r="AG68" s="317"/>
      <c r="AH68" s="317"/>
    </row>
  </sheetData>
  <mergeCells count="90">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2:D22"/>
    <mergeCell ref="E22:H22"/>
    <mergeCell ref="I22:Q22"/>
    <mergeCell ref="R22:AF22"/>
    <mergeCell ref="B23:D23"/>
    <mergeCell ref="E23:H23"/>
    <mergeCell ref="I23:Q23"/>
    <mergeCell ref="R23:AF23"/>
    <mergeCell ref="B24:D24"/>
    <mergeCell ref="E24:H24"/>
    <mergeCell ref="I24:Q24"/>
    <mergeCell ref="R24:AF24"/>
    <mergeCell ref="B25:D25"/>
    <mergeCell ref="E25:H25"/>
    <mergeCell ref="I25:Q25"/>
    <mergeCell ref="R25:AF25"/>
    <mergeCell ref="B26:D26"/>
    <mergeCell ref="E26:H26"/>
    <mergeCell ref="I26:Q26"/>
    <mergeCell ref="R26:AF26"/>
    <mergeCell ref="B32:D32"/>
    <mergeCell ref="E32:X32"/>
    <mergeCell ref="Y32:AF32"/>
    <mergeCell ref="B33:D33"/>
    <mergeCell ref="E33:X33"/>
    <mergeCell ref="Y33:AF33"/>
    <mergeCell ref="B34:D34"/>
    <mergeCell ref="E34:X34"/>
    <mergeCell ref="Y34:AF34"/>
    <mergeCell ref="B35:D35"/>
    <mergeCell ref="E35:X35"/>
    <mergeCell ref="Y35:AF35"/>
    <mergeCell ref="B36:D36"/>
    <mergeCell ref="E36:X36"/>
    <mergeCell ref="Y36:AF36"/>
    <mergeCell ref="B38:D38"/>
    <mergeCell ref="E38:X38"/>
    <mergeCell ref="Y38:AF38"/>
    <mergeCell ref="B39:D39"/>
    <mergeCell ref="E39:X39"/>
    <mergeCell ref="Y39:AF39"/>
    <mergeCell ref="B46:G46"/>
    <mergeCell ref="H46:AF46"/>
    <mergeCell ref="B40:D40"/>
    <mergeCell ref="E40:X40"/>
    <mergeCell ref="Y40:AF40"/>
    <mergeCell ref="B41:D41"/>
    <mergeCell ref="E41:X41"/>
    <mergeCell ref="Y41:AF41"/>
    <mergeCell ref="B42:D42"/>
    <mergeCell ref="E42:X42"/>
    <mergeCell ref="Y42:AF42"/>
    <mergeCell ref="B45:G45"/>
    <mergeCell ref="H45:AF45"/>
    <mergeCell ref="B50:G50"/>
    <mergeCell ref="H50:AF50"/>
    <mergeCell ref="B47:G47"/>
    <mergeCell ref="H47:AF47"/>
    <mergeCell ref="B48:G48"/>
    <mergeCell ref="H48:AF48"/>
    <mergeCell ref="B49:G49"/>
    <mergeCell ref="H49:AF49"/>
  </mergeCells>
  <hyperlinks>
    <hyperlink ref="H46"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tabColor indexed="47"/>
  </sheetPr>
  <dimension ref="A1:J154"/>
  <sheetViews>
    <sheetView zoomScaleNormal="100" workbookViewId="0">
      <pane ySplit="1" topLeftCell="A2" activePane="bottomLeft" state="frozenSplit"/>
      <selection pane="bottomLeft" activeCell="F22" sqref="F22"/>
    </sheetView>
  </sheetViews>
  <sheetFormatPr defaultColWidth="9.140625" defaultRowHeight="12.75" x14ac:dyDescent="0.2"/>
  <cols>
    <col min="1" max="1" width="3.7109375" style="13" customWidth="1"/>
    <col min="2" max="2" width="19.42578125" style="13" customWidth="1"/>
    <col min="3" max="3" width="100.7109375" style="13" customWidth="1"/>
    <col min="4" max="16384" width="9.140625" style="13"/>
  </cols>
  <sheetData>
    <row r="1" spans="1:8" ht="19.5" x14ac:dyDescent="0.2">
      <c r="A1" s="416" t="s">
        <v>23</v>
      </c>
      <c r="B1" s="417"/>
      <c r="C1" s="417"/>
      <c r="D1" s="418"/>
    </row>
    <row r="3" spans="1:8" x14ac:dyDescent="0.2">
      <c r="B3" s="419" t="s">
        <v>24</v>
      </c>
      <c r="C3" s="420"/>
      <c r="D3" s="421"/>
    </row>
    <row r="4" spans="1:8" x14ac:dyDescent="0.2">
      <c r="B4" s="177" t="s">
        <v>299</v>
      </c>
      <c r="C4" s="116" t="s">
        <v>300</v>
      </c>
      <c r="D4" s="25"/>
    </row>
    <row r="5" spans="1:8" x14ac:dyDescent="0.2">
      <c r="B5" s="26" t="s">
        <v>178</v>
      </c>
      <c r="C5" s="24" t="s">
        <v>182</v>
      </c>
      <c r="D5" s="25"/>
    </row>
    <row r="6" spans="1:8" x14ac:dyDescent="0.2">
      <c r="B6" s="26" t="s">
        <v>181</v>
      </c>
      <c r="C6" s="24" t="s">
        <v>183</v>
      </c>
      <c r="D6" s="25"/>
    </row>
    <row r="7" spans="1:8" x14ac:dyDescent="0.2">
      <c r="B7" s="26" t="s">
        <v>180</v>
      </c>
      <c r="C7" s="24" t="s">
        <v>184</v>
      </c>
      <c r="D7" s="25"/>
    </row>
    <row r="8" spans="1:8" x14ac:dyDescent="0.2">
      <c r="B8" s="155" t="s">
        <v>393</v>
      </c>
      <c r="C8" s="116" t="s">
        <v>394</v>
      </c>
      <c r="D8" s="25"/>
    </row>
    <row r="9" spans="1:8" x14ac:dyDescent="0.2">
      <c r="B9" s="23" t="s">
        <v>179</v>
      </c>
      <c r="C9" s="24" t="s">
        <v>185</v>
      </c>
      <c r="D9" s="25"/>
    </row>
    <row r="10" spans="1:8" x14ac:dyDescent="0.2">
      <c r="B10" s="155" t="s">
        <v>251</v>
      </c>
      <c r="C10" s="116" t="s">
        <v>252</v>
      </c>
      <c r="D10" s="25"/>
    </row>
    <row r="11" spans="1:8" x14ac:dyDescent="0.2">
      <c r="B11" s="155" t="s">
        <v>224</v>
      </c>
      <c r="C11" s="116" t="s">
        <v>225</v>
      </c>
      <c r="D11" s="25"/>
    </row>
    <row r="12" spans="1:8" x14ac:dyDescent="0.2">
      <c r="B12" s="15"/>
      <c r="C12" s="15"/>
      <c r="D12" s="15"/>
    </row>
    <row r="13" spans="1:8" x14ac:dyDescent="0.2">
      <c r="B13" s="419" t="s">
        <v>439</v>
      </c>
      <c r="C13" s="420"/>
      <c r="D13" s="421"/>
    </row>
    <row r="14" spans="1:8" ht="24.75" customHeight="1" x14ac:dyDescent="0.2">
      <c r="B14" s="250" t="s">
        <v>440</v>
      </c>
      <c r="C14" s="426" t="s">
        <v>445</v>
      </c>
      <c r="D14" s="427"/>
    </row>
    <row r="15" spans="1:8" ht="25.5" customHeight="1" x14ac:dyDescent="0.2">
      <c r="B15" s="251" t="s">
        <v>441</v>
      </c>
      <c r="C15" s="422" t="s">
        <v>442</v>
      </c>
      <c r="D15" s="423"/>
      <c r="E15" s="249"/>
      <c r="F15" s="249"/>
      <c r="G15" s="249"/>
      <c r="H15" s="249"/>
    </row>
    <row r="16" spans="1:8" ht="49.5" customHeight="1" x14ac:dyDescent="0.2">
      <c r="B16" s="250" t="s">
        <v>443</v>
      </c>
      <c r="C16" s="424" t="s">
        <v>444</v>
      </c>
      <c r="D16" s="425"/>
      <c r="F16" s="305" t="s">
        <v>577</v>
      </c>
    </row>
    <row r="18" spans="2:6" x14ac:dyDescent="0.2">
      <c r="B18" s="419" t="s">
        <v>19</v>
      </c>
      <c r="C18" s="420"/>
      <c r="D18" s="421"/>
    </row>
    <row r="19" spans="2:6" x14ac:dyDescent="0.2">
      <c r="B19" s="14"/>
      <c r="C19" s="15"/>
      <c r="D19" s="16"/>
      <c r="F19" s="305" t="s">
        <v>574</v>
      </c>
    </row>
    <row r="20" spans="2:6" s="252" customFormat="1" ht="38.25" x14ac:dyDescent="0.2">
      <c r="B20" s="253"/>
      <c r="C20" s="254" t="s">
        <v>446</v>
      </c>
      <c r="D20" s="255"/>
      <c r="F20" s="306" t="s">
        <v>575</v>
      </c>
    </row>
    <row r="21" spans="2:6" x14ac:dyDescent="0.2">
      <c r="B21" s="14"/>
      <c r="C21" s="101"/>
      <c r="D21" s="16"/>
      <c r="F21" s="305" t="s">
        <v>576</v>
      </c>
    </row>
    <row r="22" spans="2:6" ht="25.5" x14ac:dyDescent="0.2">
      <c r="B22" s="14"/>
      <c r="C22" s="64" t="s">
        <v>447</v>
      </c>
      <c r="D22" s="16"/>
    </row>
    <row r="23" spans="2:6" ht="25.5" x14ac:dyDescent="0.2">
      <c r="B23" s="14"/>
      <c r="C23" s="64" t="s">
        <v>0</v>
      </c>
      <c r="D23" s="16"/>
    </row>
    <row r="24" spans="2:6" x14ac:dyDescent="0.2">
      <c r="B24" s="14"/>
      <c r="C24" s="64" t="s">
        <v>1</v>
      </c>
      <c r="D24" s="16"/>
    </row>
    <row r="25" spans="2:6" x14ac:dyDescent="0.2">
      <c r="B25" s="14"/>
      <c r="C25" s="64"/>
      <c r="D25" s="16"/>
    </row>
    <row r="26" spans="2:6" ht="51" x14ac:dyDescent="0.2">
      <c r="B26" s="14"/>
      <c r="C26" s="101" t="s">
        <v>222</v>
      </c>
      <c r="D26" s="16"/>
    </row>
    <row r="27" spans="2:6" x14ac:dyDescent="0.2">
      <c r="B27" s="14"/>
      <c r="C27" s="101"/>
      <c r="D27" s="16"/>
    </row>
    <row r="28" spans="2:6" x14ac:dyDescent="0.2">
      <c r="B28" s="14"/>
      <c r="C28" s="101" t="s">
        <v>223</v>
      </c>
      <c r="D28" s="16"/>
    </row>
    <row r="29" spans="2:6" x14ac:dyDescent="0.2">
      <c r="B29" s="14"/>
      <c r="C29" s="64" t="s">
        <v>2</v>
      </c>
      <c r="D29" s="16"/>
    </row>
    <row r="30" spans="2:6" ht="25.5" x14ac:dyDescent="0.2">
      <c r="B30" s="14"/>
      <c r="C30" s="64" t="s">
        <v>3</v>
      </c>
      <c r="D30" s="16"/>
    </row>
    <row r="31" spans="2:6" x14ac:dyDescent="0.2">
      <c r="B31" s="14"/>
      <c r="C31" s="64" t="s">
        <v>4</v>
      </c>
      <c r="D31" s="16"/>
    </row>
    <row r="32" spans="2:6" x14ac:dyDescent="0.2">
      <c r="B32" s="14"/>
      <c r="C32" s="101" t="s">
        <v>547</v>
      </c>
      <c r="D32" s="16"/>
    </row>
    <row r="33" spans="2:4" x14ac:dyDescent="0.2">
      <c r="B33" s="14"/>
      <c r="C33" s="64"/>
      <c r="D33" s="16"/>
    </row>
    <row r="34" spans="2:4" x14ac:dyDescent="0.2">
      <c r="B34" s="17"/>
      <c r="C34" s="18"/>
      <c r="D34" s="19"/>
    </row>
    <row r="35" spans="2:4" x14ac:dyDescent="0.2">
      <c r="B35" s="15"/>
      <c r="C35" s="15"/>
      <c r="D35" s="15"/>
    </row>
    <row r="37" spans="2:4" x14ac:dyDescent="0.2">
      <c r="B37" s="27" t="s">
        <v>216</v>
      </c>
    </row>
    <row r="38" spans="2:4" x14ac:dyDescent="0.2">
      <c r="B38" s="20"/>
      <c r="C38" s="21" t="s">
        <v>548</v>
      </c>
      <c r="D38" s="22"/>
    </row>
    <row r="39" spans="2:4" x14ac:dyDescent="0.2">
      <c r="B39" s="14"/>
      <c r="C39" s="15"/>
      <c r="D39" s="16"/>
    </row>
    <row r="40" spans="2:4" x14ac:dyDescent="0.2">
      <c r="B40" s="17"/>
      <c r="C40" s="18"/>
      <c r="D40" s="19"/>
    </row>
    <row r="43" spans="2:4" x14ac:dyDescent="0.2">
      <c r="B43" s="27" t="s">
        <v>215</v>
      </c>
    </row>
    <row r="44" spans="2:4" x14ac:dyDescent="0.2">
      <c r="B44" s="20"/>
      <c r="C44" s="21"/>
      <c r="D44" s="22"/>
    </row>
    <row r="45" spans="2:4" ht="18" x14ac:dyDescent="0.25">
      <c r="B45" s="107" t="s">
        <v>220</v>
      </c>
      <c r="C45" s="15"/>
      <c r="D45" s="16"/>
    </row>
    <row r="46" spans="2:4" ht="25.5" x14ac:dyDescent="0.2">
      <c r="B46" s="14"/>
      <c r="C46" s="101" t="s">
        <v>218</v>
      </c>
      <c r="D46" s="16"/>
    </row>
    <row r="47" spans="2:4" x14ac:dyDescent="0.2">
      <c r="B47" s="17"/>
      <c r="C47" s="150"/>
      <c r="D47" s="19"/>
    </row>
    <row r="48" spans="2:4" x14ac:dyDescent="0.2">
      <c r="B48" s="14"/>
      <c r="C48" s="101"/>
      <c r="D48" s="16"/>
    </row>
    <row r="49" spans="2:4" ht="18" x14ac:dyDescent="0.25">
      <c r="B49" s="107" t="s">
        <v>275</v>
      </c>
      <c r="C49" s="101"/>
      <c r="D49" s="16"/>
    </row>
    <row r="50" spans="2:4" ht="18" x14ac:dyDescent="0.25">
      <c r="B50" s="107"/>
      <c r="C50" s="101"/>
      <c r="D50" s="16"/>
    </row>
    <row r="51" spans="2:4" ht="18" x14ac:dyDescent="0.25">
      <c r="B51" s="107"/>
      <c r="C51" s="101"/>
      <c r="D51" s="16"/>
    </row>
    <row r="52" spans="2:4" ht="18" x14ac:dyDescent="0.25">
      <c r="B52" s="107"/>
      <c r="C52" s="101"/>
      <c r="D52" s="16"/>
    </row>
    <row r="53" spans="2:4" ht="18" x14ac:dyDescent="0.25">
      <c r="B53" s="107"/>
      <c r="C53" s="101"/>
      <c r="D53" s="16"/>
    </row>
    <row r="54" spans="2:4" x14ac:dyDescent="0.2">
      <c r="B54" s="14"/>
      <c r="C54" s="101"/>
      <c r="D54" s="16"/>
    </row>
    <row r="55" spans="2:4" x14ac:dyDescent="0.2">
      <c r="B55" s="14"/>
      <c r="C55" s="101"/>
      <c r="D55" s="16"/>
    </row>
    <row r="56" spans="2:4" x14ac:dyDescent="0.2">
      <c r="B56" s="14"/>
      <c r="C56" s="101"/>
      <c r="D56" s="16"/>
    </row>
    <row r="57" spans="2:4" x14ac:dyDescent="0.2">
      <c r="B57" s="14"/>
      <c r="C57" s="101"/>
      <c r="D57" s="16"/>
    </row>
    <row r="58" spans="2:4" x14ac:dyDescent="0.2">
      <c r="B58" s="14"/>
      <c r="C58" s="101"/>
      <c r="D58" s="16"/>
    </row>
    <row r="59" spans="2:4" x14ac:dyDescent="0.2">
      <c r="B59" s="14"/>
      <c r="C59" s="101"/>
      <c r="D59" s="16"/>
    </row>
    <row r="60" spans="2:4" x14ac:dyDescent="0.2">
      <c r="B60" s="14"/>
      <c r="C60" s="101"/>
      <c r="D60" s="16"/>
    </row>
    <row r="61" spans="2:4" x14ac:dyDescent="0.2">
      <c r="B61" s="17"/>
      <c r="C61" s="113"/>
      <c r="D61" s="19"/>
    </row>
    <row r="62" spans="2:4" x14ac:dyDescent="0.2">
      <c r="B62" s="14"/>
      <c r="C62" s="101"/>
      <c r="D62" s="16"/>
    </row>
    <row r="63" spans="2:4" ht="18" x14ac:dyDescent="0.25">
      <c r="B63" s="107" t="s">
        <v>250</v>
      </c>
      <c r="C63" s="101"/>
      <c r="D63" s="16"/>
    </row>
    <row r="64" spans="2:4" x14ac:dyDescent="0.2">
      <c r="B64" s="14"/>
      <c r="C64" s="151" t="s">
        <v>226</v>
      </c>
      <c r="D64" s="16"/>
    </row>
    <row r="65" spans="2:4" x14ac:dyDescent="0.2">
      <c r="B65" s="14"/>
      <c r="C65" s="152" t="s">
        <v>227</v>
      </c>
      <c r="D65" s="16"/>
    </row>
    <row r="66" spans="2:4" x14ac:dyDescent="0.2">
      <c r="B66" s="14"/>
      <c r="C66" s="153" t="s">
        <v>228</v>
      </c>
      <c r="D66" s="16"/>
    </row>
    <row r="67" spans="2:4" x14ac:dyDescent="0.2">
      <c r="B67" s="14"/>
      <c r="C67" s="154" t="s">
        <v>549</v>
      </c>
      <c r="D67" s="16"/>
    </row>
    <row r="68" spans="2:4" x14ac:dyDescent="0.2">
      <c r="B68" s="17"/>
      <c r="C68" s="113"/>
      <c r="D68" s="19"/>
    </row>
    <row r="69" spans="2:4" x14ac:dyDescent="0.2">
      <c r="B69" s="14"/>
      <c r="C69" s="64"/>
      <c r="D69" s="16"/>
    </row>
    <row r="70" spans="2:4" ht="18" x14ac:dyDescent="0.25">
      <c r="B70" s="107" t="s">
        <v>219</v>
      </c>
      <c r="C70" s="64"/>
      <c r="D70" s="16"/>
    </row>
    <row r="71" spans="2:4" x14ac:dyDescent="0.2">
      <c r="B71" s="14"/>
      <c r="C71" s="64"/>
      <c r="D71" s="16"/>
    </row>
    <row r="72" spans="2:4" x14ac:dyDescent="0.2">
      <c r="B72" s="14"/>
      <c r="C72" s="64"/>
      <c r="D72" s="16"/>
    </row>
    <row r="73" spans="2:4" x14ac:dyDescent="0.2">
      <c r="B73" s="14"/>
      <c r="C73" s="64"/>
      <c r="D73" s="16"/>
    </row>
    <row r="74" spans="2:4" x14ac:dyDescent="0.2">
      <c r="B74" s="14"/>
      <c r="C74" s="64"/>
      <c r="D74" s="16"/>
    </row>
    <row r="75" spans="2:4" x14ac:dyDescent="0.2">
      <c r="B75" s="14"/>
      <c r="C75" s="64"/>
      <c r="D75" s="16"/>
    </row>
    <row r="76" spans="2:4" x14ac:dyDescent="0.2">
      <c r="B76" s="14"/>
      <c r="C76" s="64"/>
      <c r="D76" s="16"/>
    </row>
    <row r="77" spans="2:4" x14ac:dyDescent="0.2">
      <c r="B77" s="14"/>
      <c r="C77" s="64"/>
      <c r="D77" s="16"/>
    </row>
    <row r="78" spans="2:4" x14ac:dyDescent="0.2">
      <c r="B78" s="14"/>
      <c r="C78" s="64"/>
      <c r="D78" s="16"/>
    </row>
    <row r="79" spans="2:4" x14ac:dyDescent="0.2">
      <c r="B79" s="14"/>
      <c r="C79" s="64"/>
      <c r="D79" s="16"/>
    </row>
    <row r="80" spans="2:4" x14ac:dyDescent="0.2">
      <c r="B80" s="14"/>
      <c r="C80" s="64"/>
      <c r="D80" s="16"/>
    </row>
    <row r="81" spans="2:4" x14ac:dyDescent="0.2">
      <c r="B81" s="14"/>
      <c r="C81" s="64"/>
      <c r="D81" s="16"/>
    </row>
    <row r="82" spans="2:4" x14ac:dyDescent="0.2">
      <c r="B82" s="14"/>
      <c r="C82" s="64"/>
      <c r="D82" s="16"/>
    </row>
    <row r="83" spans="2:4" x14ac:dyDescent="0.2">
      <c r="B83" s="14"/>
      <c r="C83" s="64"/>
      <c r="D83" s="16"/>
    </row>
    <row r="84" spans="2:4" x14ac:dyDescent="0.2">
      <c r="B84" s="14"/>
      <c r="C84" s="64"/>
      <c r="D84" s="16"/>
    </row>
    <row r="85" spans="2:4" x14ac:dyDescent="0.2">
      <c r="B85" s="14"/>
      <c r="C85" s="64"/>
      <c r="D85" s="16"/>
    </row>
    <row r="86" spans="2:4" x14ac:dyDescent="0.2">
      <c r="B86" s="14"/>
      <c r="C86" s="64"/>
      <c r="D86" s="16"/>
    </row>
    <row r="87" spans="2:4" x14ac:dyDescent="0.2">
      <c r="B87" s="14"/>
      <c r="C87" s="64"/>
      <c r="D87" s="16"/>
    </row>
    <row r="88" spans="2:4" x14ac:dyDescent="0.2">
      <c r="B88" s="14"/>
      <c r="C88" s="64"/>
      <c r="D88" s="16"/>
    </row>
    <row r="89" spans="2:4" x14ac:dyDescent="0.2">
      <c r="B89" s="14"/>
      <c r="C89" s="64"/>
      <c r="D89" s="16"/>
    </row>
    <row r="90" spans="2:4" x14ac:dyDescent="0.2">
      <c r="B90" s="14"/>
      <c r="C90" s="64"/>
      <c r="D90" s="16"/>
    </row>
    <row r="91" spans="2:4" x14ac:dyDescent="0.2">
      <c r="B91" s="14"/>
      <c r="C91" s="64"/>
      <c r="D91" s="16"/>
    </row>
    <row r="92" spans="2:4" x14ac:dyDescent="0.2">
      <c r="B92" s="14"/>
      <c r="C92" s="64"/>
      <c r="D92" s="16"/>
    </row>
    <row r="93" spans="2:4" x14ac:dyDescent="0.2">
      <c r="B93" s="14"/>
      <c r="C93" s="64"/>
      <c r="D93" s="16"/>
    </row>
    <row r="94" spans="2:4" x14ac:dyDescent="0.2">
      <c r="B94" s="14"/>
      <c r="C94" s="64"/>
      <c r="D94" s="16"/>
    </row>
    <row r="95" spans="2:4" x14ac:dyDescent="0.2">
      <c r="B95" s="14"/>
      <c r="C95" s="64"/>
      <c r="D95" s="16"/>
    </row>
    <row r="96" spans="2:4" x14ac:dyDescent="0.2">
      <c r="B96" s="14"/>
      <c r="C96" s="64"/>
      <c r="D96" s="16"/>
    </row>
    <row r="97" spans="2:4" x14ac:dyDescent="0.2">
      <c r="B97" s="14"/>
      <c r="C97" s="64"/>
      <c r="D97" s="16"/>
    </row>
    <row r="98" spans="2:4" x14ac:dyDescent="0.2">
      <c r="B98" s="14"/>
      <c r="C98" s="64"/>
      <c r="D98" s="16"/>
    </row>
    <row r="99" spans="2:4" x14ac:dyDescent="0.2">
      <c r="B99" s="14"/>
      <c r="C99" s="64"/>
      <c r="D99" s="16"/>
    </row>
    <row r="100" spans="2:4" x14ac:dyDescent="0.2">
      <c r="B100" s="14"/>
      <c r="C100" s="64"/>
      <c r="D100" s="16"/>
    </row>
    <row r="101" spans="2:4" x14ac:dyDescent="0.2">
      <c r="B101" s="14"/>
      <c r="C101" s="64"/>
      <c r="D101" s="16"/>
    </row>
    <row r="102" spans="2:4" x14ac:dyDescent="0.2">
      <c r="B102" s="14"/>
      <c r="C102" s="64"/>
      <c r="D102" s="16"/>
    </row>
    <row r="103" spans="2:4" x14ac:dyDescent="0.2">
      <c r="B103" s="14"/>
      <c r="C103" s="64"/>
      <c r="D103" s="16"/>
    </row>
    <row r="104" spans="2:4" x14ac:dyDescent="0.2">
      <c r="B104" s="14"/>
      <c r="C104" s="64"/>
      <c r="D104" s="16"/>
    </row>
    <row r="105" spans="2:4" x14ac:dyDescent="0.2">
      <c r="B105" s="14"/>
      <c r="C105" s="64"/>
      <c r="D105" s="16"/>
    </row>
    <row r="106" spans="2:4" x14ac:dyDescent="0.2">
      <c r="B106" s="14"/>
      <c r="C106" s="64"/>
      <c r="D106" s="16"/>
    </row>
    <row r="107" spans="2:4" x14ac:dyDescent="0.2">
      <c r="B107" s="14"/>
      <c r="C107" s="64"/>
      <c r="D107" s="16"/>
    </row>
    <row r="108" spans="2:4" x14ac:dyDescent="0.2">
      <c r="B108" s="14"/>
      <c r="C108" s="64"/>
      <c r="D108" s="16"/>
    </row>
    <row r="109" spans="2:4" x14ac:dyDescent="0.2">
      <c r="B109" s="14"/>
      <c r="C109" s="64"/>
      <c r="D109" s="16"/>
    </row>
    <row r="110" spans="2:4" x14ac:dyDescent="0.2">
      <c r="B110" s="14"/>
      <c r="C110" s="64"/>
      <c r="D110" s="16"/>
    </row>
    <row r="111" spans="2:4" x14ac:dyDescent="0.2">
      <c r="B111" s="14"/>
      <c r="C111" s="64"/>
      <c r="D111" s="16"/>
    </row>
    <row r="112" spans="2:4" x14ac:dyDescent="0.2">
      <c r="B112" s="14"/>
      <c r="C112" s="64"/>
      <c r="D112" s="16"/>
    </row>
    <row r="113" spans="2:4" x14ac:dyDescent="0.2">
      <c r="B113" s="14"/>
      <c r="C113" s="64"/>
      <c r="D113" s="16"/>
    </row>
    <row r="114" spans="2:4" x14ac:dyDescent="0.2">
      <c r="B114" s="14"/>
      <c r="C114" s="64"/>
      <c r="D114" s="16"/>
    </row>
    <row r="115" spans="2:4" x14ac:dyDescent="0.2">
      <c r="B115" s="14"/>
      <c r="C115" s="64"/>
      <c r="D115" s="16"/>
    </row>
    <row r="116" spans="2:4" x14ac:dyDescent="0.2">
      <c r="B116" s="14"/>
      <c r="C116" s="64"/>
      <c r="D116" s="16"/>
    </row>
    <row r="117" spans="2:4" x14ac:dyDescent="0.2">
      <c r="B117" s="14"/>
      <c r="C117" s="64"/>
      <c r="D117" s="16"/>
    </row>
    <row r="118" spans="2:4" x14ac:dyDescent="0.2">
      <c r="B118" s="17"/>
      <c r="C118" s="113"/>
      <c r="D118" s="19"/>
    </row>
    <row r="121" spans="2:4" ht="25.5" x14ac:dyDescent="0.2">
      <c r="B121" s="27" t="s">
        <v>221</v>
      </c>
    </row>
    <row r="122" spans="2:4" x14ac:dyDescent="0.2">
      <c r="B122" s="20"/>
      <c r="C122" s="21"/>
      <c r="D122" s="22"/>
    </row>
    <row r="123" spans="2:4" x14ac:dyDescent="0.2">
      <c r="B123" s="14"/>
      <c r="C123" s="15"/>
      <c r="D123" s="16"/>
    </row>
    <row r="124" spans="2:4" x14ac:dyDescent="0.2">
      <c r="B124" s="14"/>
      <c r="C124" s="15"/>
      <c r="D124" s="16"/>
    </row>
    <row r="125" spans="2:4" x14ac:dyDescent="0.2">
      <c r="B125" s="14"/>
      <c r="C125" s="114" t="s">
        <v>253</v>
      </c>
      <c r="D125" s="16"/>
    </row>
    <row r="126" spans="2:4" x14ac:dyDescent="0.2">
      <c r="B126" s="14"/>
      <c r="C126" s="15"/>
      <c r="D126" s="16"/>
    </row>
    <row r="127" spans="2:4" ht="12.75" customHeight="1" x14ac:dyDescent="0.2">
      <c r="B127" s="14"/>
      <c r="C127" s="114" t="s">
        <v>248</v>
      </c>
      <c r="D127" s="16"/>
    </row>
    <row r="128" spans="2:4" ht="12.75" customHeight="1" x14ac:dyDescent="0.2">
      <c r="B128" s="14"/>
      <c r="C128" s="15"/>
      <c r="D128" s="16"/>
    </row>
    <row r="129" spans="2:4" ht="12.75" customHeight="1" x14ac:dyDescent="0.2">
      <c r="B129" s="14"/>
      <c r="C129" s="15"/>
      <c r="D129" s="16"/>
    </row>
    <row r="130" spans="2:4" x14ac:dyDescent="0.2">
      <c r="B130" s="17"/>
      <c r="C130" s="18"/>
      <c r="D130" s="19"/>
    </row>
    <row r="132" spans="2:4" x14ac:dyDescent="0.2">
      <c r="B132" s="27" t="s">
        <v>448</v>
      </c>
    </row>
    <row r="133" spans="2:4" ht="38.25" x14ac:dyDescent="0.2">
      <c r="B133" s="20"/>
      <c r="C133" s="258" t="s">
        <v>450</v>
      </c>
      <c r="D133" s="22"/>
    </row>
    <row r="134" spans="2:4" x14ac:dyDescent="0.2">
      <c r="B134" s="14"/>
      <c r="C134" s="13" t="s">
        <v>449</v>
      </c>
      <c r="D134" s="16"/>
    </row>
    <row r="135" spans="2:4" x14ac:dyDescent="0.2">
      <c r="B135" s="14"/>
      <c r="C135" s="101" t="s">
        <v>453</v>
      </c>
      <c r="D135" s="16"/>
    </row>
    <row r="136" spans="2:4" x14ac:dyDescent="0.2">
      <c r="B136" s="14"/>
      <c r="C136" s="64" t="s">
        <v>454</v>
      </c>
      <c r="D136" s="16"/>
    </row>
    <row r="137" spans="2:4" x14ac:dyDescent="0.2">
      <c r="B137" s="14"/>
      <c r="C137" s="64" t="s">
        <v>455</v>
      </c>
      <c r="D137" s="16"/>
    </row>
    <row r="138" spans="2:4" x14ac:dyDescent="0.2">
      <c r="B138" s="14"/>
      <c r="C138" s="64" t="s">
        <v>456</v>
      </c>
      <c r="D138" s="16"/>
    </row>
    <row r="139" spans="2:4" x14ac:dyDescent="0.2">
      <c r="B139" s="14"/>
      <c r="C139" s="64" t="s">
        <v>460</v>
      </c>
      <c r="D139" s="16"/>
    </row>
    <row r="140" spans="2:4" x14ac:dyDescent="0.2">
      <c r="B140" s="14"/>
      <c r="C140" s="64" t="s">
        <v>461</v>
      </c>
      <c r="D140" s="16"/>
    </row>
    <row r="141" spans="2:4" x14ac:dyDescent="0.2">
      <c r="B141" s="14"/>
      <c r="C141" s="101" t="s">
        <v>463</v>
      </c>
      <c r="D141" s="16"/>
    </row>
    <row r="142" spans="2:4" x14ac:dyDescent="0.2">
      <c r="B142" s="14"/>
      <c r="C142" s="101" t="s">
        <v>464</v>
      </c>
      <c r="D142" s="16"/>
    </row>
    <row r="143" spans="2:4" x14ac:dyDescent="0.2">
      <c r="B143" s="14"/>
      <c r="C143" s="13" t="s">
        <v>462</v>
      </c>
      <c r="D143" s="16"/>
    </row>
    <row r="144" spans="2:4" x14ac:dyDescent="0.2">
      <c r="B144" s="14"/>
      <c r="C144" s="64" t="s">
        <v>457</v>
      </c>
      <c r="D144" s="16"/>
    </row>
    <row r="145" spans="2:10" x14ac:dyDescent="0.2">
      <c r="B145" s="14"/>
      <c r="C145" s="64" t="s">
        <v>452</v>
      </c>
      <c r="D145" s="16"/>
    </row>
    <row r="146" spans="2:10" x14ac:dyDescent="0.2">
      <c r="B146" s="14"/>
      <c r="C146" s="101" t="s">
        <v>458</v>
      </c>
      <c r="D146" s="16"/>
    </row>
    <row r="147" spans="2:10" x14ac:dyDescent="0.2">
      <c r="B147" s="14"/>
      <c r="C147" s="101" t="s">
        <v>466</v>
      </c>
      <c r="D147" s="16"/>
    </row>
    <row r="148" spans="2:10" x14ac:dyDescent="0.2">
      <c r="B148" s="14"/>
      <c r="C148" s="101" t="s">
        <v>451</v>
      </c>
      <c r="D148" s="16"/>
    </row>
    <row r="149" spans="2:10" x14ac:dyDescent="0.2">
      <c r="B149" s="14"/>
      <c r="C149" s="101" t="s">
        <v>465</v>
      </c>
      <c r="D149" s="16"/>
    </row>
    <row r="150" spans="2:10" x14ac:dyDescent="0.2">
      <c r="B150" s="17"/>
      <c r="C150" s="18" t="s">
        <v>459</v>
      </c>
      <c r="D150" s="19"/>
    </row>
    <row r="152" spans="2:10" x14ac:dyDescent="0.2">
      <c r="B152" s="27" t="s">
        <v>217</v>
      </c>
    </row>
    <row r="153" spans="2:10" x14ac:dyDescent="0.2">
      <c r="B153" s="256"/>
      <c r="C153" s="412" t="s">
        <v>21</v>
      </c>
      <c r="D153" s="413"/>
    </row>
    <row r="154" spans="2:10" x14ac:dyDescent="0.2">
      <c r="B154" s="257"/>
      <c r="C154" s="414"/>
      <c r="D154" s="415"/>
      <c r="J154" s="249"/>
    </row>
  </sheetData>
  <mergeCells count="8">
    <mergeCell ref="C153:D154"/>
    <mergeCell ref="A1:D1"/>
    <mergeCell ref="B18:D18"/>
    <mergeCell ref="B3:D3"/>
    <mergeCell ref="B13:D13"/>
    <mergeCell ref="C15:D15"/>
    <mergeCell ref="C16:D16"/>
    <mergeCell ref="C14:D14"/>
  </mergeCells>
  <phoneticPr fontId="4"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125</xdr:row>
                    <xdr:rowOff>104775</xdr:rowOff>
                  </from>
                  <to>
                    <xdr:col>2</xdr:col>
                    <xdr:colOff>6524625</xdr:colOff>
                    <xdr:row>127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V24" sqref="V24:V27"/>
    </sheetView>
  </sheetViews>
  <sheetFormatPr defaultColWidth="9.140625" defaultRowHeight="12.75" outlineLevelCol="1" x14ac:dyDescent="0.2"/>
  <cols>
    <col min="1" max="1" width="9.140625" style="28" collapsed="1"/>
    <col min="2" max="2" width="9.140625" style="28" hidden="1" customWidth="1" outlineLevel="1"/>
    <col min="3" max="3" width="24" style="28" bestFit="1" customWidth="1"/>
    <col min="4" max="4" width="14.85546875" style="28" customWidth="1"/>
    <col min="5" max="5" width="10.140625" style="28" customWidth="1"/>
    <col min="6" max="6" width="11.42578125" style="28" customWidth="1"/>
    <col min="7" max="7" width="9.140625" style="28" customWidth="1"/>
    <col min="8" max="8" width="10.5703125" style="28" customWidth="1"/>
    <col min="9" max="9" width="12.85546875" style="28" customWidth="1"/>
    <col min="10" max="10" width="13.5703125" style="28" customWidth="1"/>
    <col min="11" max="11" width="9.140625" style="28" customWidth="1"/>
    <col min="12" max="12" width="12.140625" style="28" customWidth="1"/>
    <col min="13" max="13" width="12.28515625" style="28" customWidth="1"/>
    <col min="14" max="14" width="10.5703125" style="28" customWidth="1"/>
    <col min="15" max="15" width="9.28515625" style="28" customWidth="1"/>
    <col min="16" max="16" width="10.140625" style="28" customWidth="1"/>
    <col min="17" max="18" width="10" style="28" bestFit="1" customWidth="1"/>
    <col min="19" max="19" width="11.140625" style="28" customWidth="1"/>
    <col min="20" max="16384" width="9.140625" style="28"/>
  </cols>
  <sheetData>
    <row r="4" spans="3:17" x14ac:dyDescent="0.2">
      <c r="C4" s="109"/>
      <c r="D4" s="109"/>
      <c r="E4" s="109"/>
      <c r="F4" s="109"/>
      <c r="G4" s="109"/>
      <c r="H4" s="109"/>
      <c r="I4" s="109"/>
      <c r="J4" s="109"/>
      <c r="K4" s="109"/>
      <c r="L4" s="109"/>
      <c r="M4" s="109"/>
      <c r="N4" s="109"/>
      <c r="O4" s="109"/>
      <c r="P4" s="109"/>
      <c r="Q4" s="109"/>
    </row>
    <row r="5" spans="3:17" x14ac:dyDescent="0.2">
      <c r="C5" s="109"/>
      <c r="D5" s="109"/>
      <c r="E5" s="109"/>
      <c r="F5" s="109"/>
      <c r="G5" s="109"/>
      <c r="H5" s="108"/>
      <c r="I5" s="109"/>
      <c r="J5" s="109"/>
      <c r="K5" s="109"/>
      <c r="L5" s="109"/>
      <c r="M5" s="109"/>
      <c r="N5" s="109"/>
      <c r="O5" s="109"/>
      <c r="P5" s="109"/>
      <c r="Q5" s="109"/>
    </row>
    <row r="6" spans="3:17" x14ac:dyDescent="0.2">
      <c r="C6" s="109"/>
      <c r="D6" s="109"/>
      <c r="E6" s="109"/>
      <c r="F6" s="109"/>
      <c r="G6" s="109"/>
      <c r="H6" s="108"/>
      <c r="I6" s="109"/>
      <c r="J6" s="109"/>
      <c r="K6" s="109"/>
      <c r="L6" s="109"/>
      <c r="M6" s="109"/>
      <c r="N6" s="109"/>
      <c r="O6" s="109"/>
      <c r="P6" s="109"/>
      <c r="Q6" s="109"/>
    </row>
    <row r="7" spans="3:17" x14ac:dyDescent="0.2">
      <c r="C7" s="109"/>
      <c r="D7" s="109"/>
      <c r="E7" s="109"/>
      <c r="F7" s="109"/>
      <c r="G7" s="109"/>
      <c r="H7" s="108"/>
      <c r="I7" s="109"/>
      <c r="J7" s="109"/>
      <c r="K7" s="109"/>
      <c r="L7" s="109"/>
      <c r="M7" s="109"/>
      <c r="N7" s="109"/>
      <c r="O7" s="109"/>
      <c r="P7" s="109"/>
      <c r="Q7" s="109"/>
    </row>
    <row r="8" spans="3:17" x14ac:dyDescent="0.2">
      <c r="C8" s="109"/>
      <c r="D8" s="109"/>
      <c r="E8" s="109"/>
      <c r="F8" s="109"/>
      <c r="G8" s="109"/>
      <c r="H8" s="108"/>
      <c r="I8" s="109"/>
      <c r="J8" s="109"/>
      <c r="K8" s="109"/>
      <c r="L8" s="109"/>
      <c r="M8" s="109"/>
      <c r="N8" s="109"/>
      <c r="O8" s="109"/>
      <c r="P8" s="109"/>
      <c r="Q8" s="109"/>
    </row>
    <row r="9" spans="3:17" x14ac:dyDescent="0.2">
      <c r="C9" s="109"/>
      <c r="D9" s="109"/>
      <c r="E9" s="109"/>
      <c r="F9" s="109"/>
      <c r="G9" s="109"/>
      <c r="H9" s="108"/>
      <c r="I9" s="109"/>
      <c r="J9" s="109"/>
      <c r="K9" s="109"/>
      <c r="L9" s="109"/>
      <c r="M9" s="109"/>
      <c r="N9" s="109"/>
      <c r="O9" s="109"/>
      <c r="P9" s="109"/>
      <c r="Q9" s="109"/>
    </row>
    <row r="10" spans="3:17" x14ac:dyDescent="0.2">
      <c r="C10" s="109"/>
      <c r="D10" s="109"/>
      <c r="E10" s="109"/>
      <c r="F10" s="109"/>
      <c r="G10" s="109"/>
      <c r="H10" s="108"/>
      <c r="I10" s="109"/>
      <c r="J10" s="109"/>
      <c r="K10" s="109"/>
      <c r="L10" s="109"/>
      <c r="M10" s="109"/>
      <c r="N10" s="109"/>
      <c r="O10" s="109"/>
      <c r="P10" s="109"/>
      <c r="Q10" s="109"/>
    </row>
    <row r="11" spans="3:17" x14ac:dyDescent="0.2">
      <c r="C11" s="109"/>
      <c r="D11" s="109"/>
      <c r="E11" s="109"/>
      <c r="F11" s="109"/>
      <c r="G11" s="109"/>
      <c r="H11" s="108"/>
      <c r="I11" s="109"/>
      <c r="J11" s="109"/>
      <c r="K11" s="109"/>
      <c r="L11" s="109"/>
      <c r="M11" s="109"/>
      <c r="N11" s="109"/>
      <c r="O11" s="109"/>
      <c r="P11" s="109"/>
      <c r="Q11" s="109"/>
    </row>
    <row r="12" spans="3:17" x14ac:dyDescent="0.2">
      <c r="C12" s="109"/>
      <c r="D12" s="109"/>
      <c r="E12" s="109"/>
      <c r="F12" s="109"/>
      <c r="G12" s="109"/>
      <c r="H12" s="108"/>
      <c r="I12" s="109"/>
      <c r="J12" s="109"/>
      <c r="K12" s="109"/>
      <c r="L12" s="109"/>
      <c r="M12" s="109"/>
      <c r="N12" s="109"/>
      <c r="O12" s="109"/>
      <c r="P12" s="109"/>
      <c r="Q12" s="109"/>
    </row>
    <row r="13" spans="3:17" x14ac:dyDescent="0.2">
      <c r="C13" s="109"/>
      <c r="D13" s="109"/>
      <c r="E13" s="109"/>
      <c r="F13" s="109"/>
      <c r="G13" s="109"/>
      <c r="H13" s="108"/>
      <c r="I13" s="109"/>
      <c r="J13" s="109"/>
      <c r="K13" s="109"/>
      <c r="L13" s="109"/>
      <c r="M13" s="109"/>
      <c r="N13" s="109"/>
      <c r="O13" s="109"/>
      <c r="P13" s="109"/>
      <c r="Q13" s="109"/>
    </row>
    <row r="14" spans="3:17" x14ac:dyDescent="0.2">
      <c r="C14" s="109"/>
      <c r="D14" s="109"/>
      <c r="E14" s="109"/>
      <c r="F14" s="109"/>
      <c r="G14" s="109"/>
      <c r="H14" s="108"/>
      <c r="I14" s="109"/>
      <c r="J14" s="109"/>
      <c r="K14" s="109"/>
      <c r="L14" s="109"/>
      <c r="M14" s="109"/>
      <c r="N14" s="109"/>
      <c r="O14" s="109"/>
      <c r="P14" s="109"/>
      <c r="Q14" s="109"/>
    </row>
    <row r="15" spans="3:17" x14ac:dyDescent="0.2">
      <c r="C15" s="109"/>
      <c r="D15" s="109"/>
      <c r="E15" s="109"/>
      <c r="F15" s="109"/>
      <c r="G15" s="109"/>
      <c r="H15" s="108"/>
      <c r="I15" s="109"/>
      <c r="J15" s="109"/>
      <c r="K15" s="109"/>
      <c r="L15" s="109"/>
      <c r="M15" s="109"/>
      <c r="N15" s="109"/>
      <c r="O15" s="109"/>
      <c r="P15" s="109"/>
      <c r="Q15" s="109"/>
    </row>
    <row r="16" spans="3:17" x14ac:dyDescent="0.2">
      <c r="C16" s="109"/>
      <c r="D16" s="109"/>
      <c r="E16" s="109"/>
      <c r="F16" s="109"/>
      <c r="G16" s="109"/>
      <c r="H16" s="108"/>
      <c r="I16" s="109"/>
      <c r="J16" s="109"/>
      <c r="K16" s="109"/>
      <c r="L16" s="109"/>
      <c r="M16" s="109"/>
      <c r="N16" s="109"/>
      <c r="O16" s="109"/>
      <c r="P16" s="109"/>
      <c r="Q16" s="109"/>
    </row>
    <row r="17" spans="2:52" x14ac:dyDescent="0.2">
      <c r="C17" s="109"/>
      <c r="H17" s="108"/>
    </row>
    <row r="18" spans="2:52" x14ac:dyDescent="0.2">
      <c r="C18" s="109"/>
      <c r="H18" s="108"/>
    </row>
    <row r="19" spans="2:52" x14ac:dyDescent="0.2">
      <c r="C19" s="109"/>
      <c r="H19" s="108"/>
    </row>
    <row r="20" spans="2:52" x14ac:dyDescent="0.2">
      <c r="C20" s="109"/>
      <c r="H20" s="108"/>
    </row>
    <row r="21" spans="2:52" x14ac:dyDescent="0.2">
      <c r="C21" s="109"/>
      <c r="H21" s="108"/>
    </row>
    <row r="22" spans="2:52" x14ac:dyDescent="0.2">
      <c r="C22" s="109"/>
      <c r="H22" s="108"/>
    </row>
    <row r="23" spans="2:52" x14ac:dyDescent="0.2">
      <c r="H23" s="108"/>
    </row>
    <row r="24" spans="2:52" s="160" customFormat="1" ht="76.5" x14ac:dyDescent="0.2">
      <c r="B24" s="162" t="s">
        <v>286</v>
      </c>
      <c r="C24" s="103" t="s">
        <v>214</v>
      </c>
      <c r="D24" s="129" t="s">
        <v>235</v>
      </c>
      <c r="E24" s="162" t="s">
        <v>283</v>
      </c>
      <c r="F24" s="162" t="s">
        <v>279</v>
      </c>
      <c r="G24" s="162" t="s">
        <v>277</v>
      </c>
      <c r="H24" s="162" t="s">
        <v>438</v>
      </c>
      <c r="I24" s="162" t="s">
        <v>280</v>
      </c>
      <c r="J24" s="162" t="s">
        <v>278</v>
      </c>
      <c r="K24" s="162" t="s">
        <v>284</v>
      </c>
      <c r="L24" s="162" t="s">
        <v>572</v>
      </c>
      <c r="M24" s="162" t="s">
        <v>375</v>
      </c>
      <c r="N24" s="162" t="s">
        <v>434</v>
      </c>
      <c r="O24" s="162" t="s">
        <v>281</v>
      </c>
      <c r="P24" s="162" t="s">
        <v>305</v>
      </c>
      <c r="Q24" s="162" t="s">
        <v>334</v>
      </c>
      <c r="R24" s="162" t="s">
        <v>335</v>
      </c>
      <c r="S24" s="162" t="s">
        <v>391</v>
      </c>
      <c r="T24" s="162" t="s">
        <v>282</v>
      </c>
      <c r="U24" s="162" t="s">
        <v>285</v>
      </c>
      <c r="V24" s="162" t="s">
        <v>573</v>
      </c>
    </row>
    <row r="25" spans="2:52" ht="15" x14ac:dyDescent="0.25">
      <c r="B25" s="164"/>
      <c r="C25" s="110" t="s">
        <v>243</v>
      </c>
      <c r="D25" s="161">
        <f>SUM(E25:AA25)</f>
        <v>0</v>
      </c>
      <c r="E25" s="164">
        <v>0</v>
      </c>
      <c r="F25" s="164">
        <v>0</v>
      </c>
      <c r="G25" s="164">
        <v>0</v>
      </c>
      <c r="H25" s="164">
        <v>0</v>
      </c>
      <c r="I25" s="164">
        <v>0</v>
      </c>
      <c r="J25" s="164">
        <v>0</v>
      </c>
      <c r="K25" s="164">
        <v>0</v>
      </c>
      <c r="L25" s="164">
        <v>0</v>
      </c>
      <c r="M25" s="164">
        <v>0</v>
      </c>
      <c r="N25" s="164">
        <v>0</v>
      </c>
      <c r="O25" s="164">
        <v>0</v>
      </c>
      <c r="P25" s="164">
        <v>0</v>
      </c>
      <c r="Q25" s="164">
        <v>0</v>
      </c>
      <c r="R25" s="164">
        <v>0</v>
      </c>
      <c r="S25" s="164">
        <v>0</v>
      </c>
      <c r="T25" s="164">
        <v>0</v>
      </c>
      <c r="U25" s="164">
        <v>0</v>
      </c>
      <c r="V25" s="164">
        <v>0</v>
      </c>
    </row>
    <row r="26" spans="2:52" ht="15" x14ac:dyDescent="0.25">
      <c r="B26" s="165"/>
      <c r="C26" s="111" t="s">
        <v>244</v>
      </c>
      <c r="D26" s="161">
        <f>SUM(E26:AA26)</f>
        <v>0</v>
      </c>
      <c r="E26" s="165">
        <v>0</v>
      </c>
      <c r="F26" s="165">
        <v>0</v>
      </c>
      <c r="G26" s="165">
        <v>0</v>
      </c>
      <c r="H26" s="165">
        <v>0</v>
      </c>
      <c r="I26" s="165">
        <v>0</v>
      </c>
      <c r="J26" s="165">
        <v>0</v>
      </c>
      <c r="K26" s="165">
        <v>0</v>
      </c>
      <c r="L26" s="165">
        <v>0</v>
      </c>
      <c r="M26" s="165">
        <v>0</v>
      </c>
      <c r="N26" s="165">
        <v>0</v>
      </c>
      <c r="O26" s="165">
        <v>0</v>
      </c>
      <c r="P26" s="165">
        <v>0</v>
      </c>
      <c r="Q26" s="165">
        <v>0</v>
      </c>
      <c r="R26" s="165">
        <v>0</v>
      </c>
      <c r="S26" s="165">
        <v>0</v>
      </c>
      <c r="T26" s="165">
        <v>0</v>
      </c>
      <c r="U26" s="165">
        <v>0</v>
      </c>
      <c r="V26" s="165">
        <v>0</v>
      </c>
    </row>
    <row r="27" spans="2:52" ht="15" x14ac:dyDescent="0.25">
      <c r="B27" s="163">
        <f>B25+B26</f>
        <v>0</v>
      </c>
      <c r="C27" s="115" t="s">
        <v>30</v>
      </c>
      <c r="D27" s="163">
        <f t="shared" ref="D27" si="0">D25+D26</f>
        <v>0</v>
      </c>
      <c r="E27" s="163">
        <f t="shared" ref="E27:V27" si="1">E25+E26</f>
        <v>0</v>
      </c>
      <c r="F27" s="163">
        <f t="shared" si="1"/>
        <v>0</v>
      </c>
      <c r="G27" s="163">
        <f t="shared" si="1"/>
        <v>0</v>
      </c>
      <c r="H27" s="163">
        <f t="shared" si="1"/>
        <v>0</v>
      </c>
      <c r="I27" s="163">
        <f t="shared" si="1"/>
        <v>0</v>
      </c>
      <c r="J27" s="163">
        <f t="shared" si="1"/>
        <v>0</v>
      </c>
      <c r="K27" s="163">
        <f t="shared" si="1"/>
        <v>0</v>
      </c>
      <c r="L27" s="163">
        <f t="shared" si="1"/>
        <v>0</v>
      </c>
      <c r="M27" s="163">
        <f t="shared" si="1"/>
        <v>0</v>
      </c>
      <c r="N27" s="163">
        <f t="shared" si="1"/>
        <v>0</v>
      </c>
      <c r="O27" s="163">
        <f t="shared" si="1"/>
        <v>0</v>
      </c>
      <c r="P27" s="163">
        <f t="shared" si="1"/>
        <v>0</v>
      </c>
      <c r="Q27" s="163">
        <f t="shared" si="1"/>
        <v>0</v>
      </c>
      <c r="R27" s="163">
        <f t="shared" si="1"/>
        <v>0</v>
      </c>
      <c r="S27" s="163">
        <f t="shared" si="1"/>
        <v>0</v>
      </c>
      <c r="T27" s="163">
        <f t="shared" si="1"/>
        <v>0</v>
      </c>
      <c r="U27" s="163">
        <f t="shared" si="1"/>
        <v>0</v>
      </c>
      <c r="V27" s="163">
        <f t="shared" si="1"/>
        <v>0</v>
      </c>
    </row>
    <row r="28" spans="2:52" x14ac:dyDescent="0.2">
      <c r="H28" s="108"/>
    </row>
    <row r="29" spans="2:52" x14ac:dyDescent="0.2">
      <c r="H29" s="108"/>
    </row>
    <row r="30" spans="2:52" x14ac:dyDescent="0.2">
      <c r="H30" s="108"/>
    </row>
    <row r="31" spans="2:52" s="160" customFormat="1" ht="60" customHeight="1" x14ac:dyDescent="0.2">
      <c r="B31" s="162" t="s">
        <v>287</v>
      </c>
      <c r="C31" s="103" t="s">
        <v>210</v>
      </c>
      <c r="D31" s="129" t="s">
        <v>235</v>
      </c>
      <c r="E31" s="162" t="s">
        <v>18</v>
      </c>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row>
    <row r="32" spans="2:52" s="108" customFormat="1" ht="15" x14ac:dyDescent="0.25">
      <c r="B32" s="164"/>
      <c r="C32" s="111" t="s">
        <v>27</v>
      </c>
      <c r="D32" s="167">
        <f>SUM(E32:AA32)</f>
        <v>0</v>
      </c>
      <c r="E32" s="164">
        <v>0</v>
      </c>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row>
    <row r="33" spans="2:52" s="108" customFormat="1" ht="15" x14ac:dyDescent="0.25">
      <c r="B33" s="165"/>
      <c r="C33" s="111" t="s">
        <v>206</v>
      </c>
      <c r="D33" s="167">
        <f>SUM(E33:AA33)</f>
        <v>0</v>
      </c>
      <c r="E33" s="165">
        <v>0</v>
      </c>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row>
    <row r="34" spans="2:52" s="108" customFormat="1" ht="15" x14ac:dyDescent="0.25">
      <c r="B34" s="165"/>
      <c r="C34" s="111" t="s">
        <v>28</v>
      </c>
      <c r="D34" s="167">
        <f>SUM(E34:AA34)</f>
        <v>0</v>
      </c>
      <c r="E34" s="165">
        <v>0</v>
      </c>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row>
    <row r="35" spans="2:52" s="108" customFormat="1" ht="15" x14ac:dyDescent="0.25">
      <c r="B35" s="165"/>
      <c r="C35" s="111" t="s">
        <v>29</v>
      </c>
      <c r="D35" s="167">
        <f>SUM(E35:AA35)</f>
        <v>0</v>
      </c>
      <c r="E35" s="165">
        <v>0</v>
      </c>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8"/>
    </row>
    <row r="36" spans="2:52" s="108" customFormat="1" ht="15" x14ac:dyDescent="0.25">
      <c r="B36" s="165"/>
      <c r="C36" s="111" t="s">
        <v>245</v>
      </c>
      <c r="D36" s="167">
        <f>SUM(E36:AA36)</f>
        <v>0</v>
      </c>
      <c r="E36" s="165">
        <v>0</v>
      </c>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row>
    <row r="37" spans="2:52" ht="15" x14ac:dyDescent="0.2">
      <c r="B37" s="166">
        <f>SUM(B32:B36)</f>
        <v>0</v>
      </c>
      <c r="C37" s="115" t="s">
        <v>30</v>
      </c>
      <c r="D37" s="166">
        <f>SUM(D32:D36)</f>
        <v>0</v>
      </c>
      <c r="E37" s="166">
        <f>SUM(E32:E36)</f>
        <v>0</v>
      </c>
    </row>
    <row r="38" spans="2:52" x14ac:dyDescent="0.2">
      <c r="H38" s="108"/>
    </row>
    <row r="39" spans="2:52" x14ac:dyDescent="0.2">
      <c r="H39" s="108"/>
    </row>
    <row r="40" spans="2:52" s="160" customFormat="1" ht="63.75" x14ac:dyDescent="0.2">
      <c r="B40" s="162" t="s">
        <v>287</v>
      </c>
      <c r="C40" s="103" t="s">
        <v>234</v>
      </c>
      <c r="D40" s="129" t="s">
        <v>235</v>
      </c>
      <c r="E40" s="162" t="s">
        <v>18</v>
      </c>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8"/>
    </row>
    <row r="41" spans="2:52" ht="15" x14ac:dyDescent="0.25">
      <c r="B41" s="165"/>
      <c r="C41" s="111" t="s">
        <v>242</v>
      </c>
      <c r="D41" s="167">
        <f>SUM(E41:AA41)</f>
        <v>0</v>
      </c>
      <c r="E41" s="165">
        <v>0</v>
      </c>
    </row>
    <row r="42" spans="2:52" ht="15" x14ac:dyDescent="0.25">
      <c r="B42" s="165"/>
      <c r="C42" s="111" t="s">
        <v>241</v>
      </c>
      <c r="D42" s="167">
        <f>SUM(E42:AA42)</f>
        <v>0</v>
      </c>
      <c r="E42" s="165">
        <v>0</v>
      </c>
    </row>
    <row r="43" spans="2:52" s="29" customFormat="1" ht="15" x14ac:dyDescent="0.25">
      <c r="B43" s="165"/>
      <c r="C43" s="111" t="s">
        <v>392</v>
      </c>
      <c r="D43" s="167">
        <f>SUM(E43:AA43)</f>
        <v>0</v>
      </c>
      <c r="E43" s="165">
        <v>0</v>
      </c>
      <c r="F43" s="28"/>
      <c r="G43" s="28"/>
      <c r="H43" s="28"/>
      <c r="I43" s="28"/>
      <c r="J43" s="28"/>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8"/>
    </row>
    <row r="44" spans="2:52" ht="15" x14ac:dyDescent="0.2">
      <c r="B44" s="166">
        <f>SUM(B41:B43)</f>
        <v>0</v>
      </c>
      <c r="C44" s="115" t="s">
        <v>30</v>
      </c>
      <c r="D44" s="166">
        <f>SUM(D41:D43)</f>
        <v>0</v>
      </c>
      <c r="E44" s="166">
        <f>SUM(E41:E43)</f>
        <v>0</v>
      </c>
    </row>
    <row r="47" spans="2:52" ht="25.5" x14ac:dyDescent="0.2">
      <c r="C47" s="168" t="s">
        <v>226</v>
      </c>
      <c r="D47" s="100" t="s">
        <v>289</v>
      </c>
      <c r="E47" s="100" t="s">
        <v>288</v>
      </c>
    </row>
    <row r="48" spans="2:52" x14ac:dyDescent="0.2">
      <c r="C48" s="169" t="s">
        <v>290</v>
      </c>
      <c r="D48" s="169" t="s">
        <v>291</v>
      </c>
      <c r="E48" s="169" t="s">
        <v>292</v>
      </c>
    </row>
  </sheetData>
  <phoneticPr fontId="4" type="noConversion"/>
  <pageMargins left="0.75" right="0.75" top="1" bottom="1" header="0.4921259845" footer="0.4921259845"/>
  <pageSetup paperSize="9" scale="58" fitToHeight="0" orientation="portrait" r:id="rId1"/>
  <headerFooter alignWithMargins="0"/>
  <drawing r:id="rId2"/>
  <legacyDrawing r:id="rId3"/>
  <controls>
    <mc:AlternateContent xmlns:mc="http://schemas.openxmlformats.org/markup-compatibility/2006">
      <mc:Choice Requires="x14">
        <control shapeId="14337" r:id="rId4" name="ComputeSynthesis">
          <controlPr defaultSize="0" autoLine="0" r:id="rId5">
            <anchor moveWithCells="1">
              <from>
                <xdr:col>3</xdr:col>
                <xdr:colOff>171450</xdr:colOff>
                <xdr:row>0</xdr:row>
                <xdr:rowOff>57150</xdr:rowOff>
              </from>
              <to>
                <xdr:col>7</xdr:col>
                <xdr:colOff>209550</xdr:colOff>
                <xdr:row>2</xdr:row>
                <xdr:rowOff>104775</xdr:rowOff>
              </to>
            </anchor>
          </controlPr>
        </control>
      </mc:Choice>
      <mc:Fallback>
        <control shapeId="14337" r:id="rId4" name="ComputeSynthesis"/>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4">
    <tabColor theme="6"/>
    <outlinePr summaryRight="0"/>
    <pageSetUpPr fitToPage="1"/>
  </sheetPr>
  <dimension ref="A1:AU205"/>
  <sheetViews>
    <sheetView zoomScaleNormal="100" workbookViewId="0">
      <pane xSplit="1" ySplit="4" topLeftCell="B5" activePane="bottomRight" state="frozenSplit"/>
      <selection activeCell="K17" sqref="K17"/>
      <selection pane="topRight" activeCell="K17" sqref="K17"/>
      <selection pane="bottomLeft" activeCell="K17" sqref="K17"/>
      <selection pane="bottomRight" activeCell="D34" sqref="D34"/>
    </sheetView>
  </sheetViews>
  <sheetFormatPr defaultRowHeight="12.75" outlineLevelRow="1" outlineLevelCol="1" x14ac:dyDescent="0.2"/>
  <cols>
    <col min="1" max="1" width="5.28515625" style="147" customWidth="1"/>
    <col min="2" max="2" width="9.85546875" style="118" customWidth="1"/>
    <col min="3" max="3" width="12.140625" style="118" customWidth="1"/>
    <col min="4" max="4" width="42.140625" style="119" customWidth="1"/>
    <col min="5" max="5" width="11" style="143" customWidth="1" outlineLevel="1"/>
    <col min="6" max="6" width="14.5703125" style="144" customWidth="1" outlineLevel="1"/>
    <col min="7" max="7" width="33.7109375" style="119" customWidth="1"/>
    <col min="8" max="9" width="11.28515625" style="118" customWidth="1" outlineLevel="1"/>
    <col min="10" max="10" width="14" style="118" customWidth="1" outlineLevel="1"/>
    <col min="11" max="11" width="18.28515625" style="118" customWidth="1" outlineLevel="1"/>
    <col min="12" max="12" width="12.5703125" style="120" customWidth="1"/>
    <col min="13" max="13" width="13.7109375" style="121" customWidth="1"/>
    <col min="14" max="14" width="10.85546875" style="121" customWidth="1"/>
    <col min="15" max="15" width="12" style="109" bestFit="1" customWidth="1"/>
    <col min="16" max="16" width="20.85546875" style="109" bestFit="1" customWidth="1"/>
    <col min="17" max="17" width="13.28515625" style="109" bestFit="1" customWidth="1"/>
    <col min="18" max="23" width="11.42578125" style="138" customWidth="1"/>
    <col min="24" max="24" width="11.85546875" style="138" bestFit="1" customWidth="1"/>
    <col min="25" max="25" width="15.5703125" bestFit="1" customWidth="1"/>
    <col min="26" max="26" width="15" bestFit="1" customWidth="1"/>
    <col min="27" max="27" width="9.7109375" bestFit="1" customWidth="1"/>
  </cols>
  <sheetData>
    <row r="1" spans="1:47" s="37" customFormat="1" ht="51" hidden="1" x14ac:dyDescent="0.2">
      <c r="A1" s="142"/>
      <c r="B1" s="117"/>
      <c r="C1" s="117"/>
      <c r="D1" s="117" t="s">
        <v>213</v>
      </c>
      <c r="E1" s="142"/>
      <c r="F1" s="142"/>
      <c r="G1" s="117"/>
      <c r="H1" s="117" t="s">
        <v>213</v>
      </c>
      <c r="I1" s="117"/>
      <c r="J1" s="117"/>
      <c r="K1" s="117"/>
      <c r="L1" s="117"/>
      <c r="M1" s="100" t="s">
        <v>231</v>
      </c>
      <c r="N1" s="100" t="s">
        <v>246</v>
      </c>
      <c r="O1" s="100" t="s">
        <v>232</v>
      </c>
      <c r="P1" s="100" t="s">
        <v>233</v>
      </c>
      <c r="Q1" s="131"/>
      <c r="R1" s="100" t="s">
        <v>206</v>
      </c>
      <c r="S1" s="100" t="s">
        <v>28</v>
      </c>
      <c r="T1" s="100" t="s">
        <v>29</v>
      </c>
      <c r="U1" s="100" t="s">
        <v>35</v>
      </c>
      <c r="V1" s="100" t="s">
        <v>27</v>
      </c>
      <c r="W1" s="132"/>
      <c r="X1" s="133"/>
      <c r="Y1" s="100" t="s">
        <v>237</v>
      </c>
      <c r="Z1" s="100" t="s">
        <v>238</v>
      </c>
      <c r="AA1" s="100" t="s">
        <v>240</v>
      </c>
      <c r="AB1" s="100" t="s">
        <v>239</v>
      </c>
      <c r="AI1" s="31" t="s">
        <v>36</v>
      </c>
      <c r="AJ1" s="31" t="s">
        <v>37</v>
      </c>
      <c r="AK1" s="100" t="s">
        <v>229</v>
      </c>
      <c r="AP1" s="33"/>
      <c r="AQ1" s="33"/>
      <c r="AR1" s="32" t="s">
        <v>34</v>
      </c>
      <c r="AS1" s="32" t="s">
        <v>32</v>
      </c>
      <c r="AT1" s="32" t="s">
        <v>33</v>
      </c>
      <c r="AU1" s="32" t="s">
        <v>31</v>
      </c>
    </row>
    <row r="2" spans="1:47" s="105" customFormat="1" hidden="1" x14ac:dyDescent="0.2">
      <c r="A2" s="142"/>
      <c r="B2" s="117"/>
      <c r="C2" s="102"/>
      <c r="D2" s="117" t="s">
        <v>208</v>
      </c>
      <c r="E2" s="142"/>
      <c r="F2" s="142"/>
      <c r="G2" s="102"/>
      <c r="H2" s="117" t="s">
        <v>208</v>
      </c>
      <c r="I2" s="117"/>
      <c r="J2" s="117"/>
      <c r="K2" s="102"/>
      <c r="L2" s="102"/>
      <c r="M2" s="128">
        <f>COUNTA(D5:D500)+COUNTIF(M5:M500,"=Open")+COUNTIF(M5:M500,"=To be fixed")-COUNTA(M5:M500)</f>
        <v>0</v>
      </c>
      <c r="N2" s="128">
        <f>COUNTIF(N5:N500,"=Rejected")</f>
        <v>0</v>
      </c>
      <c r="O2" s="128">
        <f>COUNTA(D5:D500)-COUNTIF(N5:N500,"=Approved")</f>
        <v>0</v>
      </c>
      <c r="P2" s="128">
        <f>COUNTIFS(M5:M500,"=Postponed",N5:N500,"=Approved")</f>
        <v>0</v>
      </c>
      <c r="Q2" s="134"/>
      <c r="R2" s="128">
        <f>COUNTIF($M5:$M500,"=" &amp; R1)</f>
        <v>0</v>
      </c>
      <c r="S2" s="128">
        <f>COUNTIF($M5:$M500,"=" &amp; S1)</f>
        <v>0</v>
      </c>
      <c r="T2" s="128">
        <f>COUNTIF($M5:$M500,"=" &amp; T1)</f>
        <v>0</v>
      </c>
      <c r="U2" s="128">
        <f>COUNTIF($M5:$M500,"=" &amp; U1)</f>
        <v>0</v>
      </c>
      <c r="V2" s="128">
        <f>COUNTIF($M5:$M500,"=" &amp; V1)+COUNTIFS($M5:$M500,"",$D5:$D500,"&lt;&gt;")</f>
        <v>0</v>
      </c>
      <c r="W2" s="135"/>
      <c r="X2" s="136"/>
      <c r="Y2" s="128">
        <f>IF(OR(NbOfNotTreatedIssues&gt;0,NbOfRejectedIssues&gt;0),1,0)</f>
        <v>0</v>
      </c>
      <c r="Z2" s="128">
        <f>IF(AND(Issue_to_treat=0,NbOfNotApprovedIssues&gt;0),1,0)</f>
        <v>0</v>
      </c>
      <c r="AA2" s="128">
        <f>IF(AND(Issues_to_approve=0,NbOfNotApprovedAndPostponedIssues&gt;0),1,0)</f>
        <v>0</v>
      </c>
      <c r="AB2" s="128">
        <f>IF(AND(Issue_to_treat=0,Issues_to_approve=0,Issues_postponed=0),1,0)</f>
        <v>1</v>
      </c>
      <c r="AC2" s="104"/>
      <c r="AD2" s="104"/>
      <c r="AE2" s="104"/>
      <c r="AF2" s="104"/>
      <c r="AG2" s="104"/>
      <c r="AI2" s="128">
        <f>COUNTIF($N5:$N500,"=" &amp; AI1)</f>
        <v>0</v>
      </c>
      <c r="AJ2" s="128">
        <f>COUNTIF($N5:$N500,"=" &amp; AJ1)</f>
        <v>0</v>
      </c>
      <c r="AK2" s="128">
        <f>COUNTIF($N5:$N500,"=" &amp; AK1)</f>
        <v>0</v>
      </c>
      <c r="AN2" s="104"/>
      <c r="AO2" s="104"/>
      <c r="AP2" s="104"/>
      <c r="AQ2" s="106"/>
      <c r="AR2" s="106"/>
      <c r="AS2" s="104"/>
      <c r="AT2" s="106"/>
      <c r="AU2" s="106"/>
    </row>
    <row r="3" spans="1:47" s="123" customFormat="1" ht="25.5" customHeight="1" outlineLevel="1" x14ac:dyDescent="0.2">
      <c r="A3" s="430" t="str">
        <f>IF(Issue_to_treat=1,NbOfNotTreatedIssues+NbOfRejectedIssues&amp;" issue(s) to treat",IF(Issues_to_approve=1,NbOfNotApprovedIssues&amp;" issue(s) to approve",IF(Issues_postponed=1,NbOfNotApprovedAndPostponedIssues&amp;" issue(s) postponed","Status OK")))</f>
        <v>Status OK</v>
      </c>
      <c r="B3" s="430"/>
      <c r="C3" s="431"/>
      <c r="D3" s="141" t="s">
        <v>230</v>
      </c>
      <c r="E3" s="428" t="s">
        <v>249</v>
      </c>
      <c r="F3" s="429"/>
      <c r="G3" s="429"/>
      <c r="H3" s="122"/>
      <c r="I3" s="122"/>
      <c r="J3" s="122"/>
      <c r="K3" s="122"/>
      <c r="L3" s="122"/>
      <c r="M3" s="122"/>
      <c r="N3" s="122"/>
      <c r="O3" s="133"/>
      <c r="P3" s="133"/>
      <c r="Q3" s="133"/>
      <c r="R3" s="137"/>
      <c r="S3" s="137"/>
      <c r="T3" s="137"/>
      <c r="U3" s="137"/>
      <c r="V3" s="137"/>
      <c r="W3" s="137"/>
      <c r="X3" s="137"/>
      <c r="Y3" s="38"/>
      <c r="Z3" s="38"/>
      <c r="AA3" s="38"/>
      <c r="AB3" s="38"/>
      <c r="AC3" s="38"/>
    </row>
    <row r="4" spans="1:47" s="34" customFormat="1" ht="25.5" x14ac:dyDescent="0.2">
      <c r="A4" s="124" t="s">
        <v>38</v>
      </c>
      <c r="B4" s="124" t="s">
        <v>11</v>
      </c>
      <c r="C4" s="124" t="s">
        <v>40</v>
      </c>
      <c r="D4" s="124" t="s">
        <v>41</v>
      </c>
      <c r="E4" s="124" t="s">
        <v>236</v>
      </c>
      <c r="F4" s="124" t="s">
        <v>39</v>
      </c>
      <c r="G4" s="127" t="s">
        <v>209</v>
      </c>
      <c r="H4" s="125" t="s">
        <v>211</v>
      </c>
      <c r="I4" s="125" t="s">
        <v>435</v>
      </c>
      <c r="J4" s="125" t="s">
        <v>542</v>
      </c>
      <c r="K4" s="125" t="s">
        <v>42</v>
      </c>
      <c r="L4" s="126" t="s">
        <v>212</v>
      </c>
      <c r="M4" s="125" t="s">
        <v>210</v>
      </c>
      <c r="N4" s="124" t="s">
        <v>207</v>
      </c>
      <c r="O4" s="133"/>
      <c r="P4" s="133"/>
      <c r="Q4" s="133"/>
      <c r="R4" s="137"/>
      <c r="S4" s="137"/>
      <c r="T4" s="137"/>
      <c r="U4" s="137"/>
      <c r="V4" s="137"/>
      <c r="W4" s="137"/>
      <c r="X4" s="137"/>
      <c r="Y4" s="38"/>
      <c r="Z4" s="38"/>
      <c r="AA4" s="38"/>
      <c r="AB4" s="38"/>
      <c r="AC4" s="38"/>
    </row>
    <row r="5" spans="1:47" s="38" customFormat="1" x14ac:dyDescent="0.2">
      <c r="A5" s="148">
        <v>1</v>
      </c>
      <c r="B5" s="65"/>
      <c r="C5" s="65"/>
      <c r="D5" s="99"/>
      <c r="E5" s="145"/>
      <c r="F5" s="146"/>
      <c r="G5" s="30"/>
      <c r="H5" s="35"/>
      <c r="I5" s="35"/>
      <c r="J5" s="35"/>
      <c r="K5" s="35"/>
      <c r="L5" s="36"/>
      <c r="M5" s="35"/>
      <c r="N5" s="156"/>
      <c r="O5" s="133"/>
      <c r="P5" s="133"/>
      <c r="Q5" s="133"/>
      <c r="R5" s="137"/>
      <c r="S5" s="137"/>
      <c r="T5" s="137"/>
      <c r="U5" s="137"/>
      <c r="V5" s="137"/>
      <c r="W5" s="137"/>
      <c r="X5" s="137"/>
    </row>
    <row r="6" spans="1:47" s="38" customFormat="1" x14ac:dyDescent="0.2">
      <c r="A6" s="149">
        <v>2</v>
      </c>
      <c r="B6" s="65"/>
      <c r="C6" s="65"/>
      <c r="D6" s="99"/>
      <c r="E6" s="145"/>
      <c r="F6" s="146"/>
      <c r="G6" s="30"/>
      <c r="H6" s="35"/>
      <c r="I6" s="35"/>
      <c r="J6" s="35"/>
      <c r="K6" s="35"/>
      <c r="L6" s="36"/>
      <c r="M6" s="35"/>
      <c r="N6" s="35"/>
      <c r="O6" s="133"/>
      <c r="P6" s="133"/>
      <c r="Q6" s="133"/>
      <c r="R6" s="137"/>
      <c r="S6" s="137"/>
      <c r="T6" s="137"/>
      <c r="U6" s="137"/>
      <c r="V6" s="137"/>
      <c r="W6" s="137"/>
      <c r="X6" s="137"/>
    </row>
    <row r="7" spans="1:47" s="38" customFormat="1" x14ac:dyDescent="0.2">
      <c r="A7" s="149">
        <v>3</v>
      </c>
      <c r="B7" s="65"/>
      <c r="C7" s="65"/>
      <c r="D7" s="99"/>
      <c r="E7" s="145"/>
      <c r="F7" s="146"/>
      <c r="G7" s="30"/>
      <c r="H7" s="35"/>
      <c r="I7" s="35"/>
      <c r="J7" s="35"/>
      <c r="K7" s="35"/>
      <c r="L7" s="36"/>
      <c r="M7" s="35"/>
      <c r="N7" s="35"/>
      <c r="O7" s="133"/>
      <c r="P7" s="133"/>
      <c r="Q7" s="133"/>
      <c r="R7" s="137"/>
      <c r="S7" s="137"/>
      <c r="T7" s="137"/>
      <c r="U7" s="137"/>
      <c r="V7" s="137"/>
      <c r="W7" s="137"/>
      <c r="X7" s="137"/>
    </row>
    <row r="8" spans="1:47" s="38" customFormat="1" x14ac:dyDescent="0.2">
      <c r="A8" s="149">
        <v>4</v>
      </c>
      <c r="B8" s="65"/>
      <c r="C8" s="65"/>
      <c r="D8" s="99"/>
      <c r="E8" s="145"/>
      <c r="F8" s="146"/>
      <c r="G8" s="30"/>
      <c r="H8" s="35"/>
      <c r="I8" s="35"/>
      <c r="J8" s="35"/>
      <c r="K8" s="35"/>
      <c r="L8" s="36"/>
      <c r="M8" s="35"/>
      <c r="N8" s="35"/>
      <c r="O8" s="133"/>
      <c r="P8" s="133"/>
      <c r="Q8" s="133"/>
      <c r="R8" s="137"/>
      <c r="S8" s="137"/>
      <c r="T8" s="137"/>
      <c r="U8" s="137"/>
      <c r="V8" s="137"/>
      <c r="W8" s="137"/>
      <c r="X8" s="137"/>
    </row>
    <row r="9" spans="1:47" s="38" customFormat="1" x14ac:dyDescent="0.2">
      <c r="A9" s="149">
        <v>5</v>
      </c>
      <c r="B9" s="65"/>
      <c r="C9" s="65"/>
      <c r="D9" s="99"/>
      <c r="E9" s="145"/>
      <c r="F9" s="146"/>
      <c r="G9" s="30"/>
      <c r="H9" s="35"/>
      <c r="I9" s="35"/>
      <c r="J9" s="35"/>
      <c r="K9" s="35"/>
      <c r="L9" s="36"/>
      <c r="M9" s="35"/>
      <c r="N9" s="35"/>
      <c r="O9" s="133"/>
      <c r="P9" s="133"/>
      <c r="Q9" s="133"/>
      <c r="R9" s="137"/>
      <c r="S9" s="137"/>
      <c r="T9" s="137"/>
      <c r="U9" s="137"/>
      <c r="V9" s="137"/>
      <c r="W9" s="137"/>
      <c r="X9" s="137"/>
    </row>
    <row r="10" spans="1:47" s="38" customFormat="1" x14ac:dyDescent="0.2">
      <c r="A10" s="149">
        <v>6</v>
      </c>
      <c r="B10" s="65"/>
      <c r="C10" s="112"/>
      <c r="D10" s="99"/>
      <c r="E10" s="145"/>
      <c r="F10" s="146"/>
      <c r="G10" s="30"/>
      <c r="H10" s="35"/>
      <c r="I10" s="35"/>
      <c r="J10" s="35"/>
      <c r="K10" s="35"/>
      <c r="L10" s="36"/>
      <c r="M10" s="35"/>
      <c r="N10" s="35"/>
      <c r="O10" s="133"/>
      <c r="P10" s="133"/>
      <c r="Q10" s="133"/>
      <c r="R10" s="137"/>
      <c r="S10" s="137"/>
      <c r="T10" s="137"/>
      <c r="U10" s="137"/>
      <c r="V10" s="137"/>
      <c r="W10" s="137"/>
      <c r="X10" s="137"/>
    </row>
    <row r="11" spans="1:47" s="38" customFormat="1" x14ac:dyDescent="0.2">
      <c r="A11" s="149">
        <v>7</v>
      </c>
      <c r="B11" s="65"/>
      <c r="C11" s="112"/>
      <c r="D11" s="99"/>
      <c r="E11" s="145"/>
      <c r="F11" s="146"/>
      <c r="G11" s="30"/>
      <c r="H11" s="35"/>
      <c r="I11" s="35"/>
      <c r="J11" s="35"/>
      <c r="K11" s="35"/>
      <c r="L11" s="159"/>
      <c r="M11" s="35"/>
      <c r="N11" s="35"/>
      <c r="O11" s="133"/>
      <c r="P11" s="133"/>
      <c r="Q11" s="133"/>
      <c r="R11" s="137"/>
      <c r="S11" s="137"/>
      <c r="T11" s="137"/>
      <c r="U11" s="137"/>
      <c r="V11" s="137"/>
      <c r="W11" s="137"/>
      <c r="X11" s="137"/>
    </row>
    <row r="12" spans="1:47" s="38" customFormat="1" x14ac:dyDescent="0.2">
      <c r="A12" s="149">
        <v>8</v>
      </c>
      <c r="B12" s="65"/>
      <c r="C12" s="65"/>
      <c r="D12" s="99"/>
      <c r="E12" s="145"/>
      <c r="F12" s="146"/>
      <c r="G12" s="30"/>
      <c r="H12" s="35"/>
      <c r="I12" s="35"/>
      <c r="J12" s="35"/>
      <c r="K12" s="35"/>
      <c r="L12" s="36"/>
      <c r="M12" s="35"/>
      <c r="N12" s="35"/>
      <c r="O12" s="133"/>
      <c r="P12" s="133"/>
      <c r="Q12" s="133"/>
      <c r="R12" s="137"/>
      <c r="S12" s="137"/>
      <c r="T12" s="137"/>
      <c r="U12" s="137"/>
      <c r="V12" s="137"/>
      <c r="W12" s="137"/>
      <c r="X12" s="137"/>
    </row>
    <row r="13" spans="1:47" s="38" customFormat="1" x14ac:dyDescent="0.2">
      <c r="A13" s="149">
        <v>9</v>
      </c>
      <c r="B13" s="65"/>
      <c r="C13" s="65"/>
      <c r="D13" s="99"/>
      <c r="E13" s="145"/>
      <c r="F13" s="146"/>
      <c r="G13" s="30"/>
      <c r="H13" s="35"/>
      <c r="I13" s="35"/>
      <c r="J13" s="35"/>
      <c r="K13" s="35"/>
      <c r="L13" s="36"/>
      <c r="M13" s="35"/>
      <c r="N13" s="35"/>
      <c r="O13" s="133"/>
      <c r="P13" s="133"/>
      <c r="Q13" s="133"/>
      <c r="R13" s="137"/>
      <c r="S13" s="137"/>
      <c r="T13" s="137"/>
      <c r="U13" s="137"/>
      <c r="V13" s="137"/>
      <c r="W13" s="137"/>
      <c r="X13" s="137"/>
    </row>
    <row r="14" spans="1:47" s="38" customFormat="1" x14ac:dyDescent="0.2">
      <c r="A14" s="149">
        <v>10</v>
      </c>
      <c r="B14" s="65"/>
      <c r="C14" s="65"/>
      <c r="D14" s="30"/>
      <c r="E14" s="145"/>
      <c r="F14" s="146"/>
      <c r="G14" s="30"/>
      <c r="H14" s="35"/>
      <c r="I14" s="35"/>
      <c r="J14" s="35"/>
      <c r="K14" s="35"/>
      <c r="L14" s="36"/>
      <c r="M14" s="35"/>
      <c r="N14" s="35"/>
      <c r="O14" s="133"/>
      <c r="P14" s="133"/>
      <c r="Q14" s="133"/>
      <c r="R14" s="137"/>
      <c r="S14" s="137"/>
      <c r="T14" s="137"/>
      <c r="U14" s="137"/>
      <c r="V14" s="137"/>
      <c r="W14" s="137"/>
      <c r="X14" s="137"/>
    </row>
    <row r="15" spans="1:47" s="38" customFormat="1" x14ac:dyDescent="0.2">
      <c r="A15" s="149">
        <v>11</v>
      </c>
      <c r="B15" s="65"/>
      <c r="C15" s="65"/>
      <c r="D15" s="30"/>
      <c r="E15" s="145"/>
      <c r="F15" s="146"/>
      <c r="G15" s="30"/>
      <c r="H15" s="35"/>
      <c r="I15" s="35"/>
      <c r="J15" s="35"/>
      <c r="K15" s="35"/>
      <c r="L15" s="36"/>
      <c r="M15" s="35"/>
      <c r="N15" s="35"/>
      <c r="O15" s="133"/>
      <c r="P15" s="133"/>
      <c r="Q15" s="133"/>
      <c r="R15" s="137"/>
      <c r="S15" s="137"/>
      <c r="T15" s="137"/>
      <c r="U15" s="137"/>
      <c r="V15" s="137"/>
      <c r="W15" s="137"/>
      <c r="X15" s="137"/>
    </row>
    <row r="16" spans="1:47" s="38" customFormat="1" x14ac:dyDescent="0.2">
      <c r="A16" s="149">
        <v>12</v>
      </c>
      <c r="B16" s="65"/>
      <c r="C16" s="65"/>
      <c r="D16" s="30"/>
      <c r="E16" s="145"/>
      <c r="F16" s="146"/>
      <c r="G16" s="30"/>
      <c r="H16" s="35"/>
      <c r="I16" s="35"/>
      <c r="J16" s="35"/>
      <c r="K16" s="35"/>
      <c r="L16" s="36"/>
      <c r="M16" s="35"/>
      <c r="N16" s="35"/>
      <c r="O16" s="133"/>
      <c r="P16" s="133"/>
      <c r="Q16" s="133"/>
      <c r="R16" s="137"/>
      <c r="S16" s="137"/>
      <c r="T16" s="137"/>
      <c r="U16" s="137"/>
      <c r="V16" s="137"/>
      <c r="W16" s="137"/>
      <c r="X16" s="137"/>
    </row>
    <row r="17" spans="1:24" s="38" customFormat="1" x14ac:dyDescent="0.2">
      <c r="A17" s="149">
        <v>13</v>
      </c>
      <c r="B17" s="65"/>
      <c r="C17" s="65"/>
      <c r="D17" s="30"/>
      <c r="E17" s="145"/>
      <c r="F17" s="146"/>
      <c r="G17" s="30"/>
      <c r="H17" s="35"/>
      <c r="I17" s="35"/>
      <c r="J17" s="35"/>
      <c r="K17" s="35"/>
      <c r="L17" s="36"/>
      <c r="M17" s="35"/>
      <c r="N17" s="35"/>
      <c r="O17" s="133"/>
      <c r="P17" s="133"/>
      <c r="Q17" s="133"/>
      <c r="R17" s="137"/>
      <c r="S17" s="137"/>
      <c r="T17" s="137"/>
      <c r="U17" s="137"/>
      <c r="V17" s="137"/>
      <c r="W17" s="137"/>
      <c r="X17" s="137"/>
    </row>
    <row r="18" spans="1:24" s="38" customFormat="1" x14ac:dyDescent="0.2">
      <c r="A18" s="149">
        <v>14</v>
      </c>
      <c r="B18" s="65"/>
      <c r="C18" s="65"/>
      <c r="D18" s="30"/>
      <c r="E18" s="145"/>
      <c r="F18" s="146"/>
      <c r="G18" s="30"/>
      <c r="H18" s="35"/>
      <c r="I18" s="35"/>
      <c r="J18" s="35"/>
      <c r="K18" s="35"/>
      <c r="L18" s="36"/>
      <c r="M18" s="35"/>
      <c r="N18" s="35"/>
      <c r="O18" s="133"/>
      <c r="P18" s="133"/>
      <c r="Q18" s="133"/>
      <c r="R18" s="137"/>
      <c r="S18" s="137"/>
      <c r="T18" s="137"/>
      <c r="U18" s="137"/>
      <c r="V18" s="137"/>
      <c r="W18" s="137"/>
      <c r="X18" s="137"/>
    </row>
    <row r="19" spans="1:24" s="38" customFormat="1" x14ac:dyDescent="0.2">
      <c r="A19" s="149">
        <v>15</v>
      </c>
      <c r="B19" s="65"/>
      <c r="C19" s="65"/>
      <c r="D19" s="30"/>
      <c r="E19" s="145"/>
      <c r="F19" s="146"/>
      <c r="G19" s="30"/>
      <c r="H19" s="35"/>
      <c r="I19" s="35"/>
      <c r="J19" s="35"/>
      <c r="K19" s="35"/>
      <c r="L19" s="36"/>
      <c r="M19" s="35"/>
      <c r="N19" s="35"/>
      <c r="O19" s="133"/>
      <c r="P19" s="133"/>
      <c r="Q19" s="133"/>
      <c r="R19" s="137"/>
      <c r="S19" s="137"/>
      <c r="T19" s="137"/>
      <c r="U19" s="137"/>
      <c r="V19" s="137"/>
      <c r="W19" s="137"/>
      <c r="X19" s="137"/>
    </row>
    <row r="20" spans="1:24" s="38" customFormat="1" x14ac:dyDescent="0.2">
      <c r="A20" s="149">
        <v>16</v>
      </c>
      <c r="B20" s="65"/>
      <c r="C20" s="65"/>
      <c r="D20" s="30"/>
      <c r="E20" s="145"/>
      <c r="F20" s="146"/>
      <c r="G20" s="30"/>
      <c r="H20" s="35"/>
      <c r="I20" s="35"/>
      <c r="J20" s="35"/>
      <c r="K20" s="35"/>
      <c r="L20" s="36"/>
      <c r="M20" s="35"/>
      <c r="N20" s="35"/>
      <c r="O20" s="133"/>
      <c r="P20" s="133"/>
      <c r="Q20" s="133"/>
      <c r="R20" s="137"/>
      <c r="S20" s="137"/>
      <c r="T20" s="137"/>
      <c r="U20" s="137"/>
      <c r="V20" s="137"/>
      <c r="W20" s="137"/>
      <c r="X20" s="137"/>
    </row>
    <row r="21" spans="1:24" s="38" customFormat="1" x14ac:dyDescent="0.2">
      <c r="A21" s="149">
        <v>17</v>
      </c>
      <c r="B21" s="65"/>
      <c r="C21" s="65"/>
      <c r="D21" s="30"/>
      <c r="E21" s="145"/>
      <c r="F21" s="146"/>
      <c r="G21" s="30"/>
      <c r="H21" s="35"/>
      <c r="I21" s="35"/>
      <c r="J21" s="35"/>
      <c r="K21" s="35"/>
      <c r="L21" s="36"/>
      <c r="M21" s="35"/>
      <c r="N21" s="35"/>
      <c r="O21" s="133"/>
      <c r="P21" s="133"/>
      <c r="Q21" s="133"/>
      <c r="R21" s="137"/>
      <c r="S21" s="137"/>
      <c r="T21" s="137"/>
      <c r="U21" s="137"/>
      <c r="V21" s="137"/>
      <c r="W21" s="137"/>
      <c r="X21" s="137"/>
    </row>
    <row r="22" spans="1:24" s="38" customFormat="1" x14ac:dyDescent="0.2">
      <c r="A22" s="149">
        <v>18</v>
      </c>
      <c r="B22" s="65"/>
      <c r="C22" s="65"/>
      <c r="D22" s="30"/>
      <c r="E22" s="145"/>
      <c r="F22" s="146"/>
      <c r="G22" s="30"/>
      <c r="H22" s="35"/>
      <c r="I22" s="35"/>
      <c r="J22" s="35"/>
      <c r="K22" s="35"/>
      <c r="L22" s="36"/>
      <c r="M22" s="35"/>
      <c r="N22" s="35"/>
      <c r="O22" s="133"/>
      <c r="P22" s="133"/>
      <c r="Q22" s="133"/>
      <c r="R22" s="137"/>
      <c r="S22" s="137"/>
      <c r="T22" s="137"/>
      <c r="U22" s="137"/>
      <c r="V22" s="137"/>
      <c r="W22" s="137"/>
      <c r="X22" s="137"/>
    </row>
    <row r="23" spans="1:24" s="38" customFormat="1" x14ac:dyDescent="0.2">
      <c r="A23" s="149">
        <v>19</v>
      </c>
      <c r="B23" s="65"/>
      <c r="C23" s="65"/>
      <c r="D23" s="30"/>
      <c r="E23" s="145"/>
      <c r="F23" s="146"/>
      <c r="G23" s="30"/>
      <c r="H23" s="35"/>
      <c r="I23" s="35"/>
      <c r="J23" s="35"/>
      <c r="K23" s="35"/>
      <c r="L23" s="36"/>
      <c r="M23" s="35"/>
      <c r="N23" s="35"/>
      <c r="O23" s="133"/>
      <c r="P23" s="133"/>
      <c r="Q23" s="133"/>
      <c r="R23" s="137"/>
      <c r="S23" s="137"/>
      <c r="T23" s="137"/>
      <c r="U23" s="137"/>
      <c r="V23" s="137"/>
      <c r="W23" s="137"/>
      <c r="X23" s="137"/>
    </row>
    <row r="24" spans="1:24" s="38" customFormat="1" x14ac:dyDescent="0.2">
      <c r="A24" s="149">
        <v>20</v>
      </c>
      <c r="B24" s="65"/>
      <c r="C24" s="65"/>
      <c r="D24" s="30"/>
      <c r="E24" s="145"/>
      <c r="F24" s="146"/>
      <c r="G24" s="30"/>
      <c r="H24" s="35"/>
      <c r="I24" s="35"/>
      <c r="J24" s="35"/>
      <c r="K24" s="35"/>
      <c r="L24" s="36"/>
      <c r="M24" s="35"/>
      <c r="N24" s="35"/>
      <c r="O24" s="133"/>
      <c r="P24" s="133"/>
      <c r="Q24" s="133"/>
      <c r="R24" s="137"/>
      <c r="S24" s="137"/>
      <c r="T24" s="137"/>
      <c r="U24" s="137"/>
      <c r="V24" s="137"/>
      <c r="W24" s="137"/>
      <c r="X24" s="137"/>
    </row>
    <row r="25" spans="1:24" s="38" customFormat="1" x14ac:dyDescent="0.2">
      <c r="A25" s="149">
        <v>21</v>
      </c>
      <c r="B25" s="65"/>
      <c r="C25" s="65"/>
      <c r="D25" s="30"/>
      <c r="E25" s="145"/>
      <c r="F25" s="146"/>
      <c r="G25" s="30"/>
      <c r="H25" s="35"/>
      <c r="I25" s="35"/>
      <c r="J25" s="35"/>
      <c r="K25" s="35"/>
      <c r="L25" s="36"/>
      <c r="M25" s="35"/>
      <c r="N25" s="35"/>
      <c r="O25" s="133"/>
      <c r="P25" s="133"/>
      <c r="Q25" s="133"/>
      <c r="R25" s="137"/>
      <c r="S25" s="137"/>
      <c r="T25" s="137"/>
      <c r="U25" s="137"/>
      <c r="V25" s="137"/>
      <c r="W25" s="137"/>
      <c r="X25" s="137"/>
    </row>
    <row r="26" spans="1:24" s="38" customFormat="1" x14ac:dyDescent="0.2">
      <c r="A26" s="149">
        <v>22</v>
      </c>
      <c r="B26" s="65"/>
      <c r="C26" s="65"/>
      <c r="D26" s="30"/>
      <c r="E26" s="145"/>
      <c r="F26" s="146"/>
      <c r="G26" s="30"/>
      <c r="H26" s="35"/>
      <c r="I26" s="35"/>
      <c r="J26" s="35"/>
      <c r="K26" s="35"/>
      <c r="L26" s="36"/>
      <c r="M26" s="35"/>
      <c r="N26" s="35"/>
      <c r="O26" s="133"/>
      <c r="P26" s="133"/>
      <c r="Q26" s="133"/>
      <c r="R26" s="137"/>
      <c r="S26" s="137"/>
      <c r="T26" s="137"/>
      <c r="U26" s="137"/>
      <c r="V26" s="137"/>
      <c r="W26" s="137"/>
      <c r="X26" s="137"/>
    </row>
    <row r="27" spans="1:24" s="38" customFormat="1" x14ac:dyDescent="0.2">
      <c r="A27" s="149">
        <v>23</v>
      </c>
      <c r="B27" s="65"/>
      <c r="C27" s="65"/>
      <c r="D27" s="30"/>
      <c r="E27" s="145"/>
      <c r="F27" s="146"/>
      <c r="G27" s="30"/>
      <c r="H27" s="35"/>
      <c r="I27" s="35"/>
      <c r="J27" s="35"/>
      <c r="K27" s="35"/>
      <c r="L27" s="36"/>
      <c r="M27" s="35"/>
      <c r="N27" s="35"/>
      <c r="O27" s="133"/>
      <c r="P27" s="133"/>
      <c r="Q27" s="133"/>
      <c r="R27" s="137"/>
      <c r="S27" s="137"/>
      <c r="T27" s="137"/>
      <c r="U27" s="137"/>
      <c r="V27" s="137"/>
      <c r="W27" s="137"/>
      <c r="X27" s="137"/>
    </row>
    <row r="28" spans="1:24" s="38" customFormat="1" x14ac:dyDescent="0.2">
      <c r="A28" s="149">
        <v>24</v>
      </c>
      <c r="B28" s="65"/>
      <c r="C28" s="65"/>
      <c r="D28" s="30"/>
      <c r="E28" s="145"/>
      <c r="F28" s="146"/>
      <c r="G28" s="30"/>
      <c r="H28" s="35"/>
      <c r="I28" s="35"/>
      <c r="J28" s="35"/>
      <c r="K28" s="35"/>
      <c r="L28" s="36"/>
      <c r="M28" s="35"/>
      <c r="N28" s="35"/>
      <c r="O28" s="133"/>
      <c r="P28" s="133"/>
      <c r="Q28" s="133"/>
      <c r="R28" s="137"/>
      <c r="S28" s="137"/>
      <c r="T28" s="137"/>
      <c r="U28" s="137"/>
      <c r="V28" s="137"/>
      <c r="W28" s="137"/>
      <c r="X28" s="137"/>
    </row>
    <row r="29" spans="1:24" s="38" customFormat="1" x14ac:dyDescent="0.2">
      <c r="A29" s="149">
        <v>25</v>
      </c>
      <c r="B29" s="65"/>
      <c r="C29" s="65"/>
      <c r="D29" s="30"/>
      <c r="E29" s="145"/>
      <c r="F29" s="146"/>
      <c r="G29" s="30"/>
      <c r="H29" s="35"/>
      <c r="I29" s="35"/>
      <c r="J29" s="35"/>
      <c r="K29" s="35"/>
      <c r="L29" s="36"/>
      <c r="M29" s="35"/>
      <c r="N29" s="35"/>
      <c r="O29" s="133"/>
      <c r="P29" s="133"/>
      <c r="Q29" s="133"/>
      <c r="R29" s="137"/>
      <c r="S29" s="137"/>
      <c r="T29" s="137"/>
      <c r="U29" s="137"/>
      <c r="V29" s="137"/>
      <c r="W29" s="137"/>
      <c r="X29" s="137"/>
    </row>
    <row r="30" spans="1:24" s="38" customFormat="1" x14ac:dyDescent="0.2">
      <c r="A30" s="149">
        <v>26</v>
      </c>
      <c r="B30" s="65"/>
      <c r="C30" s="65"/>
      <c r="D30" s="30"/>
      <c r="E30" s="145"/>
      <c r="F30" s="146"/>
      <c r="G30" s="30"/>
      <c r="H30" s="35"/>
      <c r="I30" s="35"/>
      <c r="J30" s="35"/>
      <c r="K30" s="35"/>
      <c r="L30" s="36"/>
      <c r="M30" s="35"/>
      <c r="N30" s="35"/>
      <c r="O30" s="133"/>
      <c r="P30" s="133"/>
      <c r="Q30" s="133"/>
      <c r="R30" s="137"/>
      <c r="S30" s="137"/>
      <c r="T30" s="137"/>
      <c r="U30" s="137"/>
      <c r="V30" s="137"/>
      <c r="W30" s="137"/>
      <c r="X30" s="137"/>
    </row>
    <row r="31" spans="1:24" s="38" customFormat="1" x14ac:dyDescent="0.2">
      <c r="A31" s="149">
        <v>27</v>
      </c>
      <c r="B31" s="65"/>
      <c r="C31" s="65"/>
      <c r="D31" s="30"/>
      <c r="E31" s="145"/>
      <c r="F31" s="146"/>
      <c r="G31" s="30"/>
      <c r="H31" s="35"/>
      <c r="I31" s="35"/>
      <c r="J31" s="35"/>
      <c r="K31" s="35"/>
      <c r="L31" s="36"/>
      <c r="M31" s="35"/>
      <c r="N31" s="35"/>
      <c r="O31" s="133"/>
      <c r="P31" s="133"/>
      <c r="Q31" s="133"/>
      <c r="R31" s="137"/>
      <c r="S31" s="137"/>
      <c r="T31" s="137"/>
      <c r="U31" s="137"/>
      <c r="V31" s="137"/>
      <c r="W31" s="137"/>
      <c r="X31" s="137"/>
    </row>
    <row r="32" spans="1:24" s="38" customFormat="1" x14ac:dyDescent="0.2">
      <c r="A32" s="149">
        <v>28</v>
      </c>
      <c r="B32" s="65"/>
      <c r="C32" s="65"/>
      <c r="D32" s="30"/>
      <c r="E32" s="145"/>
      <c r="F32" s="146"/>
      <c r="G32" s="30"/>
      <c r="H32" s="35"/>
      <c r="I32" s="35"/>
      <c r="J32" s="35"/>
      <c r="K32" s="35"/>
      <c r="L32" s="36"/>
      <c r="M32" s="35"/>
      <c r="N32" s="35"/>
      <c r="O32" s="133"/>
      <c r="P32" s="133"/>
      <c r="Q32" s="133"/>
      <c r="R32" s="137"/>
      <c r="S32" s="137"/>
      <c r="T32" s="137"/>
      <c r="U32" s="137"/>
      <c r="V32" s="137"/>
      <c r="W32" s="137"/>
      <c r="X32" s="137"/>
    </row>
    <row r="33" spans="1:24" s="38" customFormat="1" x14ac:dyDescent="0.2">
      <c r="A33" s="149">
        <v>29</v>
      </c>
      <c r="B33" s="65"/>
      <c r="C33" s="65"/>
      <c r="D33" s="30"/>
      <c r="E33" s="145"/>
      <c r="F33" s="146"/>
      <c r="G33" s="30"/>
      <c r="H33" s="35"/>
      <c r="I33" s="35"/>
      <c r="J33" s="35"/>
      <c r="K33" s="35"/>
      <c r="L33" s="36"/>
      <c r="M33" s="35"/>
      <c r="N33" s="35"/>
      <c r="O33" s="133"/>
      <c r="P33" s="133"/>
      <c r="Q33" s="133"/>
      <c r="R33" s="137"/>
      <c r="S33" s="137"/>
      <c r="T33" s="137"/>
      <c r="U33" s="137"/>
      <c r="V33" s="137"/>
      <c r="W33" s="137"/>
      <c r="X33" s="137"/>
    </row>
    <row r="34" spans="1:24" s="38" customFormat="1" x14ac:dyDescent="0.2">
      <c r="A34" s="149">
        <v>30</v>
      </c>
      <c r="B34" s="65"/>
      <c r="C34" s="65"/>
      <c r="D34" s="30"/>
      <c r="E34" s="145"/>
      <c r="F34" s="146"/>
      <c r="G34" s="30"/>
      <c r="H34" s="35"/>
      <c r="I34" s="35"/>
      <c r="J34" s="35"/>
      <c r="K34" s="35"/>
      <c r="L34" s="36"/>
      <c r="M34" s="35"/>
      <c r="N34" s="35"/>
      <c r="O34" s="133"/>
      <c r="P34" s="133"/>
      <c r="Q34" s="133"/>
      <c r="R34" s="137"/>
      <c r="S34" s="137"/>
      <c r="T34" s="137"/>
      <c r="U34" s="137"/>
      <c r="V34" s="137"/>
      <c r="W34" s="137"/>
      <c r="X34" s="137"/>
    </row>
    <row r="35" spans="1:24" s="38" customFormat="1" x14ac:dyDescent="0.2">
      <c r="A35" s="149">
        <v>31</v>
      </c>
      <c r="B35" s="65"/>
      <c r="C35" s="65"/>
      <c r="D35" s="30"/>
      <c r="E35" s="145"/>
      <c r="F35" s="146"/>
      <c r="G35" s="30"/>
      <c r="H35" s="35"/>
      <c r="I35" s="35"/>
      <c r="J35" s="35"/>
      <c r="K35" s="35"/>
      <c r="L35" s="36"/>
      <c r="M35" s="35"/>
      <c r="N35" s="35"/>
      <c r="O35" s="133"/>
      <c r="P35" s="133"/>
      <c r="Q35" s="133"/>
      <c r="R35" s="137"/>
      <c r="S35" s="137"/>
      <c r="T35" s="137"/>
      <c r="U35" s="137"/>
      <c r="V35" s="137"/>
      <c r="W35" s="137"/>
      <c r="X35" s="137"/>
    </row>
    <row r="36" spans="1:24" s="38" customFormat="1" x14ac:dyDescent="0.2">
      <c r="A36" s="149">
        <v>32</v>
      </c>
      <c r="B36" s="65"/>
      <c r="C36" s="65"/>
      <c r="D36" s="30"/>
      <c r="E36" s="145"/>
      <c r="F36" s="146"/>
      <c r="G36" s="30"/>
      <c r="H36" s="35"/>
      <c r="I36" s="35"/>
      <c r="J36" s="35"/>
      <c r="K36" s="35"/>
      <c r="L36" s="36"/>
      <c r="M36" s="35"/>
      <c r="N36" s="35"/>
      <c r="O36" s="133"/>
      <c r="P36" s="133"/>
      <c r="Q36" s="133"/>
      <c r="R36" s="137"/>
      <c r="S36" s="137"/>
      <c r="T36" s="137"/>
      <c r="U36" s="137"/>
      <c r="V36" s="137"/>
      <c r="W36" s="137"/>
      <c r="X36" s="137"/>
    </row>
    <row r="37" spans="1:24" s="38" customFormat="1" x14ac:dyDescent="0.2">
      <c r="A37" s="149">
        <v>33</v>
      </c>
      <c r="B37" s="65"/>
      <c r="C37" s="65"/>
      <c r="D37" s="30"/>
      <c r="E37" s="145"/>
      <c r="F37" s="146"/>
      <c r="G37" s="30"/>
      <c r="H37" s="35"/>
      <c r="I37" s="35"/>
      <c r="J37" s="35"/>
      <c r="K37" s="35"/>
      <c r="L37" s="36"/>
      <c r="M37" s="35"/>
      <c r="N37" s="35"/>
      <c r="O37" s="133"/>
      <c r="P37" s="133"/>
      <c r="Q37" s="133"/>
      <c r="R37" s="137"/>
      <c r="S37" s="137"/>
      <c r="T37" s="137"/>
      <c r="U37" s="137"/>
      <c r="V37" s="137"/>
      <c r="W37" s="137"/>
      <c r="X37" s="137"/>
    </row>
    <row r="38" spans="1:24" s="38" customFormat="1" x14ac:dyDescent="0.2">
      <c r="A38" s="149">
        <v>34</v>
      </c>
      <c r="B38" s="65"/>
      <c r="C38" s="65"/>
      <c r="D38" s="30"/>
      <c r="E38" s="145"/>
      <c r="F38" s="146"/>
      <c r="G38" s="30"/>
      <c r="H38" s="35"/>
      <c r="I38" s="35"/>
      <c r="J38" s="35"/>
      <c r="K38" s="35"/>
      <c r="L38" s="36"/>
      <c r="M38" s="35"/>
      <c r="N38" s="35"/>
      <c r="O38" s="133"/>
      <c r="P38" s="133"/>
      <c r="Q38" s="133"/>
      <c r="R38" s="137"/>
      <c r="S38" s="137"/>
      <c r="T38" s="137"/>
      <c r="U38" s="137"/>
      <c r="V38" s="137"/>
      <c r="W38" s="137"/>
      <c r="X38" s="137"/>
    </row>
    <row r="39" spans="1:24" s="38" customFormat="1" x14ac:dyDescent="0.2">
      <c r="A39" s="149">
        <v>35</v>
      </c>
      <c r="B39" s="65"/>
      <c r="C39" s="65"/>
      <c r="D39" s="30"/>
      <c r="E39" s="145"/>
      <c r="F39" s="146"/>
      <c r="G39" s="30"/>
      <c r="H39" s="35"/>
      <c r="I39" s="35"/>
      <c r="J39" s="35"/>
      <c r="K39" s="35"/>
      <c r="L39" s="36"/>
      <c r="M39" s="35"/>
      <c r="N39" s="35"/>
      <c r="O39" s="133"/>
      <c r="P39" s="133"/>
      <c r="Q39" s="133"/>
      <c r="R39" s="137"/>
      <c r="S39" s="137"/>
      <c r="T39" s="137"/>
      <c r="U39" s="137"/>
      <c r="V39" s="137"/>
      <c r="W39" s="137"/>
      <c r="X39" s="137"/>
    </row>
    <row r="40" spans="1:24" s="38" customFormat="1" x14ac:dyDescent="0.2">
      <c r="A40" s="149">
        <v>36</v>
      </c>
      <c r="B40" s="65"/>
      <c r="C40" s="65"/>
      <c r="D40" s="30"/>
      <c r="E40" s="145"/>
      <c r="F40" s="146"/>
      <c r="G40" s="30"/>
      <c r="H40" s="35"/>
      <c r="I40" s="35"/>
      <c r="J40" s="35"/>
      <c r="K40" s="35"/>
      <c r="L40" s="36"/>
      <c r="M40" s="35"/>
      <c r="N40" s="35"/>
      <c r="O40" s="133"/>
      <c r="P40" s="133"/>
      <c r="Q40" s="133"/>
      <c r="R40" s="137"/>
      <c r="S40" s="137"/>
      <c r="T40" s="137"/>
      <c r="U40" s="137"/>
      <c r="V40" s="137"/>
      <c r="W40" s="137"/>
      <c r="X40" s="137"/>
    </row>
    <row r="41" spans="1:24" s="38" customFormat="1" x14ac:dyDescent="0.2">
      <c r="A41" s="149">
        <v>37</v>
      </c>
      <c r="B41" s="65"/>
      <c r="C41" s="65"/>
      <c r="D41" s="30"/>
      <c r="E41" s="145"/>
      <c r="F41" s="146"/>
      <c r="G41" s="30"/>
      <c r="H41" s="35"/>
      <c r="I41" s="35"/>
      <c r="J41" s="35"/>
      <c r="K41" s="35"/>
      <c r="L41" s="36"/>
      <c r="M41" s="35"/>
      <c r="N41" s="35"/>
      <c r="O41" s="133"/>
      <c r="P41" s="133"/>
      <c r="Q41" s="133"/>
      <c r="R41" s="137"/>
      <c r="S41" s="137"/>
      <c r="T41" s="137"/>
      <c r="U41" s="137"/>
      <c r="V41" s="137"/>
      <c r="W41" s="137"/>
      <c r="X41" s="137"/>
    </row>
    <row r="42" spans="1:24" s="38" customFormat="1" x14ac:dyDescent="0.2">
      <c r="A42" s="149">
        <v>38</v>
      </c>
      <c r="B42" s="65"/>
      <c r="C42" s="65"/>
      <c r="D42" s="30"/>
      <c r="E42" s="145"/>
      <c r="F42" s="146"/>
      <c r="G42" s="30"/>
      <c r="H42" s="35"/>
      <c r="I42" s="35"/>
      <c r="J42" s="35"/>
      <c r="K42" s="35"/>
      <c r="L42" s="36"/>
      <c r="M42" s="35"/>
      <c r="N42" s="35"/>
      <c r="O42" s="133"/>
      <c r="P42" s="133"/>
      <c r="Q42" s="133"/>
      <c r="R42" s="137"/>
      <c r="S42" s="137"/>
      <c r="T42" s="137"/>
      <c r="U42" s="137"/>
      <c r="V42" s="137"/>
      <c r="W42" s="137"/>
      <c r="X42" s="137"/>
    </row>
    <row r="43" spans="1:24" s="38" customFormat="1" x14ac:dyDescent="0.2">
      <c r="A43" s="149">
        <v>39</v>
      </c>
      <c r="B43" s="65"/>
      <c r="C43" s="65"/>
      <c r="D43" s="30"/>
      <c r="E43" s="145"/>
      <c r="F43" s="146"/>
      <c r="G43" s="30"/>
      <c r="H43" s="35"/>
      <c r="I43" s="35"/>
      <c r="J43" s="35"/>
      <c r="K43" s="35"/>
      <c r="L43" s="36"/>
      <c r="M43" s="35"/>
      <c r="N43" s="35"/>
      <c r="O43" s="133"/>
      <c r="P43" s="133"/>
      <c r="Q43" s="133"/>
      <c r="R43" s="137"/>
      <c r="S43" s="137"/>
      <c r="T43" s="137"/>
      <c r="U43" s="137"/>
      <c r="V43" s="137"/>
      <c r="W43" s="137"/>
      <c r="X43" s="137"/>
    </row>
    <row r="44" spans="1:24" s="38" customFormat="1" x14ac:dyDescent="0.2">
      <c r="A44" s="149">
        <v>40</v>
      </c>
      <c r="B44" s="65"/>
      <c r="C44" s="65"/>
      <c r="D44" s="30"/>
      <c r="E44" s="145"/>
      <c r="F44" s="146"/>
      <c r="G44" s="30"/>
      <c r="H44" s="35"/>
      <c r="I44" s="35"/>
      <c r="J44" s="35"/>
      <c r="K44" s="35"/>
      <c r="L44" s="36"/>
      <c r="M44" s="35"/>
      <c r="N44" s="35"/>
      <c r="O44" s="133"/>
      <c r="P44" s="133"/>
      <c r="Q44" s="133"/>
      <c r="R44" s="137"/>
      <c r="S44" s="137"/>
      <c r="T44" s="137"/>
      <c r="U44" s="137"/>
      <c r="V44" s="137"/>
      <c r="W44" s="137"/>
      <c r="X44" s="137"/>
    </row>
    <row r="45" spans="1:24" s="38" customFormat="1" x14ac:dyDescent="0.2">
      <c r="A45" s="149">
        <v>41</v>
      </c>
      <c r="B45" s="65"/>
      <c r="C45" s="65"/>
      <c r="D45" s="30"/>
      <c r="E45" s="145"/>
      <c r="F45" s="146"/>
      <c r="G45" s="30"/>
      <c r="H45" s="35"/>
      <c r="I45" s="35"/>
      <c r="J45" s="35"/>
      <c r="K45" s="35"/>
      <c r="L45" s="36"/>
      <c r="M45" s="35"/>
      <c r="N45" s="35"/>
      <c r="O45" s="133"/>
      <c r="P45" s="133"/>
      <c r="Q45" s="133"/>
      <c r="R45" s="137"/>
      <c r="S45" s="137"/>
      <c r="T45" s="137"/>
      <c r="U45" s="137"/>
      <c r="V45" s="137"/>
      <c r="W45" s="137"/>
      <c r="X45" s="137"/>
    </row>
    <row r="46" spans="1:24" s="38" customFormat="1" x14ac:dyDescent="0.2">
      <c r="A46" s="149">
        <v>42</v>
      </c>
      <c r="B46" s="65"/>
      <c r="C46" s="65"/>
      <c r="D46" s="30"/>
      <c r="E46" s="145"/>
      <c r="F46" s="146"/>
      <c r="G46" s="30"/>
      <c r="H46" s="35"/>
      <c r="I46" s="35"/>
      <c r="J46" s="35"/>
      <c r="K46" s="35"/>
      <c r="L46" s="36"/>
      <c r="M46" s="35"/>
      <c r="N46" s="35"/>
      <c r="O46" s="133"/>
      <c r="P46" s="133"/>
      <c r="Q46" s="133"/>
      <c r="R46" s="137"/>
      <c r="S46" s="137"/>
      <c r="T46" s="137"/>
      <c r="U46" s="137"/>
      <c r="V46" s="137"/>
      <c r="W46" s="137"/>
      <c r="X46" s="137"/>
    </row>
    <row r="47" spans="1:24" s="38" customFormat="1" x14ac:dyDescent="0.2">
      <c r="A47" s="149">
        <v>43</v>
      </c>
      <c r="B47" s="65"/>
      <c r="C47" s="65"/>
      <c r="D47" s="30"/>
      <c r="E47" s="145"/>
      <c r="F47" s="146"/>
      <c r="G47" s="30"/>
      <c r="H47" s="35"/>
      <c r="I47" s="35"/>
      <c r="J47" s="35"/>
      <c r="K47" s="35"/>
      <c r="L47" s="36"/>
      <c r="M47" s="35"/>
      <c r="N47" s="35"/>
      <c r="O47" s="133"/>
      <c r="P47" s="133"/>
      <c r="Q47" s="133"/>
      <c r="R47" s="137"/>
      <c r="S47" s="137"/>
      <c r="T47" s="137"/>
      <c r="U47" s="137"/>
      <c r="V47" s="137"/>
      <c r="W47" s="137"/>
      <c r="X47" s="137"/>
    </row>
    <row r="48" spans="1:24" s="38" customFormat="1" x14ac:dyDescent="0.2">
      <c r="A48" s="149">
        <v>44</v>
      </c>
      <c r="B48" s="65"/>
      <c r="C48" s="65"/>
      <c r="D48" s="30"/>
      <c r="E48" s="145"/>
      <c r="F48" s="146"/>
      <c r="G48" s="30"/>
      <c r="H48" s="35"/>
      <c r="I48" s="35"/>
      <c r="J48" s="35"/>
      <c r="K48" s="35"/>
      <c r="L48" s="36"/>
      <c r="M48" s="35"/>
      <c r="N48" s="35"/>
      <c r="O48" s="133"/>
      <c r="P48" s="133"/>
      <c r="Q48" s="133"/>
      <c r="R48" s="137"/>
      <c r="S48" s="137"/>
      <c r="T48" s="137"/>
      <c r="U48" s="137"/>
      <c r="V48" s="137"/>
      <c r="W48" s="137"/>
      <c r="X48" s="137"/>
    </row>
    <row r="49" spans="1:24" s="38" customFormat="1" x14ac:dyDescent="0.2">
      <c r="A49" s="149">
        <v>45</v>
      </c>
      <c r="B49" s="65"/>
      <c r="C49" s="65"/>
      <c r="D49" s="30"/>
      <c r="E49" s="145"/>
      <c r="F49" s="146"/>
      <c r="G49" s="30"/>
      <c r="H49" s="35"/>
      <c r="I49" s="35"/>
      <c r="J49" s="35"/>
      <c r="K49" s="35"/>
      <c r="L49" s="36"/>
      <c r="M49" s="35"/>
      <c r="N49" s="35"/>
      <c r="O49" s="133"/>
      <c r="P49" s="133"/>
      <c r="Q49" s="133"/>
      <c r="R49" s="137"/>
      <c r="S49" s="137"/>
      <c r="T49" s="137"/>
      <c r="U49" s="137"/>
      <c r="V49" s="137"/>
      <c r="W49" s="137"/>
      <c r="X49" s="137"/>
    </row>
    <row r="50" spans="1:24" s="38" customFormat="1" x14ac:dyDescent="0.2">
      <c r="A50" s="149">
        <v>46</v>
      </c>
      <c r="B50" s="65"/>
      <c r="C50" s="65"/>
      <c r="D50" s="30"/>
      <c r="E50" s="145"/>
      <c r="F50" s="146"/>
      <c r="G50" s="30"/>
      <c r="H50" s="35"/>
      <c r="I50" s="35"/>
      <c r="J50" s="35"/>
      <c r="K50" s="35"/>
      <c r="L50" s="36"/>
      <c r="M50" s="35"/>
      <c r="N50" s="35"/>
      <c r="O50" s="133"/>
      <c r="P50" s="133"/>
      <c r="Q50" s="133"/>
      <c r="R50" s="137"/>
      <c r="S50" s="137"/>
      <c r="T50" s="137"/>
      <c r="U50" s="137"/>
      <c r="V50" s="137"/>
      <c r="W50" s="137"/>
      <c r="X50" s="137"/>
    </row>
    <row r="51" spans="1:24" s="38" customFormat="1" x14ac:dyDescent="0.2">
      <c r="A51" s="149">
        <v>47</v>
      </c>
      <c r="B51" s="65"/>
      <c r="C51" s="65"/>
      <c r="D51" s="30"/>
      <c r="E51" s="145"/>
      <c r="F51" s="146"/>
      <c r="G51" s="30"/>
      <c r="H51" s="35"/>
      <c r="I51" s="35"/>
      <c r="J51" s="35"/>
      <c r="K51" s="35"/>
      <c r="L51" s="36"/>
      <c r="M51" s="35"/>
      <c r="N51" s="35"/>
      <c r="O51" s="133"/>
      <c r="P51" s="133"/>
      <c r="Q51" s="133"/>
      <c r="R51" s="137"/>
      <c r="S51" s="137"/>
      <c r="T51" s="137"/>
      <c r="U51" s="137"/>
      <c r="V51" s="137"/>
      <c r="W51" s="137"/>
      <c r="X51" s="137"/>
    </row>
    <row r="52" spans="1:24" s="38" customFormat="1" x14ac:dyDescent="0.2">
      <c r="A52" s="149">
        <v>48</v>
      </c>
      <c r="B52" s="65"/>
      <c r="C52" s="65"/>
      <c r="D52" s="30"/>
      <c r="E52" s="145"/>
      <c r="F52" s="146"/>
      <c r="G52" s="30"/>
      <c r="H52" s="35"/>
      <c r="I52" s="35"/>
      <c r="J52" s="35"/>
      <c r="K52" s="35"/>
      <c r="L52" s="36"/>
      <c r="M52" s="35"/>
      <c r="N52" s="35"/>
      <c r="O52" s="133"/>
      <c r="P52" s="133"/>
      <c r="Q52" s="133"/>
      <c r="R52" s="137"/>
      <c r="S52" s="137"/>
      <c r="T52" s="137"/>
      <c r="U52" s="137"/>
      <c r="V52" s="137"/>
      <c r="W52" s="137"/>
      <c r="X52" s="137"/>
    </row>
    <row r="53" spans="1:24" s="38" customFormat="1" x14ac:dyDescent="0.2">
      <c r="A53" s="149">
        <v>49</v>
      </c>
      <c r="B53" s="65"/>
      <c r="C53" s="65"/>
      <c r="D53" s="30"/>
      <c r="E53" s="145"/>
      <c r="F53" s="146"/>
      <c r="G53" s="30"/>
      <c r="H53" s="35"/>
      <c r="I53" s="35"/>
      <c r="J53" s="35"/>
      <c r="K53" s="35"/>
      <c r="L53" s="36"/>
      <c r="M53" s="35"/>
      <c r="N53" s="35"/>
      <c r="O53" s="133"/>
      <c r="P53" s="133"/>
      <c r="Q53" s="133"/>
      <c r="R53" s="137"/>
      <c r="S53" s="137"/>
      <c r="T53" s="137"/>
      <c r="U53" s="137"/>
      <c r="V53" s="137"/>
      <c r="W53" s="137"/>
      <c r="X53" s="137"/>
    </row>
    <row r="54" spans="1:24" s="38" customFormat="1" x14ac:dyDescent="0.2">
      <c r="A54" s="149">
        <v>50</v>
      </c>
      <c r="B54" s="65"/>
      <c r="C54" s="65"/>
      <c r="D54" s="30"/>
      <c r="E54" s="145"/>
      <c r="F54" s="146"/>
      <c r="G54" s="30"/>
      <c r="H54" s="35"/>
      <c r="I54" s="35"/>
      <c r="J54" s="35"/>
      <c r="K54" s="35"/>
      <c r="L54" s="36"/>
      <c r="M54" s="35"/>
      <c r="N54" s="35"/>
      <c r="O54" s="133"/>
      <c r="P54" s="133"/>
      <c r="Q54" s="133"/>
      <c r="R54" s="137"/>
      <c r="S54" s="137"/>
      <c r="T54" s="137"/>
      <c r="U54" s="137"/>
      <c r="V54" s="137"/>
      <c r="W54" s="137"/>
      <c r="X54" s="137"/>
    </row>
    <row r="55" spans="1:24" s="38" customFormat="1" x14ac:dyDescent="0.2">
      <c r="A55" s="149">
        <v>51</v>
      </c>
      <c r="B55" s="65"/>
      <c r="C55" s="65"/>
      <c r="D55" s="30"/>
      <c r="E55" s="145"/>
      <c r="F55" s="146"/>
      <c r="G55" s="30"/>
      <c r="H55" s="35"/>
      <c r="I55" s="35"/>
      <c r="J55" s="35"/>
      <c r="K55" s="35"/>
      <c r="L55" s="36"/>
      <c r="M55" s="35"/>
      <c r="N55" s="35"/>
      <c r="O55" s="133"/>
      <c r="P55" s="133"/>
      <c r="Q55" s="133"/>
      <c r="R55" s="137"/>
      <c r="S55" s="137"/>
      <c r="T55" s="137"/>
      <c r="U55" s="137"/>
      <c r="V55" s="137"/>
      <c r="W55" s="137"/>
      <c r="X55" s="137"/>
    </row>
    <row r="56" spans="1:24" s="38" customFormat="1" x14ac:dyDescent="0.2">
      <c r="A56" s="149">
        <v>52</v>
      </c>
      <c r="B56" s="65"/>
      <c r="C56" s="65"/>
      <c r="D56" s="99"/>
      <c r="E56" s="145"/>
      <c r="F56" s="146"/>
      <c r="G56" s="30"/>
      <c r="H56" s="35"/>
      <c r="I56" s="35"/>
      <c r="J56" s="35"/>
      <c r="K56" s="35"/>
      <c r="L56" s="36"/>
      <c r="M56" s="35"/>
      <c r="N56" s="35"/>
      <c r="O56" s="133"/>
      <c r="P56" s="133"/>
      <c r="Q56" s="133"/>
      <c r="R56" s="137"/>
      <c r="S56" s="137"/>
      <c r="T56" s="137"/>
      <c r="U56" s="137"/>
      <c r="V56" s="137"/>
      <c r="W56" s="137"/>
      <c r="X56" s="137"/>
    </row>
    <row r="57" spans="1:24" s="38" customFormat="1" x14ac:dyDescent="0.2">
      <c r="A57" s="149">
        <v>53</v>
      </c>
      <c r="B57" s="65"/>
      <c r="C57" s="65"/>
      <c r="D57" s="30"/>
      <c r="E57" s="145"/>
      <c r="F57" s="146"/>
      <c r="G57" s="30"/>
      <c r="H57" s="35"/>
      <c r="I57" s="35"/>
      <c r="J57" s="35"/>
      <c r="K57" s="35"/>
      <c r="L57" s="36"/>
      <c r="M57" s="35"/>
      <c r="N57" s="35"/>
      <c r="O57" s="133"/>
      <c r="P57" s="133"/>
      <c r="Q57" s="133"/>
      <c r="R57" s="137"/>
      <c r="S57" s="137"/>
      <c r="T57" s="137"/>
      <c r="U57" s="137"/>
      <c r="V57" s="137"/>
      <c r="W57" s="137"/>
      <c r="X57" s="137"/>
    </row>
    <row r="58" spans="1:24" s="38" customFormat="1" x14ac:dyDescent="0.2">
      <c r="A58" s="149">
        <v>54</v>
      </c>
      <c r="B58" s="65"/>
      <c r="C58" s="65"/>
      <c r="D58" s="99"/>
      <c r="E58" s="145"/>
      <c r="F58" s="146"/>
      <c r="G58" s="30"/>
      <c r="H58" s="35"/>
      <c r="I58" s="35"/>
      <c r="J58" s="35"/>
      <c r="K58" s="35"/>
      <c r="L58" s="36"/>
      <c r="M58" s="35"/>
      <c r="N58" s="35"/>
      <c r="O58" s="133"/>
      <c r="P58" s="133"/>
      <c r="Q58" s="133"/>
      <c r="R58" s="137"/>
      <c r="S58" s="137"/>
      <c r="T58" s="137"/>
      <c r="U58" s="137"/>
      <c r="V58" s="137"/>
      <c r="W58" s="137"/>
      <c r="X58" s="137"/>
    </row>
    <row r="59" spans="1:24" s="38" customFormat="1" x14ac:dyDescent="0.2">
      <c r="A59" s="149">
        <v>55</v>
      </c>
      <c r="B59" s="65"/>
      <c r="C59" s="65"/>
      <c r="D59" s="30"/>
      <c r="E59" s="145"/>
      <c r="F59" s="146"/>
      <c r="G59" s="30"/>
      <c r="H59" s="35"/>
      <c r="I59" s="35"/>
      <c r="J59" s="35"/>
      <c r="K59" s="35"/>
      <c r="L59" s="36"/>
      <c r="M59" s="35"/>
      <c r="N59" s="35"/>
      <c r="O59" s="133"/>
      <c r="P59" s="133"/>
      <c r="Q59" s="133"/>
      <c r="R59" s="137"/>
      <c r="S59" s="137"/>
      <c r="T59" s="137"/>
      <c r="U59" s="137"/>
      <c r="V59" s="137"/>
      <c r="W59" s="137"/>
      <c r="X59" s="137"/>
    </row>
    <row r="60" spans="1:24" s="38" customFormat="1" x14ac:dyDescent="0.2">
      <c r="A60" s="149">
        <v>56</v>
      </c>
      <c r="B60" s="65"/>
      <c r="C60" s="65"/>
      <c r="D60" s="30"/>
      <c r="E60" s="145"/>
      <c r="F60" s="146"/>
      <c r="G60" s="30"/>
      <c r="H60" s="35"/>
      <c r="I60" s="35"/>
      <c r="J60" s="35"/>
      <c r="K60" s="35"/>
      <c r="L60" s="36"/>
      <c r="M60" s="35"/>
      <c r="N60" s="35"/>
      <c r="O60" s="133"/>
      <c r="P60" s="133"/>
      <c r="Q60" s="133"/>
      <c r="R60" s="137"/>
      <c r="S60" s="137"/>
      <c r="T60" s="137"/>
      <c r="U60" s="137"/>
      <c r="V60" s="137"/>
      <c r="W60" s="137"/>
      <c r="X60" s="137"/>
    </row>
    <row r="61" spans="1:24" s="38" customFormat="1" x14ac:dyDescent="0.2">
      <c r="A61" s="149">
        <v>57</v>
      </c>
      <c r="B61" s="65"/>
      <c r="C61" s="65"/>
      <c r="D61" s="30"/>
      <c r="E61" s="145"/>
      <c r="F61" s="146"/>
      <c r="G61" s="30"/>
      <c r="H61" s="35"/>
      <c r="I61" s="35"/>
      <c r="J61" s="35"/>
      <c r="K61" s="35"/>
      <c r="L61" s="36"/>
      <c r="M61" s="35"/>
      <c r="N61" s="35"/>
      <c r="O61" s="133"/>
      <c r="P61" s="133"/>
      <c r="Q61" s="133"/>
      <c r="R61" s="137"/>
      <c r="S61" s="137"/>
      <c r="T61" s="137"/>
      <c r="U61" s="137"/>
      <c r="V61" s="137"/>
      <c r="W61" s="137"/>
      <c r="X61" s="137"/>
    </row>
    <row r="62" spans="1:24" s="38" customFormat="1" x14ac:dyDescent="0.2">
      <c r="A62" s="149">
        <v>58</v>
      </c>
      <c r="B62" s="65"/>
      <c r="C62" s="65"/>
      <c r="D62" s="30"/>
      <c r="E62" s="145"/>
      <c r="F62" s="146"/>
      <c r="G62" s="30"/>
      <c r="H62" s="35"/>
      <c r="I62" s="35"/>
      <c r="J62" s="35"/>
      <c r="K62" s="35"/>
      <c r="L62" s="36"/>
      <c r="M62" s="35"/>
      <c r="N62" s="35"/>
      <c r="O62" s="133"/>
      <c r="P62" s="133"/>
      <c r="Q62" s="133"/>
      <c r="R62" s="137"/>
      <c r="S62" s="137"/>
      <c r="T62" s="137"/>
      <c r="U62" s="137"/>
      <c r="V62" s="137"/>
      <c r="W62" s="137"/>
      <c r="X62" s="137"/>
    </row>
    <row r="63" spans="1:24" s="38" customFormat="1" x14ac:dyDescent="0.2">
      <c r="A63" s="149">
        <v>59</v>
      </c>
      <c r="B63" s="65"/>
      <c r="C63" s="65"/>
      <c r="D63" s="30"/>
      <c r="E63" s="145"/>
      <c r="F63" s="146"/>
      <c r="G63" s="30"/>
      <c r="H63" s="35"/>
      <c r="I63" s="35"/>
      <c r="J63" s="35"/>
      <c r="K63" s="35"/>
      <c r="L63" s="36"/>
      <c r="M63" s="35"/>
      <c r="N63" s="35"/>
      <c r="O63" s="133"/>
      <c r="P63" s="133"/>
      <c r="Q63" s="133"/>
      <c r="R63" s="137"/>
      <c r="S63" s="137"/>
      <c r="T63" s="137"/>
      <c r="U63" s="137"/>
      <c r="V63" s="137"/>
      <c r="W63" s="137"/>
      <c r="X63" s="137"/>
    </row>
    <row r="64" spans="1:24" s="38" customFormat="1" x14ac:dyDescent="0.2">
      <c r="A64" s="149">
        <v>60</v>
      </c>
      <c r="B64" s="65"/>
      <c r="C64" s="65"/>
      <c r="D64" s="30"/>
      <c r="E64" s="145"/>
      <c r="F64" s="146"/>
      <c r="G64" s="30"/>
      <c r="H64" s="35"/>
      <c r="I64" s="35"/>
      <c r="J64" s="35"/>
      <c r="K64" s="35"/>
      <c r="L64" s="36"/>
      <c r="M64" s="35"/>
      <c r="N64" s="35"/>
      <c r="O64" s="133"/>
      <c r="P64" s="133"/>
      <c r="Q64" s="133"/>
      <c r="R64" s="137"/>
      <c r="S64" s="137"/>
      <c r="T64" s="137"/>
      <c r="U64" s="137"/>
      <c r="V64" s="137"/>
      <c r="W64" s="137"/>
      <c r="X64" s="137"/>
    </row>
    <row r="65" spans="1:24" s="38" customFormat="1" x14ac:dyDescent="0.2">
      <c r="A65" s="149">
        <v>61</v>
      </c>
      <c r="B65" s="65"/>
      <c r="C65" s="65"/>
      <c r="D65" s="30"/>
      <c r="E65" s="145"/>
      <c r="F65" s="146"/>
      <c r="G65" s="30"/>
      <c r="H65" s="35"/>
      <c r="I65" s="35"/>
      <c r="J65" s="35"/>
      <c r="K65" s="35"/>
      <c r="L65" s="36"/>
      <c r="M65" s="35"/>
      <c r="N65" s="35"/>
      <c r="O65" s="133"/>
      <c r="P65" s="133"/>
      <c r="Q65" s="133"/>
      <c r="R65" s="137"/>
      <c r="S65" s="137"/>
      <c r="T65" s="137"/>
      <c r="U65" s="137"/>
      <c r="V65" s="137"/>
      <c r="W65" s="137"/>
      <c r="X65" s="137"/>
    </row>
    <row r="66" spans="1:24" s="38" customFormat="1" x14ac:dyDescent="0.2">
      <c r="A66" s="149">
        <v>62</v>
      </c>
      <c r="B66" s="65"/>
      <c r="C66" s="65"/>
      <c r="D66" s="30"/>
      <c r="E66" s="145"/>
      <c r="F66" s="146"/>
      <c r="G66" s="30"/>
      <c r="H66" s="35"/>
      <c r="I66" s="35"/>
      <c r="J66" s="35"/>
      <c r="K66" s="35"/>
      <c r="L66" s="36"/>
      <c r="M66" s="35"/>
      <c r="N66" s="35"/>
      <c r="O66" s="133"/>
      <c r="P66" s="133"/>
      <c r="Q66" s="133"/>
      <c r="R66" s="137"/>
      <c r="S66" s="137"/>
      <c r="T66" s="137"/>
      <c r="U66" s="137"/>
      <c r="V66" s="137"/>
      <c r="W66" s="137"/>
      <c r="X66" s="137"/>
    </row>
    <row r="67" spans="1:24" s="38" customFormat="1" x14ac:dyDescent="0.2">
      <c r="A67" s="149">
        <v>63</v>
      </c>
      <c r="B67" s="65"/>
      <c r="C67" s="65"/>
      <c r="D67" s="30"/>
      <c r="E67" s="145"/>
      <c r="F67" s="146"/>
      <c r="G67" s="30"/>
      <c r="H67" s="35"/>
      <c r="I67" s="35"/>
      <c r="J67" s="35"/>
      <c r="K67" s="35"/>
      <c r="L67" s="36"/>
      <c r="M67" s="35"/>
      <c r="N67" s="35"/>
      <c r="O67" s="133"/>
      <c r="P67" s="133"/>
      <c r="Q67" s="133"/>
      <c r="R67" s="137"/>
      <c r="S67" s="137"/>
      <c r="T67" s="137"/>
      <c r="U67" s="137"/>
      <c r="V67" s="137"/>
      <c r="W67" s="137"/>
      <c r="X67" s="137"/>
    </row>
    <row r="68" spans="1:24" s="38" customFormat="1" x14ac:dyDescent="0.2">
      <c r="A68" s="149">
        <v>64</v>
      </c>
      <c r="B68" s="65"/>
      <c r="C68" s="65"/>
      <c r="D68" s="30"/>
      <c r="E68" s="145"/>
      <c r="F68" s="146"/>
      <c r="G68" s="30"/>
      <c r="H68" s="35"/>
      <c r="I68" s="35"/>
      <c r="J68" s="35"/>
      <c r="K68" s="35"/>
      <c r="L68" s="36"/>
      <c r="M68" s="35"/>
      <c r="N68" s="35"/>
      <c r="O68" s="133"/>
      <c r="P68" s="133"/>
      <c r="Q68" s="133"/>
      <c r="R68" s="137"/>
      <c r="S68" s="137"/>
      <c r="T68" s="137"/>
      <c r="U68" s="137"/>
      <c r="V68" s="137"/>
      <c r="W68" s="137"/>
      <c r="X68" s="137"/>
    </row>
    <row r="69" spans="1:24" s="38" customFormat="1" x14ac:dyDescent="0.2">
      <c r="A69" s="149">
        <v>65</v>
      </c>
      <c r="B69" s="65"/>
      <c r="C69" s="65"/>
      <c r="D69" s="30"/>
      <c r="E69" s="145"/>
      <c r="F69" s="146"/>
      <c r="G69" s="30"/>
      <c r="H69" s="35"/>
      <c r="I69" s="35"/>
      <c r="J69" s="35"/>
      <c r="K69" s="35"/>
      <c r="L69" s="36"/>
      <c r="M69" s="35"/>
      <c r="N69" s="35"/>
      <c r="O69" s="133"/>
      <c r="P69" s="133"/>
      <c r="Q69" s="133"/>
      <c r="R69" s="137"/>
      <c r="S69" s="137"/>
      <c r="T69" s="137"/>
      <c r="U69" s="137"/>
      <c r="V69" s="137"/>
      <c r="W69" s="137"/>
      <c r="X69" s="137"/>
    </row>
    <row r="70" spans="1:24" s="38" customFormat="1" x14ac:dyDescent="0.2">
      <c r="A70" s="149">
        <v>66</v>
      </c>
      <c r="B70" s="65"/>
      <c r="C70" s="65"/>
      <c r="D70" s="30"/>
      <c r="E70" s="145"/>
      <c r="F70" s="146"/>
      <c r="G70" s="30"/>
      <c r="H70" s="35"/>
      <c r="I70" s="35"/>
      <c r="J70" s="35"/>
      <c r="K70" s="35"/>
      <c r="L70" s="36"/>
      <c r="M70" s="35"/>
      <c r="N70" s="35"/>
      <c r="O70" s="133"/>
      <c r="P70" s="133"/>
      <c r="Q70" s="133"/>
      <c r="R70" s="137"/>
      <c r="S70" s="137"/>
      <c r="T70" s="137"/>
      <c r="U70" s="137"/>
      <c r="V70" s="137"/>
      <c r="W70" s="137"/>
      <c r="X70" s="137"/>
    </row>
    <row r="71" spans="1:24" s="38" customFormat="1" x14ac:dyDescent="0.2">
      <c r="A71" s="149">
        <v>67</v>
      </c>
      <c r="B71" s="65"/>
      <c r="C71" s="65"/>
      <c r="D71" s="30"/>
      <c r="E71" s="145"/>
      <c r="F71" s="146"/>
      <c r="G71" s="30"/>
      <c r="H71" s="35"/>
      <c r="I71" s="35"/>
      <c r="J71" s="35"/>
      <c r="K71" s="35"/>
      <c r="L71" s="36"/>
      <c r="M71" s="35"/>
      <c r="N71" s="35"/>
      <c r="O71" s="133"/>
      <c r="P71" s="133"/>
      <c r="Q71" s="133"/>
      <c r="R71" s="137"/>
      <c r="S71" s="137"/>
      <c r="T71" s="137"/>
      <c r="U71" s="137"/>
      <c r="V71" s="137"/>
      <c r="W71" s="137"/>
      <c r="X71" s="137"/>
    </row>
    <row r="72" spans="1:24" s="38" customFormat="1" x14ac:dyDescent="0.2">
      <c r="A72" s="149">
        <v>68</v>
      </c>
      <c r="B72" s="65"/>
      <c r="C72" s="65"/>
      <c r="D72" s="30"/>
      <c r="E72" s="145"/>
      <c r="F72" s="146"/>
      <c r="G72" s="30"/>
      <c r="H72" s="35"/>
      <c r="I72" s="35"/>
      <c r="J72" s="35"/>
      <c r="K72" s="35"/>
      <c r="L72" s="36"/>
      <c r="M72" s="35"/>
      <c r="N72" s="35"/>
      <c r="O72" s="133"/>
      <c r="P72" s="133"/>
      <c r="Q72" s="133"/>
      <c r="R72" s="137"/>
      <c r="S72" s="137"/>
      <c r="T72" s="137"/>
      <c r="U72" s="137"/>
      <c r="V72" s="137"/>
      <c r="W72" s="137"/>
      <c r="X72" s="137"/>
    </row>
    <row r="73" spans="1:24" s="38" customFormat="1" x14ac:dyDescent="0.2">
      <c r="A73" s="149">
        <v>69</v>
      </c>
      <c r="B73" s="65"/>
      <c r="C73" s="65"/>
      <c r="D73" s="30"/>
      <c r="E73" s="145"/>
      <c r="F73" s="146"/>
      <c r="G73" s="30"/>
      <c r="H73" s="35"/>
      <c r="I73" s="35"/>
      <c r="J73" s="35"/>
      <c r="K73" s="35"/>
      <c r="L73" s="36"/>
      <c r="M73" s="35"/>
      <c r="N73" s="35"/>
      <c r="O73" s="133"/>
      <c r="P73" s="133"/>
      <c r="Q73" s="133"/>
      <c r="R73" s="137"/>
      <c r="S73" s="137"/>
      <c r="T73" s="137"/>
      <c r="U73" s="137"/>
      <c r="V73" s="137"/>
      <c r="W73" s="137"/>
      <c r="X73" s="137"/>
    </row>
    <row r="74" spans="1:24" s="38" customFormat="1" x14ac:dyDescent="0.2">
      <c r="A74" s="149">
        <v>70</v>
      </c>
      <c r="B74" s="65"/>
      <c r="C74" s="65"/>
      <c r="D74" s="30"/>
      <c r="E74" s="145"/>
      <c r="F74" s="146"/>
      <c r="G74" s="30"/>
      <c r="H74" s="35"/>
      <c r="I74" s="35"/>
      <c r="J74" s="35"/>
      <c r="K74" s="35"/>
      <c r="L74" s="36"/>
      <c r="M74" s="35"/>
      <c r="N74" s="35"/>
      <c r="O74" s="133"/>
      <c r="P74" s="133"/>
      <c r="Q74" s="133"/>
      <c r="R74" s="137"/>
      <c r="S74" s="137"/>
      <c r="T74" s="137"/>
      <c r="U74" s="137"/>
      <c r="V74" s="137"/>
      <c r="W74" s="137"/>
      <c r="X74" s="137"/>
    </row>
    <row r="75" spans="1:24" s="38" customFormat="1" x14ac:dyDescent="0.2">
      <c r="A75" s="149">
        <v>71</v>
      </c>
      <c r="B75" s="65"/>
      <c r="C75" s="65"/>
      <c r="D75" s="30"/>
      <c r="E75" s="145"/>
      <c r="F75" s="146"/>
      <c r="G75" s="30"/>
      <c r="H75" s="35"/>
      <c r="I75" s="35"/>
      <c r="J75" s="35"/>
      <c r="K75" s="35"/>
      <c r="L75" s="36"/>
      <c r="M75" s="35"/>
      <c r="N75" s="35"/>
      <c r="O75" s="133"/>
      <c r="P75" s="133"/>
      <c r="Q75" s="133"/>
      <c r="R75" s="137"/>
      <c r="S75" s="137"/>
      <c r="T75" s="137"/>
      <c r="U75" s="137"/>
      <c r="V75" s="137"/>
      <c r="W75" s="137"/>
      <c r="X75" s="137"/>
    </row>
    <row r="76" spans="1:24" s="38" customFormat="1" x14ac:dyDescent="0.2">
      <c r="A76" s="149">
        <v>72</v>
      </c>
      <c r="B76" s="65"/>
      <c r="C76" s="65"/>
      <c r="D76" s="30"/>
      <c r="E76" s="145"/>
      <c r="F76" s="146"/>
      <c r="G76" s="30"/>
      <c r="H76" s="35"/>
      <c r="I76" s="35"/>
      <c r="J76" s="35"/>
      <c r="K76" s="35"/>
      <c r="L76" s="36"/>
      <c r="M76" s="35"/>
      <c r="N76" s="35"/>
      <c r="O76" s="133"/>
      <c r="P76" s="133"/>
      <c r="Q76" s="133"/>
      <c r="R76" s="137"/>
      <c r="S76" s="137"/>
      <c r="T76" s="137"/>
      <c r="U76" s="137"/>
      <c r="V76" s="137"/>
      <c r="W76" s="137"/>
      <c r="X76" s="137"/>
    </row>
    <row r="77" spans="1:24" s="38" customFormat="1" x14ac:dyDescent="0.2">
      <c r="A77" s="149">
        <v>73</v>
      </c>
      <c r="B77" s="65"/>
      <c r="C77" s="65"/>
      <c r="D77" s="30"/>
      <c r="E77" s="145"/>
      <c r="F77" s="146"/>
      <c r="G77" s="30"/>
      <c r="H77" s="35"/>
      <c r="I77" s="35"/>
      <c r="J77" s="35"/>
      <c r="K77" s="35"/>
      <c r="L77" s="36"/>
      <c r="M77" s="35"/>
      <c r="N77" s="35"/>
      <c r="O77" s="133"/>
      <c r="P77" s="133"/>
      <c r="Q77" s="133"/>
      <c r="R77" s="137"/>
      <c r="S77" s="137"/>
      <c r="T77" s="137"/>
      <c r="U77" s="137"/>
      <c r="V77" s="137"/>
      <c r="W77" s="137"/>
      <c r="X77" s="137"/>
    </row>
    <row r="78" spans="1:24" s="38" customFormat="1" x14ac:dyDescent="0.2">
      <c r="A78" s="149">
        <v>74</v>
      </c>
      <c r="B78" s="65"/>
      <c r="C78" s="65"/>
      <c r="D78" s="30"/>
      <c r="E78" s="145"/>
      <c r="F78" s="146"/>
      <c r="G78" s="30"/>
      <c r="H78" s="35"/>
      <c r="I78" s="35"/>
      <c r="J78" s="35"/>
      <c r="K78" s="35"/>
      <c r="L78" s="36"/>
      <c r="M78" s="35"/>
      <c r="N78" s="35"/>
      <c r="O78" s="133"/>
      <c r="P78" s="133"/>
      <c r="Q78" s="133"/>
      <c r="R78" s="137"/>
      <c r="S78" s="137"/>
      <c r="T78" s="137"/>
      <c r="U78" s="137"/>
      <c r="V78" s="137"/>
      <c r="W78" s="137"/>
      <c r="X78" s="137"/>
    </row>
    <row r="79" spans="1:24" s="38" customFormat="1" x14ac:dyDescent="0.2">
      <c r="A79" s="149">
        <v>75</v>
      </c>
      <c r="B79" s="65"/>
      <c r="C79" s="65"/>
      <c r="D79" s="30"/>
      <c r="E79" s="145"/>
      <c r="F79" s="146"/>
      <c r="G79" s="30"/>
      <c r="H79" s="35"/>
      <c r="I79" s="35"/>
      <c r="J79" s="35"/>
      <c r="K79" s="35"/>
      <c r="L79" s="36"/>
      <c r="M79" s="35"/>
      <c r="N79" s="35"/>
      <c r="O79" s="133"/>
      <c r="P79" s="133"/>
      <c r="Q79" s="133"/>
      <c r="R79" s="137"/>
      <c r="S79" s="137"/>
      <c r="T79" s="137"/>
      <c r="U79" s="137"/>
      <c r="V79" s="137"/>
      <c r="W79" s="137"/>
      <c r="X79" s="137"/>
    </row>
    <row r="80" spans="1:24" s="38" customFormat="1" x14ac:dyDescent="0.2">
      <c r="A80" s="149">
        <v>76</v>
      </c>
      <c r="B80" s="65"/>
      <c r="C80" s="65"/>
      <c r="D80" s="30"/>
      <c r="E80" s="145"/>
      <c r="F80" s="146"/>
      <c r="G80" s="30"/>
      <c r="H80" s="35"/>
      <c r="I80" s="35"/>
      <c r="J80" s="35"/>
      <c r="K80" s="35"/>
      <c r="L80" s="36"/>
      <c r="M80" s="35"/>
      <c r="N80" s="35"/>
      <c r="O80" s="133"/>
      <c r="P80" s="133"/>
      <c r="Q80" s="133"/>
      <c r="R80" s="137"/>
      <c r="S80" s="137"/>
      <c r="T80" s="137"/>
      <c r="U80" s="137"/>
      <c r="V80" s="137"/>
      <c r="W80" s="137"/>
      <c r="X80" s="137"/>
    </row>
    <row r="81" spans="1:24" s="38" customFormat="1" x14ac:dyDescent="0.2">
      <c r="A81" s="149">
        <v>77</v>
      </c>
      <c r="B81" s="65"/>
      <c r="C81" s="65"/>
      <c r="D81" s="30"/>
      <c r="E81" s="145"/>
      <c r="F81" s="146"/>
      <c r="G81" s="30"/>
      <c r="H81" s="35"/>
      <c r="I81" s="35"/>
      <c r="J81" s="35"/>
      <c r="K81" s="35"/>
      <c r="L81" s="36"/>
      <c r="M81" s="35"/>
      <c r="N81" s="35"/>
      <c r="O81" s="133"/>
      <c r="P81" s="133"/>
      <c r="Q81" s="133"/>
      <c r="R81" s="137"/>
      <c r="S81" s="137"/>
      <c r="T81" s="137"/>
      <c r="U81" s="137"/>
      <c r="V81" s="137"/>
      <c r="W81" s="137"/>
      <c r="X81" s="137"/>
    </row>
    <row r="82" spans="1:24" s="38" customFormat="1" x14ac:dyDescent="0.2">
      <c r="A82" s="149">
        <v>78</v>
      </c>
      <c r="B82" s="65"/>
      <c r="C82" s="65"/>
      <c r="D82" s="30"/>
      <c r="E82" s="145"/>
      <c r="F82" s="146"/>
      <c r="G82" s="30"/>
      <c r="H82" s="35"/>
      <c r="I82" s="35"/>
      <c r="J82" s="35"/>
      <c r="K82" s="35"/>
      <c r="L82" s="36"/>
      <c r="M82" s="35"/>
      <c r="N82" s="35"/>
      <c r="O82" s="133"/>
      <c r="P82" s="133"/>
      <c r="Q82" s="133"/>
      <c r="R82" s="137"/>
      <c r="S82" s="137"/>
      <c r="T82" s="137"/>
      <c r="U82" s="137"/>
      <c r="V82" s="137"/>
      <c r="W82" s="137"/>
      <c r="X82" s="137"/>
    </row>
    <row r="83" spans="1:24" s="38" customFormat="1" x14ac:dyDescent="0.2">
      <c r="A83" s="149">
        <v>79</v>
      </c>
      <c r="B83" s="65"/>
      <c r="C83" s="65"/>
      <c r="D83" s="30"/>
      <c r="E83" s="145"/>
      <c r="F83" s="146"/>
      <c r="G83" s="30"/>
      <c r="H83" s="35"/>
      <c r="I83" s="35"/>
      <c r="J83" s="35"/>
      <c r="K83" s="35"/>
      <c r="L83" s="36"/>
      <c r="M83" s="35"/>
      <c r="N83" s="35"/>
      <c r="O83" s="133"/>
      <c r="P83" s="133"/>
      <c r="Q83" s="133"/>
      <c r="R83" s="137"/>
      <c r="S83" s="137"/>
      <c r="T83" s="137"/>
      <c r="U83" s="137"/>
      <c r="V83" s="137"/>
      <c r="W83" s="137"/>
      <c r="X83" s="137"/>
    </row>
    <row r="84" spans="1:24" s="38" customFormat="1" x14ac:dyDescent="0.2">
      <c r="A84" s="149">
        <v>80</v>
      </c>
      <c r="B84" s="65"/>
      <c r="C84" s="65"/>
      <c r="D84" s="30"/>
      <c r="E84" s="145"/>
      <c r="F84" s="146"/>
      <c r="G84" s="30"/>
      <c r="H84" s="35"/>
      <c r="I84" s="35"/>
      <c r="J84" s="35"/>
      <c r="K84" s="35"/>
      <c r="L84" s="36"/>
      <c r="M84" s="35"/>
      <c r="N84" s="35"/>
      <c r="O84" s="133"/>
      <c r="P84" s="133"/>
      <c r="Q84" s="133"/>
      <c r="R84" s="137"/>
      <c r="S84" s="137"/>
      <c r="T84" s="137"/>
      <c r="U84" s="137"/>
      <c r="V84" s="137"/>
      <c r="W84" s="137"/>
      <c r="X84" s="137"/>
    </row>
    <row r="85" spans="1:24" s="38" customFormat="1" x14ac:dyDescent="0.2">
      <c r="A85" s="149">
        <v>81</v>
      </c>
      <c r="B85" s="65"/>
      <c r="C85" s="65"/>
      <c r="D85" s="30"/>
      <c r="E85" s="145"/>
      <c r="F85" s="146"/>
      <c r="G85" s="30"/>
      <c r="H85" s="35"/>
      <c r="I85" s="35"/>
      <c r="J85" s="35"/>
      <c r="K85" s="35"/>
      <c r="L85" s="36"/>
      <c r="M85" s="35"/>
      <c r="N85" s="35"/>
      <c r="O85" s="133"/>
      <c r="P85" s="133"/>
      <c r="Q85" s="133"/>
      <c r="R85" s="137"/>
      <c r="S85" s="137"/>
      <c r="T85" s="137"/>
      <c r="U85" s="137"/>
      <c r="V85" s="137"/>
      <c r="W85" s="137"/>
      <c r="X85" s="137"/>
    </row>
    <row r="86" spans="1:24" s="38" customFormat="1" x14ac:dyDescent="0.2">
      <c r="A86" s="149">
        <v>82</v>
      </c>
      <c r="B86" s="65"/>
      <c r="C86" s="65"/>
      <c r="D86" s="30"/>
      <c r="E86" s="145"/>
      <c r="F86" s="146"/>
      <c r="G86" s="30"/>
      <c r="H86" s="35"/>
      <c r="I86" s="35"/>
      <c r="J86" s="35"/>
      <c r="K86" s="35"/>
      <c r="L86" s="36"/>
      <c r="M86" s="35"/>
      <c r="N86" s="35"/>
      <c r="O86" s="133"/>
      <c r="P86" s="133"/>
      <c r="Q86" s="133"/>
      <c r="R86" s="137"/>
      <c r="S86" s="137"/>
      <c r="T86" s="137"/>
      <c r="U86" s="137"/>
      <c r="V86" s="137"/>
      <c r="W86" s="137"/>
      <c r="X86" s="137"/>
    </row>
    <row r="87" spans="1:24" s="38" customFormat="1" x14ac:dyDescent="0.2">
      <c r="A87" s="149">
        <v>83</v>
      </c>
      <c r="B87" s="65"/>
      <c r="C87" s="65"/>
      <c r="D87" s="30"/>
      <c r="E87" s="145"/>
      <c r="F87" s="146"/>
      <c r="G87" s="30"/>
      <c r="H87" s="35"/>
      <c r="I87" s="35"/>
      <c r="J87" s="35"/>
      <c r="K87" s="35"/>
      <c r="L87" s="36"/>
      <c r="M87" s="35"/>
      <c r="N87" s="35"/>
      <c r="O87" s="133"/>
      <c r="P87" s="133"/>
      <c r="Q87" s="133"/>
      <c r="R87" s="137"/>
      <c r="S87" s="137"/>
      <c r="T87" s="137"/>
      <c r="U87" s="137"/>
      <c r="V87" s="137"/>
      <c r="W87" s="137"/>
      <c r="X87" s="137"/>
    </row>
    <row r="88" spans="1:24" s="38" customFormat="1" x14ac:dyDescent="0.2">
      <c r="A88" s="149">
        <v>84</v>
      </c>
      <c r="B88" s="65"/>
      <c r="C88" s="65"/>
      <c r="D88" s="30"/>
      <c r="E88" s="145"/>
      <c r="F88" s="146"/>
      <c r="G88" s="30"/>
      <c r="H88" s="35"/>
      <c r="I88" s="35"/>
      <c r="J88" s="35"/>
      <c r="K88" s="35"/>
      <c r="L88" s="36"/>
      <c r="M88" s="35"/>
      <c r="N88" s="35"/>
      <c r="O88" s="133"/>
      <c r="P88" s="133"/>
      <c r="Q88" s="133"/>
      <c r="R88" s="137"/>
      <c r="S88" s="137"/>
      <c r="T88" s="137"/>
      <c r="U88" s="137"/>
      <c r="V88" s="137"/>
      <c r="W88" s="137"/>
      <c r="X88" s="137"/>
    </row>
    <row r="89" spans="1:24" s="38" customFormat="1" x14ac:dyDescent="0.2">
      <c r="A89" s="149">
        <v>85</v>
      </c>
      <c r="B89" s="65"/>
      <c r="C89" s="65"/>
      <c r="D89" s="30"/>
      <c r="E89" s="145"/>
      <c r="F89" s="146"/>
      <c r="G89" s="30"/>
      <c r="H89" s="35"/>
      <c r="I89" s="35"/>
      <c r="J89" s="35"/>
      <c r="K89" s="35"/>
      <c r="L89" s="36"/>
      <c r="M89" s="35"/>
      <c r="N89" s="35"/>
      <c r="O89" s="133"/>
      <c r="P89" s="133"/>
      <c r="Q89" s="133"/>
      <c r="R89" s="137"/>
      <c r="S89" s="137"/>
      <c r="T89" s="137"/>
      <c r="U89" s="137"/>
      <c r="V89" s="137"/>
      <c r="W89" s="137"/>
      <c r="X89" s="137"/>
    </row>
    <row r="90" spans="1:24" s="38" customFormat="1" x14ac:dyDescent="0.2">
      <c r="A90" s="149">
        <v>86</v>
      </c>
      <c r="B90" s="65"/>
      <c r="C90" s="65"/>
      <c r="D90" s="30"/>
      <c r="E90" s="145"/>
      <c r="F90" s="146"/>
      <c r="G90" s="30"/>
      <c r="H90" s="35"/>
      <c r="I90" s="35"/>
      <c r="J90" s="35"/>
      <c r="K90" s="35"/>
      <c r="L90" s="36"/>
      <c r="M90" s="35"/>
      <c r="N90" s="35"/>
      <c r="O90" s="133"/>
      <c r="P90" s="133"/>
      <c r="Q90" s="133"/>
      <c r="R90" s="137"/>
      <c r="S90" s="137"/>
      <c r="T90" s="137"/>
      <c r="U90" s="137"/>
      <c r="V90" s="137"/>
      <c r="W90" s="137"/>
      <c r="X90" s="137"/>
    </row>
    <row r="91" spans="1:24" s="38" customFormat="1" x14ac:dyDescent="0.2">
      <c r="A91" s="149">
        <v>87</v>
      </c>
      <c r="B91" s="65"/>
      <c r="C91" s="65"/>
      <c r="D91" s="30"/>
      <c r="E91" s="145"/>
      <c r="F91" s="146"/>
      <c r="G91" s="30"/>
      <c r="H91" s="35"/>
      <c r="I91" s="35"/>
      <c r="J91" s="35"/>
      <c r="K91" s="35"/>
      <c r="L91" s="36"/>
      <c r="M91" s="35"/>
      <c r="N91" s="35"/>
      <c r="O91" s="133"/>
      <c r="P91" s="133"/>
      <c r="Q91" s="133"/>
      <c r="R91" s="137"/>
      <c r="S91" s="137"/>
      <c r="T91" s="137"/>
      <c r="U91" s="137"/>
      <c r="V91" s="137"/>
      <c r="W91" s="137"/>
      <c r="X91" s="137"/>
    </row>
    <row r="92" spans="1:24" s="38" customFormat="1" x14ac:dyDescent="0.2">
      <c r="A92" s="149">
        <v>88</v>
      </c>
      <c r="B92" s="65"/>
      <c r="C92" s="65"/>
      <c r="D92" s="30"/>
      <c r="E92" s="145"/>
      <c r="F92" s="146"/>
      <c r="G92" s="30"/>
      <c r="H92" s="35"/>
      <c r="I92" s="35"/>
      <c r="J92" s="35"/>
      <c r="K92" s="35"/>
      <c r="L92" s="36"/>
      <c r="M92" s="35"/>
      <c r="N92" s="35"/>
      <c r="O92" s="133"/>
      <c r="P92" s="133"/>
      <c r="Q92" s="133"/>
      <c r="R92" s="137"/>
      <c r="S92" s="137"/>
      <c r="T92" s="137"/>
      <c r="U92" s="137"/>
      <c r="V92" s="137"/>
      <c r="W92" s="137"/>
      <c r="X92" s="137"/>
    </row>
    <row r="93" spans="1:24" s="38" customFormat="1" x14ac:dyDescent="0.2">
      <c r="A93" s="149">
        <v>89</v>
      </c>
      <c r="B93" s="65"/>
      <c r="C93" s="65"/>
      <c r="D93" s="30"/>
      <c r="E93" s="145"/>
      <c r="F93" s="146"/>
      <c r="G93" s="30"/>
      <c r="H93" s="35"/>
      <c r="I93" s="35"/>
      <c r="J93" s="35"/>
      <c r="K93" s="35"/>
      <c r="L93" s="36"/>
      <c r="M93" s="35"/>
      <c r="N93" s="35"/>
      <c r="O93" s="133"/>
      <c r="P93" s="133"/>
      <c r="Q93" s="133"/>
      <c r="R93" s="137"/>
      <c r="S93" s="137"/>
      <c r="T93" s="137"/>
      <c r="U93" s="137"/>
      <c r="V93" s="137"/>
      <c r="W93" s="137"/>
      <c r="X93" s="137"/>
    </row>
    <row r="94" spans="1:24" x14ac:dyDescent="0.2">
      <c r="A94" s="149">
        <v>90</v>
      </c>
      <c r="B94" s="65"/>
      <c r="C94" s="65"/>
      <c r="D94" s="30"/>
      <c r="E94" s="145"/>
      <c r="F94" s="146"/>
      <c r="G94" s="30"/>
      <c r="H94" s="35"/>
      <c r="I94" s="35"/>
      <c r="J94" s="35"/>
      <c r="K94" s="35"/>
      <c r="L94" s="36"/>
      <c r="M94" s="35"/>
      <c r="N94" s="35"/>
      <c r="O94" s="133"/>
      <c r="P94" s="133"/>
      <c r="Q94" s="133"/>
    </row>
    <row r="95" spans="1:24" x14ac:dyDescent="0.2">
      <c r="A95" s="149">
        <v>91</v>
      </c>
      <c r="B95" s="65"/>
      <c r="C95" s="65"/>
      <c r="D95" s="30"/>
      <c r="E95" s="145"/>
      <c r="F95" s="146"/>
      <c r="G95" s="30"/>
      <c r="H95" s="35"/>
      <c r="I95" s="35"/>
      <c r="J95" s="35"/>
      <c r="K95" s="35"/>
      <c r="L95" s="36"/>
      <c r="M95" s="35"/>
      <c r="N95" s="35"/>
      <c r="O95" s="133"/>
      <c r="P95" s="133"/>
      <c r="Q95" s="133"/>
    </row>
    <row r="96" spans="1:24" x14ac:dyDescent="0.2">
      <c r="A96" s="149">
        <v>92</v>
      </c>
      <c r="B96" s="65"/>
      <c r="C96" s="65"/>
      <c r="D96" s="30"/>
      <c r="E96" s="145"/>
      <c r="F96" s="146"/>
      <c r="G96" s="30"/>
      <c r="H96" s="35"/>
      <c r="I96" s="35"/>
      <c r="J96" s="35"/>
      <c r="K96" s="35"/>
      <c r="L96" s="36"/>
      <c r="M96" s="35"/>
      <c r="N96" s="35"/>
      <c r="O96" s="133"/>
      <c r="P96" s="133"/>
      <c r="Q96" s="133"/>
    </row>
    <row r="97" spans="1:24" x14ac:dyDescent="0.2">
      <c r="A97" s="149">
        <v>93</v>
      </c>
      <c r="B97" s="65"/>
      <c r="C97" s="65"/>
      <c r="D97" s="30"/>
      <c r="E97" s="145"/>
      <c r="F97" s="146"/>
      <c r="G97" s="30"/>
      <c r="H97" s="35"/>
      <c r="I97" s="35"/>
      <c r="J97" s="35"/>
      <c r="K97" s="35"/>
      <c r="L97" s="36"/>
      <c r="M97" s="35"/>
      <c r="N97" s="35"/>
      <c r="O97" s="133"/>
      <c r="P97" s="133"/>
      <c r="Q97" s="133"/>
    </row>
    <row r="98" spans="1:24" x14ac:dyDescent="0.2">
      <c r="A98" s="149">
        <v>94</v>
      </c>
      <c r="B98" s="65"/>
      <c r="C98" s="65"/>
      <c r="D98" s="30"/>
      <c r="E98" s="145"/>
      <c r="F98" s="146"/>
      <c r="G98" s="30"/>
      <c r="H98" s="35"/>
      <c r="I98" s="35"/>
      <c r="J98" s="35"/>
      <c r="K98" s="35"/>
      <c r="L98" s="36"/>
      <c r="M98" s="35"/>
      <c r="N98" s="35"/>
      <c r="O98" s="133"/>
      <c r="P98" s="133"/>
      <c r="Q98" s="133"/>
    </row>
    <row r="99" spans="1:24" x14ac:dyDescent="0.2">
      <c r="A99" s="149">
        <v>95</v>
      </c>
      <c r="B99" s="65"/>
      <c r="C99" s="65"/>
      <c r="D99" s="30"/>
      <c r="E99" s="145"/>
      <c r="F99" s="146"/>
      <c r="G99" s="30"/>
      <c r="H99" s="35"/>
      <c r="I99" s="35"/>
      <c r="J99" s="35"/>
      <c r="K99" s="35"/>
      <c r="L99" s="36"/>
      <c r="M99" s="35"/>
      <c r="N99" s="35"/>
      <c r="O99" s="133"/>
      <c r="P99" s="133"/>
      <c r="Q99" s="133"/>
    </row>
    <row r="100" spans="1:24" x14ac:dyDescent="0.2">
      <c r="A100" s="149">
        <v>96</v>
      </c>
      <c r="B100" s="65"/>
      <c r="C100" s="65"/>
      <c r="D100" s="30"/>
      <c r="E100" s="145"/>
      <c r="F100" s="146"/>
      <c r="G100" s="30"/>
      <c r="H100" s="35"/>
      <c r="I100" s="35"/>
      <c r="J100" s="35"/>
      <c r="K100" s="35"/>
      <c r="L100" s="36"/>
      <c r="M100" s="35"/>
      <c r="N100" s="35"/>
      <c r="O100" s="133"/>
      <c r="P100" s="133"/>
      <c r="Q100" s="133"/>
    </row>
    <row r="101" spans="1:24" x14ac:dyDescent="0.2">
      <c r="A101" s="149">
        <v>97</v>
      </c>
      <c r="B101" s="65"/>
      <c r="C101" s="65"/>
      <c r="D101" s="30"/>
      <c r="E101" s="145"/>
      <c r="F101" s="146"/>
      <c r="G101" s="30"/>
      <c r="H101" s="35"/>
      <c r="I101" s="35"/>
      <c r="J101" s="35"/>
      <c r="K101" s="35"/>
      <c r="L101" s="36"/>
      <c r="M101" s="35"/>
      <c r="N101" s="35"/>
      <c r="O101" s="133"/>
      <c r="P101" s="133"/>
      <c r="Q101" s="133"/>
    </row>
    <row r="102" spans="1:24" x14ac:dyDescent="0.2">
      <c r="A102" s="149">
        <v>98</v>
      </c>
      <c r="B102" s="65"/>
      <c r="C102" s="65"/>
      <c r="D102" s="30"/>
      <c r="E102" s="145"/>
      <c r="F102" s="146"/>
      <c r="G102" s="30"/>
      <c r="H102" s="35"/>
      <c r="I102" s="35"/>
      <c r="J102" s="35"/>
      <c r="K102" s="35"/>
      <c r="L102" s="36"/>
      <c r="M102" s="35"/>
      <c r="N102" s="35"/>
      <c r="O102" s="133"/>
      <c r="P102" s="133"/>
      <c r="Q102" s="133"/>
    </row>
    <row r="103" spans="1:24" x14ac:dyDescent="0.2">
      <c r="A103" s="149">
        <v>99</v>
      </c>
      <c r="B103" s="65"/>
      <c r="C103" s="65"/>
      <c r="D103" s="30"/>
      <c r="E103" s="145"/>
      <c r="F103" s="146"/>
      <c r="G103" s="30"/>
      <c r="H103" s="35"/>
      <c r="I103" s="35"/>
      <c r="J103" s="35"/>
      <c r="K103" s="35"/>
      <c r="L103" s="36"/>
      <c r="M103" s="35"/>
      <c r="N103" s="35"/>
      <c r="O103" s="133"/>
      <c r="P103" s="133"/>
      <c r="Q103" s="133"/>
    </row>
    <row r="104" spans="1:24" s="39" customFormat="1" x14ac:dyDescent="0.2">
      <c r="A104" s="149">
        <v>100</v>
      </c>
      <c r="B104" s="65"/>
      <c r="C104" s="65"/>
      <c r="D104" s="30"/>
      <c r="E104" s="145"/>
      <c r="F104" s="146"/>
      <c r="G104" s="30"/>
      <c r="H104" s="35"/>
      <c r="I104" s="35"/>
      <c r="J104" s="35"/>
      <c r="K104" s="35"/>
      <c r="L104" s="36"/>
      <c r="M104" s="35"/>
      <c r="N104" s="35"/>
      <c r="O104" s="139"/>
      <c r="P104" s="139"/>
      <c r="Q104" s="139"/>
      <c r="R104" s="140"/>
      <c r="S104" s="140"/>
      <c r="T104" s="140"/>
      <c r="U104" s="140"/>
      <c r="V104" s="140"/>
      <c r="W104" s="140"/>
      <c r="X104" s="140"/>
    </row>
    <row r="105" spans="1:24" x14ac:dyDescent="0.2">
      <c r="A105" s="149">
        <v>101</v>
      </c>
      <c r="B105" s="65"/>
      <c r="C105" s="65"/>
      <c r="D105" s="30"/>
      <c r="E105" s="145"/>
      <c r="F105" s="146"/>
      <c r="G105" s="30"/>
      <c r="H105" s="35"/>
      <c r="I105" s="35"/>
      <c r="J105" s="35"/>
      <c r="K105" s="35"/>
      <c r="L105" s="36"/>
      <c r="M105" s="35"/>
      <c r="N105" s="35"/>
      <c r="O105" s="139"/>
      <c r="P105" s="139"/>
      <c r="Q105" s="139"/>
    </row>
    <row r="106" spans="1:24" x14ac:dyDescent="0.2">
      <c r="A106" s="149">
        <v>102</v>
      </c>
      <c r="B106" s="65"/>
      <c r="C106" s="65"/>
      <c r="D106" s="30"/>
      <c r="E106" s="145"/>
      <c r="F106" s="146"/>
      <c r="G106" s="30"/>
      <c r="H106" s="35"/>
      <c r="I106" s="35"/>
      <c r="J106" s="35"/>
      <c r="K106" s="35"/>
      <c r="L106" s="36"/>
      <c r="M106" s="35"/>
      <c r="N106" s="35"/>
    </row>
    <row r="107" spans="1:24" x14ac:dyDescent="0.2">
      <c r="A107" s="149">
        <v>103</v>
      </c>
      <c r="B107" s="65"/>
      <c r="C107" s="65"/>
      <c r="D107" s="30"/>
      <c r="E107" s="145"/>
      <c r="F107" s="146"/>
      <c r="G107" s="30"/>
      <c r="H107" s="35"/>
      <c r="I107" s="35"/>
      <c r="J107" s="35"/>
      <c r="K107" s="35"/>
      <c r="L107" s="36"/>
      <c r="M107" s="35"/>
      <c r="N107" s="35"/>
    </row>
    <row r="108" spans="1:24" x14ac:dyDescent="0.2">
      <c r="A108" s="149">
        <v>104</v>
      </c>
      <c r="B108" s="65"/>
      <c r="C108" s="65"/>
      <c r="D108" s="30"/>
      <c r="E108" s="145"/>
      <c r="F108" s="146"/>
      <c r="G108" s="30"/>
      <c r="H108" s="35"/>
      <c r="I108" s="35"/>
      <c r="J108" s="35"/>
      <c r="K108" s="35"/>
      <c r="L108" s="36"/>
      <c r="M108" s="35"/>
      <c r="N108" s="35"/>
    </row>
    <row r="109" spans="1:24" x14ac:dyDescent="0.2">
      <c r="A109" s="149">
        <v>105</v>
      </c>
      <c r="B109" s="65"/>
      <c r="C109" s="65"/>
      <c r="D109" s="30"/>
      <c r="E109" s="145"/>
      <c r="F109" s="146"/>
      <c r="G109" s="30"/>
      <c r="H109" s="35"/>
      <c r="I109" s="35"/>
      <c r="J109" s="35"/>
      <c r="K109" s="35"/>
      <c r="L109" s="36"/>
      <c r="M109" s="35"/>
      <c r="N109" s="35"/>
    </row>
    <row r="110" spans="1:24" x14ac:dyDescent="0.2">
      <c r="A110" s="149">
        <v>106</v>
      </c>
      <c r="B110" s="65"/>
      <c r="C110" s="65"/>
      <c r="D110" s="30"/>
      <c r="E110" s="145"/>
      <c r="F110" s="146"/>
      <c r="G110" s="30"/>
      <c r="H110" s="35"/>
      <c r="I110" s="35"/>
      <c r="J110" s="35"/>
      <c r="K110" s="35"/>
      <c r="L110" s="36"/>
      <c r="M110" s="35"/>
      <c r="N110" s="35"/>
    </row>
    <row r="111" spans="1:24" x14ac:dyDescent="0.2">
      <c r="A111" s="149">
        <v>107</v>
      </c>
      <c r="B111" s="65"/>
      <c r="C111" s="65"/>
      <c r="D111" s="30"/>
      <c r="E111" s="145"/>
      <c r="F111" s="146"/>
      <c r="G111" s="30"/>
      <c r="H111" s="35"/>
      <c r="I111" s="35"/>
      <c r="J111" s="35"/>
      <c r="K111" s="35"/>
      <c r="L111" s="36"/>
      <c r="M111" s="35"/>
      <c r="N111" s="35"/>
    </row>
    <row r="112" spans="1:24" x14ac:dyDescent="0.2">
      <c r="A112" s="149">
        <v>108</v>
      </c>
      <c r="B112" s="65"/>
      <c r="C112" s="65"/>
      <c r="D112" s="30"/>
      <c r="E112" s="145"/>
      <c r="F112" s="146"/>
      <c r="G112" s="30"/>
      <c r="H112" s="35"/>
      <c r="I112" s="35"/>
      <c r="J112" s="35"/>
      <c r="K112" s="35"/>
      <c r="L112" s="36"/>
      <c r="M112" s="35"/>
      <c r="N112" s="35"/>
    </row>
    <row r="113" spans="1:14" x14ac:dyDescent="0.2">
      <c r="A113" s="149">
        <v>109</v>
      </c>
      <c r="B113" s="65"/>
      <c r="C113" s="65"/>
      <c r="D113" s="30"/>
      <c r="E113" s="145"/>
      <c r="F113" s="146"/>
      <c r="G113" s="30"/>
      <c r="H113" s="35"/>
      <c r="I113" s="35"/>
      <c r="J113" s="35"/>
      <c r="K113" s="35"/>
      <c r="L113" s="36"/>
      <c r="M113" s="35"/>
      <c r="N113" s="35"/>
    </row>
    <row r="114" spans="1:14" x14ac:dyDescent="0.2">
      <c r="A114" s="149">
        <v>110</v>
      </c>
      <c r="B114" s="65"/>
      <c r="C114" s="65"/>
      <c r="D114" s="30"/>
      <c r="E114" s="145"/>
      <c r="F114" s="146"/>
      <c r="G114" s="30"/>
      <c r="H114" s="35"/>
      <c r="I114" s="35"/>
      <c r="J114" s="35"/>
      <c r="K114" s="35"/>
      <c r="L114" s="36"/>
      <c r="M114" s="35"/>
      <c r="N114" s="35"/>
    </row>
    <row r="115" spans="1:14" x14ac:dyDescent="0.2">
      <c r="A115" s="149">
        <v>111</v>
      </c>
      <c r="B115" s="65"/>
      <c r="C115" s="65"/>
      <c r="D115" s="30"/>
      <c r="E115" s="145"/>
      <c r="F115" s="146"/>
      <c r="G115" s="30"/>
      <c r="H115" s="35"/>
      <c r="I115" s="35"/>
      <c r="J115" s="35"/>
      <c r="K115" s="35"/>
      <c r="L115" s="36"/>
      <c r="M115" s="35"/>
      <c r="N115" s="35"/>
    </row>
    <row r="116" spans="1:14" x14ac:dyDescent="0.2">
      <c r="A116" s="149">
        <v>112</v>
      </c>
      <c r="B116" s="65"/>
      <c r="C116" s="65"/>
      <c r="D116" s="30"/>
      <c r="E116" s="145"/>
      <c r="F116" s="146"/>
      <c r="G116" s="30"/>
      <c r="H116" s="35"/>
      <c r="I116" s="35"/>
      <c r="J116" s="35"/>
      <c r="K116" s="35"/>
      <c r="L116" s="36"/>
      <c r="M116" s="35"/>
      <c r="N116" s="35"/>
    </row>
    <row r="117" spans="1:14" x14ac:dyDescent="0.2">
      <c r="A117" s="149">
        <v>113</v>
      </c>
      <c r="B117" s="65"/>
      <c r="C117" s="65"/>
      <c r="D117" s="30"/>
      <c r="E117" s="145"/>
      <c r="F117" s="146"/>
      <c r="G117" s="30"/>
      <c r="H117" s="35"/>
      <c r="I117" s="35"/>
      <c r="J117" s="35"/>
      <c r="K117" s="35"/>
      <c r="L117" s="36"/>
      <c r="M117" s="35"/>
      <c r="N117" s="35"/>
    </row>
    <row r="118" spans="1:14" x14ac:dyDescent="0.2">
      <c r="A118" s="149">
        <v>114</v>
      </c>
      <c r="B118" s="65"/>
      <c r="C118" s="65"/>
      <c r="D118" s="30"/>
      <c r="E118" s="145"/>
      <c r="F118" s="146"/>
      <c r="G118" s="30"/>
      <c r="H118" s="35"/>
      <c r="I118" s="35"/>
      <c r="J118" s="35"/>
      <c r="K118" s="35"/>
      <c r="L118" s="36"/>
      <c r="M118" s="35"/>
      <c r="N118" s="35"/>
    </row>
    <row r="119" spans="1:14" x14ac:dyDescent="0.2">
      <c r="A119" s="149">
        <v>115</v>
      </c>
      <c r="B119" s="65"/>
      <c r="C119" s="65"/>
      <c r="D119" s="30"/>
      <c r="E119" s="145"/>
      <c r="F119" s="146"/>
      <c r="G119" s="30"/>
      <c r="H119" s="35"/>
      <c r="I119" s="35"/>
      <c r="J119" s="35"/>
      <c r="K119" s="35"/>
      <c r="L119" s="36"/>
      <c r="M119" s="35"/>
      <c r="N119" s="35"/>
    </row>
    <row r="120" spans="1:14" x14ac:dyDescent="0.2">
      <c r="A120" s="149">
        <v>116</v>
      </c>
      <c r="B120" s="65"/>
      <c r="C120" s="65"/>
      <c r="D120" s="30"/>
      <c r="E120" s="145"/>
      <c r="F120" s="146"/>
      <c r="G120" s="30"/>
      <c r="H120" s="35"/>
      <c r="I120" s="35"/>
      <c r="J120" s="35"/>
      <c r="K120" s="35"/>
      <c r="L120" s="36"/>
      <c r="M120" s="35"/>
      <c r="N120" s="35"/>
    </row>
    <row r="121" spans="1:14" x14ac:dyDescent="0.2">
      <c r="A121" s="149">
        <v>117</v>
      </c>
      <c r="B121" s="65"/>
      <c r="C121" s="65"/>
      <c r="D121" s="30"/>
      <c r="E121" s="145"/>
      <c r="F121" s="146"/>
      <c r="G121" s="30"/>
      <c r="H121" s="35"/>
      <c r="I121" s="35"/>
      <c r="J121" s="35"/>
      <c r="K121" s="35"/>
      <c r="L121" s="36"/>
      <c r="M121" s="35"/>
      <c r="N121" s="35"/>
    </row>
    <row r="122" spans="1:14" x14ac:dyDescent="0.2">
      <c r="A122" s="149">
        <v>118</v>
      </c>
      <c r="B122" s="65"/>
      <c r="C122" s="65"/>
      <c r="D122" s="30"/>
      <c r="E122" s="145"/>
      <c r="F122" s="146"/>
      <c r="G122" s="30"/>
      <c r="H122" s="35"/>
      <c r="I122" s="35"/>
      <c r="J122" s="35"/>
      <c r="K122" s="35"/>
      <c r="L122" s="36"/>
      <c r="M122" s="35"/>
      <c r="N122" s="35"/>
    </row>
    <row r="123" spans="1:14" x14ac:dyDescent="0.2">
      <c r="A123" s="149">
        <v>119</v>
      </c>
      <c r="B123" s="65"/>
      <c r="C123" s="65"/>
      <c r="D123" s="30"/>
      <c r="E123" s="145"/>
      <c r="F123" s="146"/>
      <c r="G123" s="30"/>
      <c r="H123" s="35"/>
      <c r="I123" s="35"/>
      <c r="J123" s="35"/>
      <c r="K123" s="35"/>
      <c r="L123" s="36"/>
      <c r="M123" s="35"/>
      <c r="N123" s="35"/>
    </row>
    <row r="124" spans="1:14" x14ac:dyDescent="0.2">
      <c r="A124" s="149">
        <v>120</v>
      </c>
      <c r="B124" s="65"/>
      <c r="C124" s="65"/>
      <c r="D124" s="30"/>
      <c r="E124" s="145"/>
      <c r="F124" s="146"/>
      <c r="G124" s="30"/>
      <c r="H124" s="35"/>
      <c r="I124" s="35"/>
      <c r="J124" s="35"/>
      <c r="K124" s="35"/>
      <c r="L124" s="36"/>
      <c r="M124" s="35"/>
      <c r="N124" s="35"/>
    </row>
    <row r="125" spans="1:14" x14ac:dyDescent="0.2">
      <c r="A125" s="149">
        <v>121</v>
      </c>
      <c r="B125" s="65"/>
      <c r="C125" s="65"/>
      <c r="D125" s="30"/>
      <c r="E125" s="145"/>
      <c r="F125" s="146"/>
      <c r="G125" s="30"/>
      <c r="H125" s="35"/>
      <c r="I125" s="35"/>
      <c r="J125" s="35"/>
      <c r="K125" s="35"/>
      <c r="L125" s="36"/>
      <c r="M125" s="35"/>
      <c r="N125" s="35"/>
    </row>
    <row r="126" spans="1:14" x14ac:dyDescent="0.2">
      <c r="A126" s="149">
        <v>122</v>
      </c>
      <c r="B126" s="65"/>
      <c r="C126" s="65"/>
      <c r="D126" s="30"/>
      <c r="E126" s="145"/>
      <c r="F126" s="146"/>
      <c r="G126" s="30"/>
      <c r="H126" s="35"/>
      <c r="I126" s="35"/>
      <c r="J126" s="35"/>
      <c r="K126" s="35"/>
      <c r="L126" s="36"/>
      <c r="M126" s="35"/>
      <c r="N126" s="35"/>
    </row>
    <row r="127" spans="1:14" x14ac:dyDescent="0.2">
      <c r="A127" s="149">
        <v>123</v>
      </c>
      <c r="B127" s="65"/>
      <c r="C127" s="65"/>
      <c r="D127" s="30"/>
      <c r="E127" s="145"/>
      <c r="F127" s="146"/>
      <c r="G127" s="30"/>
      <c r="H127" s="35"/>
      <c r="I127" s="35"/>
      <c r="J127" s="35"/>
      <c r="K127" s="35"/>
      <c r="L127" s="36"/>
      <c r="M127" s="35"/>
      <c r="N127" s="35"/>
    </row>
    <row r="128" spans="1:14" x14ac:dyDescent="0.2">
      <c r="A128" s="149">
        <v>124</v>
      </c>
      <c r="B128" s="65"/>
      <c r="C128" s="65"/>
      <c r="D128" s="30"/>
      <c r="E128" s="145"/>
      <c r="F128" s="146"/>
      <c r="G128" s="30"/>
      <c r="H128" s="35"/>
      <c r="I128" s="35"/>
      <c r="J128" s="35"/>
      <c r="K128" s="35"/>
      <c r="L128" s="36"/>
      <c r="M128" s="35"/>
      <c r="N128" s="35"/>
    </row>
    <row r="129" spans="1:14" x14ac:dyDescent="0.2">
      <c r="A129" s="149">
        <v>125</v>
      </c>
      <c r="B129" s="65"/>
      <c r="C129" s="65"/>
      <c r="D129" s="30"/>
      <c r="E129" s="145"/>
      <c r="F129" s="146"/>
      <c r="G129" s="30"/>
      <c r="H129" s="35"/>
      <c r="I129" s="35"/>
      <c r="J129" s="35"/>
      <c r="K129" s="35"/>
      <c r="L129" s="36"/>
      <c r="M129" s="35"/>
      <c r="N129" s="35"/>
    </row>
    <row r="130" spans="1:14" x14ac:dyDescent="0.2">
      <c r="A130" s="149">
        <v>126</v>
      </c>
      <c r="B130" s="65"/>
      <c r="C130" s="65"/>
      <c r="D130" s="30"/>
      <c r="E130" s="145"/>
      <c r="F130" s="146"/>
      <c r="G130" s="30"/>
      <c r="H130" s="35"/>
      <c r="I130" s="35"/>
      <c r="J130" s="35"/>
      <c r="K130" s="35"/>
      <c r="L130" s="36"/>
      <c r="M130" s="35"/>
      <c r="N130" s="35"/>
    </row>
    <row r="131" spans="1:14" x14ac:dyDescent="0.2">
      <c r="A131" s="149">
        <v>127</v>
      </c>
      <c r="B131" s="65"/>
      <c r="C131" s="65"/>
      <c r="D131" s="30"/>
      <c r="E131" s="145"/>
      <c r="F131" s="146"/>
      <c r="G131" s="30"/>
      <c r="H131" s="35"/>
      <c r="I131" s="35"/>
      <c r="J131" s="35"/>
      <c r="K131" s="35"/>
      <c r="L131" s="36"/>
      <c r="M131" s="35"/>
      <c r="N131" s="35"/>
    </row>
    <row r="132" spans="1:14" x14ac:dyDescent="0.2">
      <c r="A132" s="149">
        <v>128</v>
      </c>
      <c r="B132" s="65"/>
      <c r="C132" s="65"/>
      <c r="D132" s="30"/>
      <c r="E132" s="145"/>
      <c r="F132" s="146"/>
      <c r="G132" s="30"/>
      <c r="H132" s="35"/>
      <c r="I132" s="35"/>
      <c r="J132" s="35"/>
      <c r="K132" s="35"/>
      <c r="L132" s="36"/>
      <c r="M132" s="35"/>
      <c r="N132" s="35"/>
    </row>
    <row r="133" spans="1:14" x14ac:dyDescent="0.2">
      <c r="A133" s="149">
        <v>129</v>
      </c>
      <c r="B133" s="65"/>
      <c r="C133" s="65"/>
      <c r="D133" s="30"/>
      <c r="E133" s="145"/>
      <c r="F133" s="146"/>
      <c r="G133" s="30"/>
      <c r="H133" s="35"/>
      <c r="I133" s="35"/>
      <c r="J133" s="35"/>
      <c r="K133" s="35"/>
      <c r="L133" s="36"/>
      <c r="M133" s="35"/>
      <c r="N133" s="35"/>
    </row>
    <row r="134" spans="1:14" x14ac:dyDescent="0.2">
      <c r="A134" s="149">
        <v>130</v>
      </c>
      <c r="B134" s="65"/>
      <c r="C134" s="65"/>
      <c r="D134" s="30"/>
      <c r="E134" s="145"/>
      <c r="F134" s="146"/>
      <c r="G134" s="30"/>
      <c r="H134" s="35"/>
      <c r="I134" s="35"/>
      <c r="J134" s="35"/>
      <c r="K134" s="35"/>
      <c r="L134" s="36"/>
      <c r="M134" s="35"/>
      <c r="N134" s="35"/>
    </row>
    <row r="135" spans="1:14" x14ac:dyDescent="0.2">
      <c r="A135" s="149">
        <v>131</v>
      </c>
      <c r="B135" s="65"/>
      <c r="C135" s="65"/>
      <c r="D135" s="30"/>
      <c r="E135" s="145"/>
      <c r="F135" s="146"/>
      <c r="G135" s="30"/>
      <c r="H135" s="35"/>
      <c r="I135" s="35"/>
      <c r="J135" s="35"/>
      <c r="K135" s="35"/>
      <c r="L135" s="36"/>
      <c r="M135" s="35"/>
      <c r="N135" s="35"/>
    </row>
    <row r="136" spans="1:14" x14ac:dyDescent="0.2">
      <c r="A136" s="149">
        <v>132</v>
      </c>
      <c r="B136" s="65"/>
      <c r="C136" s="65"/>
      <c r="D136" s="30"/>
      <c r="E136" s="145"/>
      <c r="F136" s="146"/>
      <c r="G136" s="30"/>
      <c r="H136" s="35"/>
      <c r="I136" s="35"/>
      <c r="J136" s="35"/>
      <c r="K136" s="35"/>
      <c r="L136" s="36"/>
      <c r="M136" s="35"/>
      <c r="N136" s="35"/>
    </row>
    <row r="137" spans="1:14" x14ac:dyDescent="0.2">
      <c r="A137" s="149">
        <v>133</v>
      </c>
      <c r="B137" s="65"/>
      <c r="C137" s="65"/>
      <c r="D137" s="30"/>
      <c r="E137" s="145"/>
      <c r="F137" s="146"/>
      <c r="G137" s="30"/>
      <c r="H137" s="35"/>
      <c r="I137" s="35"/>
      <c r="J137" s="35"/>
      <c r="K137" s="35"/>
      <c r="L137" s="36"/>
      <c r="M137" s="35"/>
      <c r="N137" s="35"/>
    </row>
    <row r="138" spans="1:14" x14ac:dyDescent="0.2">
      <c r="A138" s="149">
        <v>134</v>
      </c>
      <c r="B138" s="65"/>
      <c r="C138" s="65"/>
      <c r="D138" s="30"/>
      <c r="E138" s="145"/>
      <c r="F138" s="146"/>
      <c r="G138" s="30"/>
      <c r="H138" s="35"/>
      <c r="I138" s="35"/>
      <c r="J138" s="35"/>
      <c r="K138" s="35"/>
      <c r="L138" s="36"/>
      <c r="M138" s="35"/>
      <c r="N138" s="35"/>
    </row>
    <row r="139" spans="1:14" x14ac:dyDescent="0.2">
      <c r="A139" s="149">
        <v>135</v>
      </c>
      <c r="B139" s="65"/>
      <c r="C139" s="65"/>
      <c r="D139" s="30"/>
      <c r="E139" s="145"/>
      <c r="F139" s="146"/>
      <c r="G139" s="30"/>
      <c r="H139" s="35"/>
      <c r="I139" s="35"/>
      <c r="J139" s="35"/>
      <c r="K139" s="35"/>
      <c r="L139" s="36"/>
      <c r="M139" s="35"/>
      <c r="N139" s="35"/>
    </row>
    <row r="140" spans="1:14" x14ac:dyDescent="0.2">
      <c r="A140" s="149">
        <v>136</v>
      </c>
      <c r="B140" s="65"/>
      <c r="C140" s="65"/>
      <c r="D140" s="30"/>
      <c r="E140" s="145"/>
      <c r="F140" s="146"/>
      <c r="G140" s="30"/>
      <c r="H140" s="35"/>
      <c r="I140" s="35"/>
      <c r="J140" s="35"/>
      <c r="K140" s="35"/>
      <c r="L140" s="36"/>
      <c r="M140" s="35"/>
      <c r="N140" s="35"/>
    </row>
    <row r="141" spans="1:14" x14ac:dyDescent="0.2">
      <c r="A141" s="149">
        <v>137</v>
      </c>
      <c r="B141" s="65"/>
      <c r="C141" s="65"/>
      <c r="D141" s="30"/>
      <c r="E141" s="145"/>
      <c r="F141" s="146"/>
      <c r="G141" s="30"/>
      <c r="H141" s="35"/>
      <c r="I141" s="35"/>
      <c r="J141" s="35"/>
      <c r="K141" s="35"/>
      <c r="L141" s="36"/>
      <c r="M141" s="35"/>
      <c r="N141" s="35"/>
    </row>
    <row r="142" spans="1:14" x14ac:dyDescent="0.2">
      <c r="A142" s="149">
        <v>138</v>
      </c>
      <c r="B142" s="65"/>
      <c r="C142" s="65"/>
      <c r="D142" s="30"/>
      <c r="E142" s="145"/>
      <c r="F142" s="146"/>
      <c r="G142" s="30"/>
      <c r="H142" s="35"/>
      <c r="I142" s="35"/>
      <c r="J142" s="35"/>
      <c r="K142" s="35"/>
      <c r="L142" s="36"/>
      <c r="M142" s="35"/>
      <c r="N142" s="35"/>
    </row>
    <row r="143" spans="1:14" x14ac:dyDescent="0.2">
      <c r="A143" s="149">
        <v>139</v>
      </c>
      <c r="B143" s="65"/>
      <c r="C143" s="65"/>
      <c r="D143" s="30"/>
      <c r="E143" s="145"/>
      <c r="F143" s="146"/>
      <c r="G143" s="30"/>
      <c r="H143" s="35"/>
      <c r="I143" s="35"/>
      <c r="J143" s="35"/>
      <c r="K143" s="35"/>
      <c r="L143" s="36"/>
      <c r="M143" s="35"/>
      <c r="N143" s="35"/>
    </row>
    <row r="144" spans="1:14" x14ac:dyDescent="0.2">
      <c r="A144" s="149">
        <v>140</v>
      </c>
      <c r="B144" s="65"/>
      <c r="C144" s="65"/>
      <c r="D144" s="30"/>
      <c r="E144" s="145"/>
      <c r="F144" s="146"/>
      <c r="G144" s="30"/>
      <c r="H144" s="35"/>
      <c r="I144" s="35"/>
      <c r="J144" s="35"/>
      <c r="K144" s="35"/>
      <c r="L144" s="36"/>
      <c r="M144" s="35"/>
      <c r="N144" s="35"/>
    </row>
    <row r="145" spans="1:14" x14ac:dyDescent="0.2">
      <c r="A145" s="149">
        <v>141</v>
      </c>
      <c r="B145" s="65"/>
      <c r="C145" s="65"/>
      <c r="D145" s="30"/>
      <c r="E145" s="145"/>
      <c r="F145" s="146"/>
      <c r="G145" s="30"/>
      <c r="H145" s="35"/>
      <c r="I145" s="35"/>
      <c r="J145" s="35"/>
      <c r="K145" s="35"/>
      <c r="L145" s="36"/>
      <c r="M145" s="35"/>
      <c r="N145" s="35"/>
    </row>
    <row r="146" spans="1:14" x14ac:dyDescent="0.2">
      <c r="A146" s="149">
        <v>142</v>
      </c>
      <c r="B146" s="65"/>
      <c r="C146" s="65"/>
      <c r="D146" s="30"/>
      <c r="E146" s="145"/>
      <c r="F146" s="146"/>
      <c r="G146" s="30"/>
      <c r="H146" s="35"/>
      <c r="I146" s="35"/>
      <c r="J146" s="35"/>
      <c r="K146" s="35"/>
      <c r="L146" s="36"/>
      <c r="M146" s="35"/>
      <c r="N146" s="35"/>
    </row>
    <row r="147" spans="1:14" x14ac:dyDescent="0.2">
      <c r="A147" s="149">
        <v>143</v>
      </c>
      <c r="B147" s="65"/>
      <c r="C147" s="65"/>
      <c r="D147" s="30"/>
      <c r="E147" s="145"/>
      <c r="F147" s="146"/>
      <c r="G147" s="30"/>
      <c r="H147" s="35"/>
      <c r="I147" s="35"/>
      <c r="J147" s="35"/>
      <c r="K147" s="35"/>
      <c r="L147" s="36"/>
      <c r="M147" s="35"/>
      <c r="N147" s="35"/>
    </row>
    <row r="148" spans="1:14" x14ac:dyDescent="0.2">
      <c r="A148" s="149">
        <v>144</v>
      </c>
      <c r="B148" s="65"/>
      <c r="C148" s="65"/>
      <c r="D148" s="30"/>
      <c r="E148" s="145"/>
      <c r="F148" s="146"/>
      <c r="G148" s="30"/>
      <c r="H148" s="35"/>
      <c r="I148" s="35"/>
      <c r="J148" s="35"/>
      <c r="K148" s="35"/>
      <c r="L148" s="36"/>
      <c r="M148" s="35"/>
      <c r="N148" s="35"/>
    </row>
    <row r="149" spans="1:14" x14ac:dyDescent="0.2">
      <c r="A149" s="149">
        <v>145</v>
      </c>
      <c r="B149" s="65"/>
      <c r="C149" s="65"/>
      <c r="D149" s="30"/>
      <c r="E149" s="145"/>
      <c r="F149" s="146"/>
      <c r="G149" s="30"/>
      <c r="H149" s="35"/>
      <c r="I149" s="35"/>
      <c r="J149" s="35"/>
      <c r="K149" s="35"/>
      <c r="L149" s="36"/>
      <c r="M149" s="35"/>
      <c r="N149" s="35"/>
    </row>
    <row r="150" spans="1:14" x14ac:dyDescent="0.2">
      <c r="A150" s="149">
        <v>146</v>
      </c>
      <c r="B150" s="65"/>
      <c r="C150" s="65"/>
      <c r="D150" s="30"/>
      <c r="E150" s="145"/>
      <c r="F150" s="146"/>
      <c r="G150" s="30"/>
      <c r="H150" s="35"/>
      <c r="I150" s="35"/>
      <c r="J150" s="35"/>
      <c r="K150" s="35"/>
      <c r="L150" s="36"/>
      <c r="M150" s="35"/>
      <c r="N150" s="35"/>
    </row>
    <row r="151" spans="1:14" x14ac:dyDescent="0.2">
      <c r="A151" s="149">
        <v>147</v>
      </c>
      <c r="B151" s="65"/>
      <c r="C151" s="65"/>
      <c r="D151" s="30"/>
      <c r="E151" s="145"/>
      <c r="F151" s="146"/>
      <c r="G151" s="30"/>
      <c r="H151" s="35"/>
      <c r="I151" s="35"/>
      <c r="J151" s="35"/>
      <c r="K151" s="35"/>
      <c r="L151" s="36"/>
      <c r="M151" s="35"/>
      <c r="N151" s="35"/>
    </row>
    <row r="152" spans="1:14" x14ac:dyDescent="0.2">
      <c r="A152" s="149">
        <v>148</v>
      </c>
      <c r="B152" s="65"/>
      <c r="C152" s="65"/>
      <c r="D152" s="30"/>
      <c r="E152" s="145"/>
      <c r="F152" s="146"/>
      <c r="G152" s="30"/>
      <c r="H152" s="35"/>
      <c r="I152" s="35"/>
      <c r="J152" s="35"/>
      <c r="K152" s="35"/>
      <c r="L152" s="36"/>
      <c r="M152" s="35"/>
      <c r="N152" s="35"/>
    </row>
    <row r="153" spans="1:14" x14ac:dyDescent="0.2">
      <c r="A153" s="149">
        <v>149</v>
      </c>
      <c r="B153" s="65"/>
      <c r="C153" s="65"/>
      <c r="D153" s="30"/>
      <c r="E153" s="145"/>
      <c r="F153" s="146"/>
      <c r="G153" s="30"/>
      <c r="H153" s="35"/>
      <c r="I153" s="35"/>
      <c r="J153" s="35"/>
      <c r="K153" s="35"/>
      <c r="L153" s="36"/>
      <c r="M153" s="35"/>
      <c r="N153" s="35"/>
    </row>
    <row r="154" spans="1:14" x14ac:dyDescent="0.2">
      <c r="A154" s="149">
        <v>150</v>
      </c>
      <c r="B154" s="65"/>
      <c r="C154" s="65"/>
      <c r="D154" s="30"/>
      <c r="E154" s="145"/>
      <c r="F154" s="146"/>
      <c r="G154" s="30"/>
      <c r="H154" s="35"/>
      <c r="I154" s="35"/>
      <c r="J154" s="35"/>
      <c r="K154" s="35"/>
      <c r="L154" s="36"/>
      <c r="M154" s="35"/>
      <c r="N154" s="35"/>
    </row>
    <row r="155" spans="1:14" x14ac:dyDescent="0.2">
      <c r="A155" s="149">
        <v>151</v>
      </c>
      <c r="B155" s="65"/>
      <c r="C155" s="65"/>
      <c r="D155" s="30"/>
      <c r="E155" s="145"/>
      <c r="F155" s="146"/>
      <c r="G155" s="30"/>
      <c r="H155" s="35"/>
      <c r="I155" s="35"/>
      <c r="J155" s="35"/>
      <c r="K155" s="35"/>
      <c r="L155" s="36"/>
      <c r="M155" s="35"/>
      <c r="N155" s="35"/>
    </row>
    <row r="156" spans="1:14" x14ac:dyDescent="0.2">
      <c r="A156" s="149">
        <v>152</v>
      </c>
      <c r="B156" s="65"/>
      <c r="C156" s="65"/>
      <c r="D156" s="30"/>
      <c r="E156" s="145"/>
      <c r="F156" s="146"/>
      <c r="G156" s="30"/>
      <c r="H156" s="35"/>
      <c r="I156" s="35"/>
      <c r="J156" s="35"/>
      <c r="K156" s="35"/>
      <c r="L156" s="36"/>
      <c r="M156" s="35"/>
      <c r="N156" s="35"/>
    </row>
    <row r="157" spans="1:14" x14ac:dyDescent="0.2">
      <c r="A157" s="149">
        <v>153</v>
      </c>
      <c r="B157" s="65"/>
      <c r="C157" s="65"/>
      <c r="D157" s="30"/>
      <c r="E157" s="145"/>
      <c r="F157" s="146"/>
      <c r="G157" s="30"/>
      <c r="H157" s="35"/>
      <c r="I157" s="35"/>
      <c r="J157" s="35"/>
      <c r="K157" s="35"/>
      <c r="L157" s="36"/>
      <c r="M157" s="35"/>
      <c r="N157" s="35"/>
    </row>
    <row r="158" spans="1:14" x14ac:dyDescent="0.2">
      <c r="A158" s="149">
        <v>154</v>
      </c>
      <c r="B158" s="65"/>
      <c r="C158" s="65"/>
      <c r="D158" s="30"/>
      <c r="E158" s="145"/>
      <c r="F158" s="146"/>
      <c r="G158" s="30"/>
      <c r="H158" s="35"/>
      <c r="I158" s="35"/>
      <c r="J158" s="35"/>
      <c r="K158" s="35"/>
      <c r="L158" s="36"/>
      <c r="M158" s="35"/>
      <c r="N158" s="35"/>
    </row>
    <row r="159" spans="1:14" x14ac:dyDescent="0.2">
      <c r="A159" s="149">
        <v>155</v>
      </c>
      <c r="B159" s="65"/>
      <c r="C159" s="65"/>
      <c r="D159" s="30"/>
      <c r="E159" s="145"/>
      <c r="F159" s="146"/>
      <c r="G159" s="30"/>
      <c r="H159" s="35"/>
      <c r="I159" s="35"/>
      <c r="J159" s="35"/>
      <c r="K159" s="35"/>
      <c r="L159" s="36"/>
      <c r="M159" s="35"/>
      <c r="N159" s="35"/>
    </row>
    <row r="160" spans="1:14" x14ac:dyDescent="0.2">
      <c r="A160" s="149">
        <v>156</v>
      </c>
      <c r="B160" s="65"/>
      <c r="C160" s="65"/>
      <c r="D160" s="30"/>
      <c r="E160" s="145"/>
      <c r="F160" s="146"/>
      <c r="G160" s="30"/>
      <c r="H160" s="35"/>
      <c r="I160" s="35"/>
      <c r="J160" s="35"/>
      <c r="K160" s="35"/>
      <c r="L160" s="36"/>
      <c r="M160" s="35"/>
      <c r="N160" s="35"/>
    </row>
    <row r="161" spans="1:14" x14ac:dyDescent="0.2">
      <c r="A161" s="149">
        <v>157</v>
      </c>
      <c r="B161" s="65"/>
      <c r="C161" s="65"/>
      <c r="D161" s="30"/>
      <c r="E161" s="145"/>
      <c r="F161" s="146"/>
      <c r="G161" s="30"/>
      <c r="H161" s="35"/>
      <c r="I161" s="35"/>
      <c r="J161" s="35"/>
      <c r="K161" s="35"/>
      <c r="L161" s="36"/>
      <c r="M161" s="35"/>
      <c r="N161" s="35"/>
    </row>
    <row r="162" spans="1:14" x14ac:dyDescent="0.2">
      <c r="A162" s="149">
        <v>158</v>
      </c>
      <c r="B162" s="65"/>
      <c r="C162" s="65"/>
      <c r="D162" s="30"/>
      <c r="E162" s="145"/>
      <c r="F162" s="146"/>
      <c r="G162" s="30"/>
      <c r="H162" s="35"/>
      <c r="I162" s="35"/>
      <c r="J162" s="35"/>
      <c r="K162" s="35"/>
      <c r="L162" s="36"/>
      <c r="M162" s="35"/>
      <c r="N162" s="35"/>
    </row>
    <row r="163" spans="1:14" x14ac:dyDescent="0.2">
      <c r="A163" s="149">
        <v>159</v>
      </c>
      <c r="B163" s="65"/>
      <c r="C163" s="65"/>
      <c r="D163" s="30"/>
      <c r="E163" s="145"/>
      <c r="F163" s="146"/>
      <c r="G163" s="30"/>
      <c r="H163" s="35"/>
      <c r="I163" s="35"/>
      <c r="J163" s="35"/>
      <c r="K163" s="35"/>
      <c r="L163" s="36"/>
      <c r="M163" s="35"/>
      <c r="N163" s="35"/>
    </row>
    <row r="164" spans="1:14" x14ac:dyDescent="0.2">
      <c r="A164" s="149">
        <v>160</v>
      </c>
      <c r="B164" s="65"/>
      <c r="C164" s="65"/>
      <c r="D164" s="30"/>
      <c r="E164" s="145"/>
      <c r="F164" s="146"/>
      <c r="G164" s="30"/>
      <c r="H164" s="35"/>
      <c r="I164" s="35"/>
      <c r="J164" s="35"/>
      <c r="K164" s="35"/>
      <c r="L164" s="36"/>
      <c r="M164" s="35"/>
      <c r="N164" s="35"/>
    </row>
    <row r="165" spans="1:14" x14ac:dyDescent="0.2">
      <c r="A165" s="149">
        <v>161</v>
      </c>
      <c r="B165" s="65"/>
      <c r="C165" s="65"/>
      <c r="D165" s="30"/>
      <c r="E165" s="145"/>
      <c r="F165" s="146"/>
      <c r="G165" s="30"/>
      <c r="H165" s="35"/>
      <c r="I165" s="35"/>
      <c r="J165" s="35"/>
      <c r="K165" s="35"/>
      <c r="L165" s="36"/>
      <c r="M165" s="35"/>
      <c r="N165" s="35"/>
    </row>
    <row r="166" spans="1:14" x14ac:dyDescent="0.2">
      <c r="A166" s="149">
        <v>162</v>
      </c>
      <c r="B166" s="65"/>
      <c r="C166" s="65"/>
      <c r="D166" s="30"/>
      <c r="E166" s="145"/>
      <c r="F166" s="146"/>
      <c r="G166" s="30"/>
      <c r="H166" s="35"/>
      <c r="I166" s="35"/>
      <c r="J166" s="35"/>
      <c r="K166" s="35"/>
      <c r="L166" s="36"/>
      <c r="M166" s="35"/>
      <c r="N166" s="35"/>
    </row>
    <row r="167" spans="1:14" x14ac:dyDescent="0.2">
      <c r="A167" s="149">
        <v>163</v>
      </c>
      <c r="B167" s="65"/>
      <c r="C167" s="65"/>
      <c r="D167" s="30"/>
      <c r="E167" s="145"/>
      <c r="F167" s="146"/>
      <c r="G167" s="30"/>
      <c r="H167" s="35"/>
      <c r="I167" s="35"/>
      <c r="J167" s="35"/>
      <c r="K167" s="35"/>
      <c r="L167" s="36"/>
      <c r="M167" s="35"/>
      <c r="N167" s="35"/>
    </row>
    <row r="168" spans="1:14" x14ac:dyDescent="0.2">
      <c r="A168" s="149">
        <v>164</v>
      </c>
      <c r="B168" s="65"/>
      <c r="C168" s="65"/>
      <c r="D168" s="30"/>
      <c r="E168" s="145"/>
      <c r="F168" s="146"/>
      <c r="G168" s="30"/>
      <c r="H168" s="35"/>
      <c r="I168" s="35"/>
      <c r="J168" s="35"/>
      <c r="K168" s="35"/>
      <c r="L168" s="36"/>
      <c r="M168" s="35"/>
      <c r="N168" s="35"/>
    </row>
    <row r="169" spans="1:14" x14ac:dyDescent="0.2">
      <c r="A169" s="149">
        <v>165</v>
      </c>
      <c r="B169" s="65"/>
      <c r="C169" s="65"/>
      <c r="D169" s="30"/>
      <c r="E169" s="145"/>
      <c r="F169" s="146"/>
      <c r="G169" s="30"/>
      <c r="H169" s="35"/>
      <c r="I169" s="35"/>
      <c r="J169" s="35"/>
      <c r="K169" s="35"/>
      <c r="L169" s="36"/>
      <c r="M169" s="35"/>
      <c r="N169" s="35"/>
    </row>
    <row r="170" spans="1:14" x14ac:dyDescent="0.2">
      <c r="A170" s="149">
        <v>166</v>
      </c>
      <c r="B170" s="65"/>
      <c r="C170" s="65"/>
      <c r="D170" s="30"/>
      <c r="E170" s="145"/>
      <c r="F170" s="146"/>
      <c r="G170" s="30"/>
      <c r="H170" s="35"/>
      <c r="I170" s="35"/>
      <c r="J170" s="35"/>
      <c r="K170" s="35"/>
      <c r="L170" s="36"/>
      <c r="M170" s="35"/>
      <c r="N170" s="35"/>
    </row>
    <row r="171" spans="1:14" x14ac:dyDescent="0.2">
      <c r="A171" s="149">
        <v>167</v>
      </c>
      <c r="B171" s="65"/>
      <c r="C171" s="65"/>
      <c r="D171" s="30"/>
      <c r="E171" s="145"/>
      <c r="F171" s="146"/>
      <c r="G171" s="30"/>
      <c r="H171" s="35"/>
      <c r="I171" s="35"/>
      <c r="J171" s="35"/>
      <c r="K171" s="35"/>
      <c r="L171" s="36"/>
      <c r="M171" s="35"/>
      <c r="N171" s="35"/>
    </row>
    <row r="172" spans="1:14" x14ac:dyDescent="0.2">
      <c r="A172" s="149">
        <v>168</v>
      </c>
      <c r="B172" s="65"/>
      <c r="C172" s="65"/>
      <c r="D172" s="30"/>
      <c r="E172" s="145"/>
      <c r="F172" s="146"/>
      <c r="G172" s="30"/>
      <c r="H172" s="35"/>
      <c r="I172" s="35"/>
      <c r="J172" s="35"/>
      <c r="K172" s="35"/>
      <c r="L172" s="36"/>
      <c r="M172" s="35"/>
      <c r="N172" s="35"/>
    </row>
    <row r="173" spans="1:14" x14ac:dyDescent="0.2">
      <c r="A173" s="149">
        <v>169</v>
      </c>
      <c r="B173" s="65"/>
      <c r="C173" s="65"/>
      <c r="D173" s="30"/>
      <c r="E173" s="145"/>
      <c r="F173" s="146"/>
      <c r="G173" s="30"/>
      <c r="H173" s="35"/>
      <c r="I173" s="35"/>
      <c r="J173" s="35"/>
      <c r="K173" s="35"/>
      <c r="L173" s="36"/>
      <c r="M173" s="35"/>
      <c r="N173" s="35"/>
    </row>
    <row r="174" spans="1:14" x14ac:dyDescent="0.2">
      <c r="A174" s="149">
        <v>170</v>
      </c>
      <c r="B174" s="65"/>
      <c r="C174" s="65"/>
      <c r="D174" s="30"/>
      <c r="E174" s="145"/>
      <c r="F174" s="146"/>
      <c r="G174" s="30"/>
      <c r="H174" s="35"/>
      <c r="I174" s="35"/>
      <c r="J174" s="35"/>
      <c r="K174" s="35"/>
      <c r="L174" s="36"/>
      <c r="M174" s="35"/>
      <c r="N174" s="35"/>
    </row>
    <row r="175" spans="1:14" x14ac:dyDescent="0.2">
      <c r="A175" s="149">
        <v>171</v>
      </c>
      <c r="B175" s="65"/>
      <c r="C175" s="65"/>
      <c r="D175" s="30"/>
      <c r="E175" s="145"/>
      <c r="F175" s="146"/>
      <c r="G175" s="30"/>
      <c r="H175" s="35"/>
      <c r="I175" s="35"/>
      <c r="J175" s="35"/>
      <c r="K175" s="35"/>
      <c r="L175" s="36"/>
      <c r="M175" s="35"/>
      <c r="N175" s="35"/>
    </row>
    <row r="176" spans="1:14" x14ac:dyDescent="0.2">
      <c r="A176" s="149">
        <v>172</v>
      </c>
      <c r="B176" s="65"/>
      <c r="C176" s="65"/>
      <c r="D176" s="30"/>
      <c r="E176" s="145"/>
      <c r="F176" s="146"/>
      <c r="G176" s="30"/>
      <c r="H176" s="35"/>
      <c r="I176" s="35"/>
      <c r="J176" s="35"/>
      <c r="K176" s="35"/>
      <c r="L176" s="36"/>
      <c r="M176" s="35"/>
      <c r="N176" s="35"/>
    </row>
    <row r="177" spans="1:14" x14ac:dyDescent="0.2">
      <c r="A177" s="149">
        <v>173</v>
      </c>
      <c r="B177" s="65"/>
      <c r="C177" s="65"/>
      <c r="D177" s="30"/>
      <c r="E177" s="145"/>
      <c r="F177" s="146"/>
      <c r="G177" s="30"/>
      <c r="H177" s="35"/>
      <c r="I177" s="35"/>
      <c r="J177" s="35"/>
      <c r="K177" s="35"/>
      <c r="L177" s="36"/>
      <c r="M177" s="35"/>
      <c r="N177" s="35"/>
    </row>
    <row r="178" spans="1:14" x14ac:dyDescent="0.2">
      <c r="A178" s="149">
        <v>174</v>
      </c>
      <c r="B178" s="65"/>
      <c r="C178" s="65"/>
      <c r="D178" s="30"/>
      <c r="E178" s="145"/>
      <c r="F178" s="146"/>
      <c r="G178" s="30"/>
      <c r="H178" s="35"/>
      <c r="I178" s="35"/>
      <c r="J178" s="35"/>
      <c r="K178" s="35"/>
      <c r="L178" s="36"/>
      <c r="M178" s="35"/>
      <c r="N178" s="35"/>
    </row>
    <row r="179" spans="1:14" x14ac:dyDescent="0.2">
      <c r="A179" s="149">
        <v>175</v>
      </c>
      <c r="B179" s="65"/>
      <c r="C179" s="65"/>
      <c r="D179" s="30"/>
      <c r="E179" s="145"/>
      <c r="F179" s="146"/>
      <c r="G179" s="30"/>
      <c r="H179" s="35"/>
      <c r="I179" s="35"/>
      <c r="J179" s="35"/>
      <c r="K179" s="35"/>
      <c r="L179" s="36"/>
      <c r="M179" s="35"/>
      <c r="N179" s="35"/>
    </row>
    <row r="180" spans="1:14" x14ac:dyDescent="0.2">
      <c r="A180" s="149">
        <v>176</v>
      </c>
      <c r="B180" s="65"/>
      <c r="C180" s="65"/>
      <c r="D180" s="30"/>
      <c r="E180" s="145"/>
      <c r="F180" s="146"/>
      <c r="G180" s="30"/>
      <c r="H180" s="35"/>
      <c r="I180" s="35"/>
      <c r="J180" s="35"/>
      <c r="K180" s="35"/>
      <c r="L180" s="36"/>
      <c r="M180" s="35"/>
      <c r="N180" s="35"/>
    </row>
    <row r="181" spans="1:14" x14ac:dyDescent="0.2">
      <c r="A181" s="149">
        <v>177</v>
      </c>
      <c r="B181" s="65"/>
      <c r="C181" s="65"/>
      <c r="D181" s="30"/>
      <c r="E181" s="145"/>
      <c r="F181" s="146"/>
      <c r="G181" s="30"/>
      <c r="H181" s="35"/>
      <c r="I181" s="35"/>
      <c r="J181" s="35"/>
      <c r="K181" s="35"/>
      <c r="L181" s="36"/>
      <c r="M181" s="35"/>
      <c r="N181" s="35"/>
    </row>
    <row r="182" spans="1:14" x14ac:dyDescent="0.2">
      <c r="A182" s="149">
        <v>178</v>
      </c>
      <c r="B182" s="65"/>
      <c r="C182" s="65"/>
      <c r="D182" s="30"/>
      <c r="E182" s="145"/>
      <c r="F182" s="146"/>
      <c r="G182" s="30"/>
      <c r="H182" s="35"/>
      <c r="I182" s="35"/>
      <c r="J182" s="35"/>
      <c r="K182" s="35"/>
      <c r="L182" s="36"/>
      <c r="M182" s="35"/>
      <c r="N182" s="35"/>
    </row>
    <row r="183" spans="1:14" x14ac:dyDescent="0.2">
      <c r="A183" s="149">
        <v>179</v>
      </c>
      <c r="B183" s="65"/>
      <c r="C183" s="65"/>
      <c r="D183" s="30"/>
      <c r="E183" s="145"/>
      <c r="F183" s="146"/>
      <c r="G183" s="30"/>
      <c r="H183" s="35"/>
      <c r="I183" s="35"/>
      <c r="J183" s="35"/>
      <c r="K183" s="35"/>
      <c r="L183" s="36"/>
      <c r="M183" s="35"/>
      <c r="N183" s="35"/>
    </row>
    <row r="184" spans="1:14" x14ac:dyDescent="0.2">
      <c r="A184" s="149">
        <v>180</v>
      </c>
      <c r="B184" s="65"/>
      <c r="C184" s="65"/>
      <c r="D184" s="30"/>
      <c r="E184" s="145"/>
      <c r="F184" s="146"/>
      <c r="G184" s="30"/>
      <c r="H184" s="35"/>
      <c r="I184" s="35"/>
      <c r="J184" s="35"/>
      <c r="K184" s="35"/>
      <c r="L184" s="36"/>
      <c r="M184" s="35"/>
      <c r="N184" s="35"/>
    </row>
    <row r="185" spans="1:14" x14ac:dyDescent="0.2">
      <c r="A185" s="149">
        <v>181</v>
      </c>
      <c r="B185" s="65"/>
      <c r="C185" s="65"/>
      <c r="D185" s="30"/>
      <c r="E185" s="145"/>
      <c r="F185" s="146"/>
      <c r="G185" s="30"/>
      <c r="H185" s="35"/>
      <c r="I185" s="35"/>
      <c r="J185" s="35"/>
      <c r="K185" s="35"/>
      <c r="L185" s="36"/>
      <c r="M185" s="35"/>
      <c r="N185" s="35"/>
    </row>
    <row r="186" spans="1:14" x14ac:dyDescent="0.2">
      <c r="A186" s="149">
        <v>182</v>
      </c>
      <c r="B186" s="65"/>
      <c r="C186" s="65"/>
      <c r="D186" s="30"/>
      <c r="E186" s="145"/>
      <c r="F186" s="146"/>
      <c r="G186" s="30"/>
      <c r="H186" s="35"/>
      <c r="I186" s="35"/>
      <c r="J186" s="35"/>
      <c r="K186" s="35"/>
      <c r="L186" s="36"/>
      <c r="M186" s="35"/>
      <c r="N186" s="35"/>
    </row>
    <row r="187" spans="1:14" x14ac:dyDescent="0.2">
      <c r="A187" s="149">
        <v>183</v>
      </c>
      <c r="B187" s="65"/>
      <c r="C187" s="65"/>
      <c r="D187" s="30"/>
      <c r="E187" s="145"/>
      <c r="F187" s="146"/>
      <c r="G187" s="30"/>
      <c r="H187" s="35"/>
      <c r="I187" s="35"/>
      <c r="J187" s="35"/>
      <c r="K187" s="35"/>
      <c r="L187" s="36"/>
      <c r="M187" s="35"/>
      <c r="N187" s="35"/>
    </row>
    <row r="188" spans="1:14" x14ac:dyDescent="0.2">
      <c r="A188" s="149">
        <v>184</v>
      </c>
      <c r="B188" s="65"/>
      <c r="C188" s="65"/>
      <c r="D188" s="30"/>
      <c r="E188" s="145"/>
      <c r="F188" s="146"/>
      <c r="G188" s="30"/>
      <c r="H188" s="35"/>
      <c r="I188" s="35"/>
      <c r="J188" s="35"/>
      <c r="K188" s="35"/>
      <c r="L188" s="36"/>
      <c r="M188" s="35"/>
      <c r="N188" s="35"/>
    </row>
    <row r="189" spans="1:14" x14ac:dyDescent="0.2">
      <c r="A189" s="149">
        <v>185</v>
      </c>
      <c r="B189" s="65"/>
      <c r="C189" s="65"/>
      <c r="D189" s="30"/>
      <c r="E189" s="145"/>
      <c r="F189" s="146"/>
      <c r="G189" s="30"/>
      <c r="H189" s="35"/>
      <c r="I189" s="35"/>
      <c r="J189" s="35"/>
      <c r="K189" s="35"/>
      <c r="L189" s="36"/>
      <c r="M189" s="35"/>
      <c r="N189" s="35"/>
    </row>
    <row r="190" spans="1:14" x14ac:dyDescent="0.2">
      <c r="A190" s="149">
        <v>186</v>
      </c>
      <c r="B190" s="65"/>
      <c r="C190" s="65"/>
      <c r="D190" s="30"/>
      <c r="E190" s="145"/>
      <c r="F190" s="146"/>
      <c r="G190" s="30"/>
      <c r="H190" s="35"/>
      <c r="I190" s="35"/>
      <c r="J190" s="35"/>
      <c r="K190" s="35"/>
      <c r="L190" s="36"/>
      <c r="M190" s="35"/>
      <c r="N190" s="35"/>
    </row>
    <row r="191" spans="1:14" x14ac:dyDescent="0.2">
      <c r="A191" s="149">
        <v>187</v>
      </c>
      <c r="B191" s="65"/>
      <c r="C191" s="65"/>
      <c r="D191" s="30"/>
      <c r="E191" s="145"/>
      <c r="F191" s="146"/>
      <c r="G191" s="30"/>
      <c r="H191" s="35"/>
      <c r="I191" s="35"/>
      <c r="J191" s="35"/>
      <c r="K191" s="35"/>
      <c r="L191" s="36"/>
      <c r="M191" s="35"/>
      <c r="N191" s="35"/>
    </row>
    <row r="192" spans="1:14" x14ac:dyDescent="0.2">
      <c r="A192" s="149">
        <v>188</v>
      </c>
      <c r="B192" s="65"/>
      <c r="C192" s="65"/>
      <c r="D192" s="30"/>
      <c r="E192" s="145"/>
      <c r="F192" s="146"/>
      <c r="G192" s="30"/>
      <c r="H192" s="35"/>
      <c r="I192" s="35"/>
      <c r="J192" s="35"/>
      <c r="K192" s="35"/>
      <c r="L192" s="36"/>
      <c r="M192" s="35"/>
      <c r="N192" s="35"/>
    </row>
    <row r="193" spans="1:14" x14ac:dyDescent="0.2">
      <c r="A193" s="149">
        <v>189</v>
      </c>
      <c r="B193" s="65"/>
      <c r="C193" s="65"/>
      <c r="D193" s="30"/>
      <c r="E193" s="145"/>
      <c r="F193" s="146"/>
      <c r="G193" s="30"/>
      <c r="H193" s="35"/>
      <c r="I193" s="35"/>
      <c r="J193" s="35"/>
      <c r="K193" s="35"/>
      <c r="L193" s="36"/>
      <c r="M193" s="35"/>
      <c r="N193" s="35"/>
    </row>
    <row r="194" spans="1:14" x14ac:dyDescent="0.2">
      <c r="A194" s="149">
        <v>190</v>
      </c>
      <c r="B194" s="65"/>
      <c r="C194" s="65"/>
      <c r="D194" s="30"/>
      <c r="E194" s="145"/>
      <c r="F194" s="146"/>
      <c r="G194" s="30"/>
      <c r="H194" s="35"/>
      <c r="I194" s="35"/>
      <c r="J194" s="35"/>
      <c r="K194" s="35"/>
      <c r="L194" s="36"/>
      <c r="M194" s="35"/>
      <c r="N194" s="35"/>
    </row>
    <row r="195" spans="1:14" x14ac:dyDescent="0.2">
      <c r="A195" s="149">
        <v>191</v>
      </c>
      <c r="B195" s="65"/>
      <c r="C195" s="65"/>
      <c r="D195" s="30"/>
      <c r="E195" s="145"/>
      <c r="F195" s="146"/>
      <c r="G195" s="30"/>
      <c r="H195" s="35"/>
      <c r="I195" s="35"/>
      <c r="J195" s="35"/>
      <c r="K195" s="35"/>
      <c r="L195" s="36"/>
      <c r="M195" s="35"/>
      <c r="N195" s="35"/>
    </row>
    <row r="196" spans="1:14" x14ac:dyDescent="0.2">
      <c r="A196" s="149">
        <v>192</v>
      </c>
      <c r="B196" s="65"/>
      <c r="C196" s="65"/>
      <c r="D196" s="30"/>
      <c r="E196" s="145"/>
      <c r="F196" s="146"/>
      <c r="G196" s="30"/>
      <c r="H196" s="35"/>
      <c r="I196" s="35"/>
      <c r="J196" s="35"/>
      <c r="K196" s="35"/>
      <c r="L196" s="36"/>
      <c r="M196" s="35"/>
      <c r="N196" s="35"/>
    </row>
    <row r="197" spans="1:14" x14ac:dyDescent="0.2">
      <c r="A197" s="149">
        <v>193</v>
      </c>
      <c r="B197" s="65"/>
      <c r="C197" s="65"/>
      <c r="D197" s="30"/>
      <c r="E197" s="145"/>
      <c r="F197" s="146"/>
      <c r="G197" s="30"/>
      <c r="H197" s="35"/>
      <c r="I197" s="35"/>
      <c r="J197" s="35"/>
      <c r="K197" s="35"/>
      <c r="L197" s="36"/>
      <c r="M197" s="35"/>
      <c r="N197" s="35"/>
    </row>
    <row r="198" spans="1:14" x14ac:dyDescent="0.2">
      <c r="A198" s="149">
        <v>194</v>
      </c>
      <c r="B198" s="65"/>
      <c r="C198" s="65"/>
      <c r="D198" s="30"/>
      <c r="E198" s="145"/>
      <c r="F198" s="146"/>
      <c r="G198" s="30"/>
      <c r="H198" s="35"/>
      <c r="I198" s="35"/>
      <c r="J198" s="35"/>
      <c r="K198" s="35"/>
      <c r="L198" s="36"/>
      <c r="M198" s="35"/>
      <c r="N198" s="35"/>
    </row>
    <row r="199" spans="1:14" x14ac:dyDescent="0.2">
      <c r="A199" s="149">
        <v>195</v>
      </c>
      <c r="B199" s="65"/>
      <c r="C199" s="65"/>
      <c r="D199" s="30"/>
      <c r="E199" s="145"/>
      <c r="F199" s="146"/>
      <c r="G199" s="30"/>
      <c r="H199" s="35"/>
      <c r="I199" s="35"/>
      <c r="J199" s="35"/>
      <c r="K199" s="35"/>
      <c r="L199" s="36"/>
      <c r="M199" s="35"/>
      <c r="N199" s="35"/>
    </row>
    <row r="200" spans="1:14" x14ac:dyDescent="0.2">
      <c r="A200" s="149">
        <v>196</v>
      </c>
      <c r="B200" s="65"/>
      <c r="C200" s="65"/>
      <c r="D200" s="30"/>
      <c r="E200" s="145"/>
      <c r="F200" s="146"/>
      <c r="G200" s="30"/>
      <c r="H200" s="35"/>
      <c r="I200" s="35"/>
      <c r="J200" s="35"/>
      <c r="K200" s="35"/>
      <c r="L200" s="36"/>
      <c r="M200" s="35"/>
      <c r="N200" s="35"/>
    </row>
    <row r="201" spans="1:14" x14ac:dyDescent="0.2">
      <c r="A201" s="149">
        <v>197</v>
      </c>
      <c r="B201" s="65"/>
      <c r="C201" s="65"/>
      <c r="D201" s="30"/>
      <c r="E201" s="145"/>
      <c r="F201" s="146"/>
      <c r="G201" s="30"/>
      <c r="H201" s="35"/>
      <c r="I201" s="35"/>
      <c r="J201" s="35"/>
      <c r="K201" s="35"/>
      <c r="L201" s="36"/>
      <c r="M201" s="35"/>
      <c r="N201" s="35"/>
    </row>
    <row r="202" spans="1:14" x14ac:dyDescent="0.2">
      <c r="A202" s="149">
        <v>198</v>
      </c>
      <c r="B202" s="65"/>
      <c r="C202" s="65"/>
      <c r="D202" s="30"/>
      <c r="E202" s="145"/>
      <c r="F202" s="146"/>
      <c r="G202" s="30"/>
      <c r="H202" s="35"/>
      <c r="I202" s="35"/>
      <c r="J202" s="35"/>
      <c r="K202" s="35"/>
      <c r="L202" s="36"/>
      <c r="M202" s="35"/>
      <c r="N202" s="35"/>
    </row>
    <row r="203" spans="1:14" x14ac:dyDescent="0.2">
      <c r="A203" s="149">
        <v>199</v>
      </c>
      <c r="B203" s="65"/>
      <c r="C203" s="65"/>
      <c r="D203" s="30"/>
      <c r="E203" s="145"/>
      <c r="F203" s="146"/>
      <c r="G203" s="30"/>
      <c r="H203" s="35"/>
      <c r="I203" s="35"/>
      <c r="J203" s="35"/>
      <c r="K203" s="35"/>
      <c r="L203" s="36"/>
      <c r="M203" s="35"/>
      <c r="N203" s="35"/>
    </row>
    <row r="204" spans="1:14" x14ac:dyDescent="0.2">
      <c r="A204" s="149">
        <v>200</v>
      </c>
      <c r="B204" s="65"/>
      <c r="C204" s="65"/>
      <c r="D204" s="30"/>
      <c r="E204" s="145"/>
      <c r="F204" s="146"/>
      <c r="G204" s="30"/>
      <c r="H204" s="35"/>
      <c r="I204" s="35"/>
      <c r="J204" s="35"/>
      <c r="K204" s="35"/>
      <c r="L204" s="36"/>
      <c r="M204" s="35"/>
      <c r="N204" s="35"/>
    </row>
    <row r="205" spans="1:14" x14ac:dyDescent="0.2">
      <c r="D205" s="130"/>
    </row>
  </sheetData>
  <autoFilter ref="A4:N204" xr:uid="{00000000-0009-0000-0000-000003000000}"/>
  <dataConsolidate/>
  <mergeCells count="2">
    <mergeCell ref="E3:G3"/>
    <mergeCell ref="A3:C3"/>
  </mergeCells>
  <phoneticPr fontId="4" type="noConversion"/>
  <conditionalFormatting sqref="M205:M65536 Q1:Q2">
    <cfRule type="cellIs" dxfId="89" priority="7" stopIfTrue="1" operator="equal">
      <formula>"Fixed"</formula>
    </cfRule>
    <cfRule type="cellIs" dxfId="88" priority="8" stopIfTrue="1" operator="equal">
      <formula>"Open"</formula>
    </cfRule>
  </conditionalFormatting>
  <conditionalFormatting sqref="M4">
    <cfRule type="cellIs" dxfId="87" priority="9" stopIfTrue="1" operator="equal">
      <formula>"Open"</formula>
    </cfRule>
    <cfRule type="cellIs" dxfId="86" priority="10" stopIfTrue="1" operator="equal">
      <formula>"Fixed"</formula>
    </cfRule>
  </conditionalFormatting>
  <conditionalFormatting sqref="M5:M204">
    <cfRule type="expression" dxfId="85" priority="11" stopIfTrue="1">
      <formula>AND($N5="Approved",$M5="Fixed")</formula>
    </cfRule>
    <cfRule type="cellIs" dxfId="84" priority="12" stopIfTrue="1" operator="equal">
      <formula>"Fixed"</formula>
    </cfRule>
    <cfRule type="cellIs" dxfId="83" priority="13" stopIfTrue="1" operator="equal">
      <formula>"Open"</formula>
    </cfRule>
  </conditionalFormatting>
  <conditionalFormatting sqref="N5:N204">
    <cfRule type="expression" dxfId="82" priority="14" stopIfTrue="1">
      <formula>OR(N5="Fixed",N5="Approved")</formula>
    </cfRule>
    <cfRule type="cellIs" dxfId="81" priority="15" stopIfTrue="1" operator="equal">
      <formula>"Rejected"</formula>
    </cfRule>
  </conditionalFormatting>
  <conditionalFormatting sqref="A3">
    <cfRule type="expression" dxfId="80" priority="1" stopIfTrue="1">
      <formula>$Y$2=1</formula>
    </cfRule>
    <cfRule type="expression" dxfId="79" priority="2" stopIfTrue="1">
      <formula>$Z$2=1</formula>
    </cfRule>
    <cfRule type="expression" dxfId="78" priority="4" stopIfTrue="1">
      <formula>$AB$2=1</formula>
    </cfRule>
  </conditionalFormatting>
  <conditionalFormatting sqref="A3:C3">
    <cfRule type="expression" dxfId="77" priority="3" stopIfTrue="1">
      <formula>$AA$2=1</formula>
    </cfRule>
  </conditionalFormatting>
  <conditionalFormatting sqref="A5:L204">
    <cfRule type="expression" dxfId="76" priority="25" stopIfTrue="1">
      <formula>AND($N5="Approved",OR($M5=$S$1,$M5=$U$1))</formula>
    </cfRule>
  </conditionalFormatting>
  <dataValidations count="5">
    <dataValidation type="list" allowBlank="1" showInputMessage="1" showErrorMessage="1" sqref="M5:M204" xr:uid="{00000000-0002-0000-0300-000000000000}">
      <formula1>$R$1:$V$1</formula1>
    </dataValidation>
    <dataValidation type="list" allowBlank="1" showInputMessage="1" showErrorMessage="1" sqref="N5:N204" xr:uid="{00000000-0002-0000-0300-000001000000}">
      <formula1>$AI$1:$AJ$1</formula1>
    </dataValidation>
    <dataValidation type="list" allowBlank="1" showInputMessage="1" showErrorMessage="1" sqref="I5:I204" xr:uid="{00000000-0002-0000-0300-000002000000}">
      <formula1>"Low,medium,high"</formula1>
    </dataValidation>
    <dataValidation type="list" allowBlank="1" showInputMessage="1" showErrorMessage="1" sqref="J5:J201 J203:J204" xr:uid="{00000000-0002-0000-0300-000003000000}">
      <formula1>"Management Review,Technical Review,Inspection,Walk-through"</formula1>
    </dataValidation>
    <dataValidation type="list" allowBlank="1" showInputMessage="1" showErrorMessage="1" sqref="J202" xr:uid="{00000000-0002-0000-0300-000004000000}">
      <formula1>"Management Review,Technical Review,Walk-through"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7">
    <tabColor theme="7"/>
    <pageSetUpPr fitToPage="1"/>
  </sheetPr>
  <dimension ref="A1:H305"/>
  <sheetViews>
    <sheetView workbookViewId="0">
      <pane xSplit="2" ySplit="4" topLeftCell="C56" activePane="bottomRight" state="frozen"/>
      <selection activeCell="B11" sqref="B11"/>
      <selection pane="topRight" activeCell="B11" sqref="B11"/>
      <selection pane="bottomLeft" activeCell="B11" sqref="B11"/>
      <selection pane="bottomRight" activeCell="B80" sqref="B80"/>
    </sheetView>
  </sheetViews>
  <sheetFormatPr defaultColWidth="9.140625" defaultRowHeight="12.75" x14ac:dyDescent="0.2"/>
  <cols>
    <col min="1" max="1" width="7" style="40" customWidth="1"/>
    <col min="2" max="2" width="90.85546875" style="57" customWidth="1"/>
    <col min="3" max="4" width="4.42578125" style="40" bestFit="1" customWidth="1"/>
    <col min="5" max="8" width="7" style="40" customWidth="1"/>
    <col min="9" max="16384" width="9.140625" style="40"/>
  </cols>
  <sheetData>
    <row r="1" spans="1:8" ht="0.75" customHeight="1" thickBot="1" x14ac:dyDescent="0.25">
      <c r="D1" s="40" t="s">
        <v>43</v>
      </c>
    </row>
    <row r="2" spans="1:8" hidden="1" x14ac:dyDescent="0.2">
      <c r="D2" s="40" t="s">
        <v>44</v>
      </c>
    </row>
    <row r="3" spans="1:8" ht="13.5" hidden="1" thickBot="1" x14ac:dyDescent="0.25">
      <c r="D3" s="40" t="s">
        <v>13</v>
      </c>
    </row>
    <row r="4" spans="1:8" ht="88.5" thickTop="1" thickBot="1" x14ac:dyDescent="0.4">
      <c r="A4" s="58"/>
      <c r="B4" s="47" t="s">
        <v>165</v>
      </c>
      <c r="C4" s="43" t="s">
        <v>46</v>
      </c>
      <c r="D4" s="43" t="s">
        <v>47</v>
      </c>
      <c r="E4" s="43" t="s">
        <v>84</v>
      </c>
      <c r="F4" s="43" t="s">
        <v>84</v>
      </c>
      <c r="G4" s="43" t="s">
        <v>84</v>
      </c>
      <c r="H4" s="43" t="s">
        <v>84</v>
      </c>
    </row>
    <row r="5" spans="1:8" ht="24" thickTop="1" x14ac:dyDescent="0.35">
      <c r="A5" s="59"/>
      <c r="B5" s="50" t="s">
        <v>85</v>
      </c>
      <c r="C5" s="51"/>
      <c r="D5" s="51"/>
      <c r="E5" s="51"/>
      <c r="F5" s="51"/>
      <c r="G5" s="51"/>
      <c r="H5" s="51"/>
    </row>
    <row r="6" spans="1:8" ht="14.25" customHeight="1" x14ac:dyDescent="0.25">
      <c r="A6" s="69" t="s">
        <v>190</v>
      </c>
      <c r="B6" s="70"/>
      <c r="C6" s="71" t="str">
        <f>IF(COUNTIF(E6:BA6,"YES")=0,"",COUNTIF(E6:BA6,"YES"))</f>
        <v/>
      </c>
      <c r="D6" s="71" t="str">
        <f>IF(COUNTIF(E6:BA6,"NO")=0,"",COUNTIF(E6:BA6,"NO"))</f>
        <v/>
      </c>
      <c r="E6" s="72"/>
      <c r="F6" s="72"/>
      <c r="G6" s="72"/>
      <c r="H6" s="72"/>
    </row>
    <row r="7" spans="1:8" ht="15.75" x14ac:dyDescent="0.25">
      <c r="A7" s="60" t="s">
        <v>191</v>
      </c>
      <c r="B7" s="56" t="s">
        <v>114</v>
      </c>
      <c r="C7" s="44" t="str">
        <f>IF(COUNTIF(E7:BA7,"YES")=0,"",COUNTIF(E7:BA7,"YES"))</f>
        <v/>
      </c>
      <c r="D7" s="44" t="str">
        <f>IF(COUNTIF(E7:BA7,"NO")=0,"",COUNTIF(E7:BA7,"NO"))</f>
        <v/>
      </c>
      <c r="E7" s="41"/>
      <c r="F7" s="41"/>
      <c r="G7" s="41"/>
      <c r="H7" s="41"/>
    </row>
    <row r="8" spans="1:8" ht="15.75" x14ac:dyDescent="0.25">
      <c r="A8" s="60" t="s">
        <v>192</v>
      </c>
      <c r="B8" s="259" t="s">
        <v>543</v>
      </c>
      <c r="C8" s="44" t="str">
        <f>IF(COUNTIF(E8:BA8,"YES")=0,"",COUNTIF(E8:BA8,"YES"))</f>
        <v/>
      </c>
      <c r="D8" s="44" t="str">
        <f>IF(COUNTIF(E8:BA8,"NO")=0,"",COUNTIF(E8:BA8,"NO"))</f>
        <v/>
      </c>
      <c r="E8" s="41"/>
      <c r="F8" s="41"/>
      <c r="G8" s="41"/>
      <c r="H8" s="41"/>
    </row>
    <row r="9" spans="1:8" ht="15.75" x14ac:dyDescent="0.25">
      <c r="A9" s="60" t="s">
        <v>193</v>
      </c>
      <c r="B9" s="56" t="s">
        <v>399</v>
      </c>
      <c r="C9" s="44" t="str">
        <f>IF(COUNTIF(E9:BA9,"YES")=0,"",COUNTIF(E9:BA9,"YES"))</f>
        <v/>
      </c>
      <c r="D9" s="44"/>
      <c r="E9" s="41"/>
      <c r="F9" s="41"/>
      <c r="G9" s="41"/>
      <c r="H9" s="41"/>
    </row>
    <row r="10" spans="1:8" ht="15.75" x14ac:dyDescent="0.25">
      <c r="A10" s="69" t="s">
        <v>202</v>
      </c>
      <c r="B10" s="73"/>
      <c r="C10" s="71"/>
      <c r="D10" s="71"/>
      <c r="E10" s="72"/>
      <c r="F10" s="72"/>
      <c r="G10" s="72"/>
      <c r="H10" s="72"/>
    </row>
    <row r="11" spans="1:8" ht="25.5" x14ac:dyDescent="0.25">
      <c r="A11" s="61" t="s">
        <v>199</v>
      </c>
      <c r="B11" s="56" t="s">
        <v>545</v>
      </c>
      <c r="C11" s="44" t="str">
        <f>IF(COUNTIF(E11:BA11,"YES")=0,"",COUNTIF(E11:BA11,"YES"))</f>
        <v/>
      </c>
      <c r="D11" s="44"/>
      <c r="E11" s="41"/>
      <c r="F11" s="41"/>
      <c r="G11" s="41"/>
      <c r="H11" s="41"/>
    </row>
    <row r="12" spans="1:8" ht="15.75" x14ac:dyDescent="0.25">
      <c r="A12" s="61" t="s">
        <v>200</v>
      </c>
      <c r="B12" s="56" t="s">
        <v>120</v>
      </c>
      <c r="C12" s="44" t="str">
        <f>IF(COUNTIF(E12:BA12,"YES")=0,"",COUNTIF(E12:BA12,"YES"))</f>
        <v/>
      </c>
      <c r="D12" s="44"/>
      <c r="E12" s="41"/>
      <c r="F12" s="41"/>
      <c r="G12" s="41"/>
      <c r="H12" s="41"/>
    </row>
    <row r="13" spans="1:8" ht="23.25" x14ac:dyDescent="0.35">
      <c r="A13" s="77"/>
      <c r="B13" s="74" t="s">
        <v>93</v>
      </c>
      <c r="C13" s="71"/>
      <c r="D13" s="71"/>
      <c r="E13" s="72"/>
      <c r="F13" s="72"/>
      <c r="G13" s="72"/>
      <c r="H13" s="72"/>
    </row>
    <row r="14" spans="1:8" ht="13.5" customHeight="1" x14ac:dyDescent="0.25">
      <c r="A14" s="69" t="s">
        <v>94</v>
      </c>
      <c r="B14" s="70"/>
      <c r="C14" s="71" t="str">
        <f t="shared" ref="C14:C77" si="0">IF(COUNTIF(E14:BA14,"YES")=0,"",COUNTIF(E14:BA14,"YES"))</f>
        <v/>
      </c>
      <c r="D14" s="71" t="str">
        <f t="shared" ref="D14:D77" si="1">IF(COUNTIF(E14:BA14,"NO")=0,"",COUNTIF(E14:BA14,"NO"))</f>
        <v/>
      </c>
      <c r="E14" s="72"/>
      <c r="F14" s="72"/>
      <c r="G14" s="72"/>
      <c r="H14" s="72"/>
    </row>
    <row r="15" spans="1:8" ht="13.5" customHeight="1" x14ac:dyDescent="0.25">
      <c r="A15" s="60" t="s">
        <v>51</v>
      </c>
      <c r="B15" s="56" t="s">
        <v>166</v>
      </c>
      <c r="C15" s="44" t="str">
        <f t="shared" si="0"/>
        <v/>
      </c>
      <c r="D15" s="44" t="str">
        <f t="shared" si="1"/>
        <v/>
      </c>
      <c r="E15" s="41"/>
      <c r="F15" s="41"/>
      <c r="G15" s="41"/>
      <c r="H15" s="41"/>
    </row>
    <row r="16" spans="1:8" ht="13.5" customHeight="1" x14ac:dyDescent="0.25">
      <c r="A16" s="60" t="s">
        <v>52</v>
      </c>
      <c r="B16" s="56" t="s">
        <v>167</v>
      </c>
      <c r="C16" s="44" t="str">
        <f t="shared" si="0"/>
        <v/>
      </c>
      <c r="D16" s="44" t="str">
        <f t="shared" si="1"/>
        <v/>
      </c>
      <c r="E16" s="41"/>
      <c r="F16" s="41"/>
      <c r="G16" s="41"/>
      <c r="H16" s="41"/>
    </row>
    <row r="17" spans="3:4" ht="15.75" x14ac:dyDescent="0.25">
      <c r="C17" s="46" t="str">
        <f t="shared" si="0"/>
        <v/>
      </c>
      <c r="D17" s="46" t="str">
        <f t="shared" si="1"/>
        <v/>
      </c>
    </row>
    <row r="18" spans="3:4" ht="15.75" x14ac:dyDescent="0.25">
      <c r="C18" s="46" t="str">
        <f t="shared" si="0"/>
        <v/>
      </c>
      <c r="D18" s="46" t="str">
        <f t="shared" si="1"/>
        <v/>
      </c>
    </row>
    <row r="19" spans="3:4" ht="15.75" x14ac:dyDescent="0.25">
      <c r="C19" s="46" t="str">
        <f t="shared" si="0"/>
        <v/>
      </c>
      <c r="D19" s="46" t="str">
        <f t="shared" si="1"/>
        <v/>
      </c>
    </row>
    <row r="20" spans="3:4" ht="15.75" x14ac:dyDescent="0.25">
      <c r="C20" s="46" t="str">
        <f t="shared" si="0"/>
        <v/>
      </c>
      <c r="D20" s="46" t="str">
        <f t="shared" si="1"/>
        <v/>
      </c>
    </row>
    <row r="21" spans="3:4" ht="15.75" x14ac:dyDescent="0.25">
      <c r="C21" s="46" t="str">
        <f t="shared" si="0"/>
        <v/>
      </c>
      <c r="D21" s="46" t="str">
        <f t="shared" si="1"/>
        <v/>
      </c>
    </row>
    <row r="22" spans="3:4" ht="15.75" x14ac:dyDescent="0.25">
      <c r="C22" s="46" t="str">
        <f t="shared" si="0"/>
        <v/>
      </c>
      <c r="D22" s="46" t="str">
        <f t="shared" si="1"/>
        <v/>
      </c>
    </row>
    <row r="23" spans="3:4" ht="15.75" x14ac:dyDescent="0.25">
      <c r="C23" s="46" t="str">
        <f t="shared" si="0"/>
        <v/>
      </c>
      <c r="D23" s="46" t="str">
        <f t="shared" si="1"/>
        <v/>
      </c>
    </row>
    <row r="24" spans="3:4" ht="15.75" x14ac:dyDescent="0.25">
      <c r="C24" s="46" t="str">
        <f t="shared" si="0"/>
        <v/>
      </c>
      <c r="D24" s="46" t="str">
        <f t="shared" si="1"/>
        <v/>
      </c>
    </row>
    <row r="25" spans="3:4" ht="15.75" x14ac:dyDescent="0.25">
      <c r="C25" s="46" t="str">
        <f t="shared" si="0"/>
        <v/>
      </c>
      <c r="D25" s="46" t="str">
        <f t="shared" si="1"/>
        <v/>
      </c>
    </row>
    <row r="26" spans="3:4" ht="15.75" x14ac:dyDescent="0.25">
      <c r="C26" s="46" t="str">
        <f t="shared" si="0"/>
        <v/>
      </c>
      <c r="D26" s="46" t="str">
        <f t="shared" si="1"/>
        <v/>
      </c>
    </row>
    <row r="27" spans="3:4" ht="15.75" x14ac:dyDescent="0.25">
      <c r="C27" s="46" t="str">
        <f t="shared" si="0"/>
        <v/>
      </c>
      <c r="D27" s="46" t="str">
        <f t="shared" si="1"/>
        <v/>
      </c>
    </row>
    <row r="28" spans="3:4" ht="15.75" x14ac:dyDescent="0.25">
      <c r="C28" s="46" t="str">
        <f t="shared" si="0"/>
        <v/>
      </c>
      <c r="D28" s="46" t="str">
        <f t="shared" si="1"/>
        <v/>
      </c>
    </row>
    <row r="29" spans="3:4" ht="15.75" x14ac:dyDescent="0.25">
      <c r="C29" s="46" t="str">
        <f t="shared" si="0"/>
        <v/>
      </c>
      <c r="D29" s="46" t="str">
        <f t="shared" si="1"/>
        <v/>
      </c>
    </row>
    <row r="30" spans="3:4" ht="15.75" x14ac:dyDescent="0.25">
      <c r="C30" s="46" t="str">
        <f t="shared" si="0"/>
        <v/>
      </c>
      <c r="D30" s="46" t="str">
        <f t="shared" si="1"/>
        <v/>
      </c>
    </row>
    <row r="31" spans="3:4" ht="15.75" x14ac:dyDescent="0.25">
      <c r="C31" s="46" t="str">
        <f t="shared" si="0"/>
        <v/>
      </c>
      <c r="D31" s="46" t="str">
        <f t="shared" si="1"/>
        <v/>
      </c>
    </row>
    <row r="32" spans="3:4" ht="15.75" x14ac:dyDescent="0.25">
      <c r="C32" s="46" t="str">
        <f t="shared" si="0"/>
        <v/>
      </c>
      <c r="D32" s="46" t="str">
        <f t="shared" si="1"/>
        <v/>
      </c>
    </row>
    <row r="33" spans="3:4" ht="15.75" x14ac:dyDescent="0.25">
      <c r="C33" s="46" t="str">
        <f t="shared" si="0"/>
        <v/>
      </c>
      <c r="D33" s="46" t="str">
        <f t="shared" si="1"/>
        <v/>
      </c>
    </row>
    <row r="34" spans="3:4" ht="15.75" x14ac:dyDescent="0.25">
      <c r="C34" s="46" t="str">
        <f t="shared" si="0"/>
        <v/>
      </c>
      <c r="D34" s="46" t="str">
        <f t="shared" si="1"/>
        <v/>
      </c>
    </row>
    <row r="35" spans="3:4" ht="15.75" x14ac:dyDescent="0.25">
      <c r="C35" s="46" t="str">
        <f t="shared" si="0"/>
        <v/>
      </c>
      <c r="D35" s="46" t="str">
        <f t="shared" si="1"/>
        <v/>
      </c>
    </row>
    <row r="36" spans="3:4" ht="15.75" x14ac:dyDescent="0.25">
      <c r="C36" s="46" t="str">
        <f t="shared" si="0"/>
        <v/>
      </c>
      <c r="D36" s="46" t="str">
        <f t="shared" si="1"/>
        <v/>
      </c>
    </row>
    <row r="37" spans="3:4" ht="15.75" x14ac:dyDescent="0.25">
      <c r="C37" s="46" t="str">
        <f t="shared" si="0"/>
        <v/>
      </c>
      <c r="D37" s="46" t="str">
        <f t="shared" si="1"/>
        <v/>
      </c>
    </row>
    <row r="38" spans="3:4" ht="15.75" x14ac:dyDescent="0.25">
      <c r="C38" s="46" t="str">
        <f t="shared" si="0"/>
        <v/>
      </c>
      <c r="D38" s="46" t="str">
        <f t="shared" si="1"/>
        <v/>
      </c>
    </row>
    <row r="39" spans="3:4" ht="15.75" x14ac:dyDescent="0.25">
      <c r="C39" s="46" t="str">
        <f t="shared" si="0"/>
        <v/>
      </c>
      <c r="D39" s="46" t="str">
        <f t="shared" si="1"/>
        <v/>
      </c>
    </row>
    <row r="40" spans="3:4" ht="15.75" x14ac:dyDescent="0.25">
      <c r="C40" s="46" t="str">
        <f t="shared" si="0"/>
        <v/>
      </c>
      <c r="D40" s="46" t="str">
        <f t="shared" si="1"/>
        <v/>
      </c>
    </row>
    <row r="41" spans="3:4" ht="15.75" x14ac:dyDescent="0.25">
      <c r="C41" s="46" t="str">
        <f t="shared" si="0"/>
        <v/>
      </c>
      <c r="D41" s="46" t="str">
        <f t="shared" si="1"/>
        <v/>
      </c>
    </row>
    <row r="42" spans="3:4" ht="15.75" x14ac:dyDescent="0.25">
      <c r="C42" s="46" t="str">
        <f t="shared" si="0"/>
        <v/>
      </c>
      <c r="D42" s="46" t="str">
        <f t="shared" si="1"/>
        <v/>
      </c>
    </row>
    <row r="43" spans="3:4" ht="15.75" x14ac:dyDescent="0.25">
      <c r="C43" s="46" t="str">
        <f t="shared" si="0"/>
        <v/>
      </c>
      <c r="D43" s="46" t="str">
        <f t="shared" si="1"/>
        <v/>
      </c>
    </row>
    <row r="44" spans="3:4" ht="15.75" x14ac:dyDescent="0.25">
      <c r="C44" s="46" t="str">
        <f t="shared" si="0"/>
        <v/>
      </c>
      <c r="D44" s="46" t="str">
        <f t="shared" si="1"/>
        <v/>
      </c>
    </row>
    <row r="45" spans="3:4" ht="15.75" x14ac:dyDescent="0.25">
      <c r="C45" s="46" t="str">
        <f t="shared" si="0"/>
        <v/>
      </c>
      <c r="D45" s="46" t="str">
        <f t="shared" si="1"/>
        <v/>
      </c>
    </row>
    <row r="46" spans="3:4" ht="15.75" x14ac:dyDescent="0.25">
      <c r="C46" s="46" t="str">
        <f t="shared" si="0"/>
        <v/>
      </c>
      <c r="D46" s="46" t="str">
        <f t="shared" si="1"/>
        <v/>
      </c>
    </row>
    <row r="47" spans="3:4" ht="15.75" x14ac:dyDescent="0.25">
      <c r="C47" s="46" t="str">
        <f t="shared" si="0"/>
        <v/>
      </c>
      <c r="D47" s="46" t="str">
        <f t="shared" si="1"/>
        <v/>
      </c>
    </row>
    <row r="48" spans="3:4" ht="15.75" x14ac:dyDescent="0.25">
      <c r="C48" s="46" t="str">
        <f t="shared" si="0"/>
        <v/>
      </c>
      <c r="D48" s="46" t="str">
        <f t="shared" si="1"/>
        <v/>
      </c>
    </row>
    <row r="49" spans="3:4" ht="15.75" x14ac:dyDescent="0.25">
      <c r="C49" s="46" t="str">
        <f t="shared" si="0"/>
        <v/>
      </c>
      <c r="D49" s="46" t="str">
        <f t="shared" si="1"/>
        <v/>
      </c>
    </row>
    <row r="50" spans="3:4" ht="15.75" x14ac:dyDescent="0.25">
      <c r="C50" s="46" t="str">
        <f t="shared" si="0"/>
        <v/>
      </c>
      <c r="D50" s="46" t="str">
        <f t="shared" si="1"/>
        <v/>
      </c>
    </row>
    <row r="51" spans="3:4" ht="15.75" x14ac:dyDescent="0.25">
      <c r="C51" s="46" t="str">
        <f t="shared" si="0"/>
        <v/>
      </c>
      <c r="D51" s="46" t="str">
        <f t="shared" si="1"/>
        <v/>
      </c>
    </row>
    <row r="52" spans="3:4" ht="15.75" x14ac:dyDescent="0.25">
      <c r="C52" s="46" t="str">
        <f t="shared" si="0"/>
        <v/>
      </c>
      <c r="D52" s="46" t="str">
        <f t="shared" si="1"/>
        <v/>
      </c>
    </row>
    <row r="53" spans="3:4" ht="15.75" x14ac:dyDescent="0.25">
      <c r="C53" s="46" t="str">
        <f t="shared" si="0"/>
        <v/>
      </c>
      <c r="D53" s="46" t="str">
        <f t="shared" si="1"/>
        <v/>
      </c>
    </row>
    <row r="54" spans="3:4" ht="15.75" x14ac:dyDescent="0.25">
      <c r="C54" s="46" t="str">
        <f t="shared" si="0"/>
        <v/>
      </c>
      <c r="D54" s="46" t="str">
        <f t="shared" si="1"/>
        <v/>
      </c>
    </row>
    <row r="55" spans="3:4" ht="15.75" x14ac:dyDescent="0.25">
      <c r="C55" s="46" t="str">
        <f t="shared" si="0"/>
        <v/>
      </c>
      <c r="D55" s="46" t="str">
        <f t="shared" si="1"/>
        <v/>
      </c>
    </row>
    <row r="56" spans="3:4" ht="15.75" x14ac:dyDescent="0.25">
      <c r="C56" s="46" t="str">
        <f t="shared" si="0"/>
        <v/>
      </c>
      <c r="D56" s="46" t="str">
        <f t="shared" si="1"/>
        <v/>
      </c>
    </row>
    <row r="57" spans="3:4" ht="15.75" x14ac:dyDescent="0.25">
      <c r="C57" s="46" t="str">
        <f t="shared" si="0"/>
        <v/>
      </c>
      <c r="D57" s="46" t="str">
        <f t="shared" si="1"/>
        <v/>
      </c>
    </row>
    <row r="58" spans="3:4" ht="15.75" x14ac:dyDescent="0.25">
      <c r="C58" s="46" t="str">
        <f t="shared" si="0"/>
        <v/>
      </c>
      <c r="D58" s="46" t="str">
        <f t="shared" si="1"/>
        <v/>
      </c>
    </row>
    <row r="59" spans="3:4" ht="15.75" x14ac:dyDescent="0.25">
      <c r="C59" s="46" t="str">
        <f t="shared" si="0"/>
        <v/>
      </c>
      <c r="D59" s="46" t="str">
        <f t="shared" si="1"/>
        <v/>
      </c>
    </row>
    <row r="60" spans="3:4" ht="15.75" x14ac:dyDescent="0.25">
      <c r="C60" s="46" t="str">
        <f t="shared" si="0"/>
        <v/>
      </c>
      <c r="D60" s="46" t="str">
        <f t="shared" si="1"/>
        <v/>
      </c>
    </row>
    <row r="61" spans="3:4" ht="15.75" x14ac:dyDescent="0.25">
      <c r="C61" s="46" t="str">
        <f t="shared" si="0"/>
        <v/>
      </c>
      <c r="D61" s="46" t="str">
        <f t="shared" si="1"/>
        <v/>
      </c>
    </row>
    <row r="62" spans="3:4" ht="15.75" x14ac:dyDescent="0.25">
      <c r="C62" s="46" t="str">
        <f t="shared" si="0"/>
        <v/>
      </c>
      <c r="D62" s="46" t="str">
        <f t="shared" si="1"/>
        <v/>
      </c>
    </row>
    <row r="63" spans="3:4" ht="15.75" x14ac:dyDescent="0.25">
      <c r="C63" s="46" t="str">
        <f t="shared" si="0"/>
        <v/>
      </c>
      <c r="D63" s="46" t="str">
        <f t="shared" si="1"/>
        <v/>
      </c>
    </row>
    <row r="64" spans="3:4" ht="15.75" x14ac:dyDescent="0.25">
      <c r="C64" s="46" t="str">
        <f t="shared" si="0"/>
        <v/>
      </c>
      <c r="D64" s="46" t="str">
        <f t="shared" si="1"/>
        <v/>
      </c>
    </row>
    <row r="65" spans="3:4" ht="15.75" x14ac:dyDescent="0.25">
      <c r="C65" s="46" t="str">
        <f t="shared" si="0"/>
        <v/>
      </c>
      <c r="D65" s="46" t="str">
        <f t="shared" si="1"/>
        <v/>
      </c>
    </row>
    <row r="66" spans="3:4" ht="15.75" x14ac:dyDescent="0.25">
      <c r="C66" s="46" t="str">
        <f t="shared" si="0"/>
        <v/>
      </c>
      <c r="D66" s="46" t="str">
        <f t="shared" si="1"/>
        <v/>
      </c>
    </row>
    <row r="67" spans="3:4" ht="15.75" x14ac:dyDescent="0.25">
      <c r="C67" s="46" t="str">
        <f t="shared" si="0"/>
        <v/>
      </c>
      <c r="D67" s="46" t="str">
        <f t="shared" si="1"/>
        <v/>
      </c>
    </row>
    <row r="68" spans="3:4" ht="15.75" x14ac:dyDescent="0.25">
      <c r="C68" s="46" t="str">
        <f t="shared" si="0"/>
        <v/>
      </c>
      <c r="D68" s="46" t="str">
        <f t="shared" si="1"/>
        <v/>
      </c>
    </row>
    <row r="69" spans="3:4" ht="15.75" x14ac:dyDescent="0.25">
      <c r="C69" s="46" t="str">
        <f t="shared" si="0"/>
        <v/>
      </c>
      <c r="D69" s="46" t="str">
        <f t="shared" si="1"/>
        <v/>
      </c>
    </row>
    <row r="70" spans="3:4" ht="15.75" x14ac:dyDescent="0.25">
      <c r="C70" s="46" t="str">
        <f t="shared" si="0"/>
        <v/>
      </c>
      <c r="D70" s="46" t="str">
        <f t="shared" si="1"/>
        <v/>
      </c>
    </row>
    <row r="71" spans="3:4" ht="15.75" x14ac:dyDescent="0.25">
      <c r="C71" s="46" t="str">
        <f t="shared" si="0"/>
        <v/>
      </c>
      <c r="D71" s="46" t="str">
        <f t="shared" si="1"/>
        <v/>
      </c>
    </row>
    <row r="72" spans="3:4" ht="15.75" x14ac:dyDescent="0.25">
      <c r="C72" s="46" t="str">
        <f t="shared" si="0"/>
        <v/>
      </c>
      <c r="D72" s="46" t="str">
        <f t="shared" si="1"/>
        <v/>
      </c>
    </row>
    <row r="73" spans="3:4" ht="15.75" x14ac:dyDescent="0.25">
      <c r="C73" s="46" t="str">
        <f t="shared" si="0"/>
        <v/>
      </c>
      <c r="D73" s="46" t="str">
        <f t="shared" si="1"/>
        <v/>
      </c>
    </row>
    <row r="74" spans="3:4" ht="15.75" x14ac:dyDescent="0.25">
      <c r="C74" s="46" t="str">
        <f t="shared" si="0"/>
        <v/>
      </c>
      <c r="D74" s="46" t="str">
        <f t="shared" si="1"/>
        <v/>
      </c>
    </row>
    <row r="75" spans="3:4" ht="15.75" x14ac:dyDescent="0.25">
      <c r="C75" s="46" t="str">
        <f t="shared" si="0"/>
        <v/>
      </c>
      <c r="D75" s="46" t="str">
        <f t="shared" si="1"/>
        <v/>
      </c>
    </row>
    <row r="76" spans="3:4" ht="15.75" x14ac:dyDescent="0.25">
      <c r="C76" s="46" t="str">
        <f t="shared" si="0"/>
        <v/>
      </c>
      <c r="D76" s="46" t="str">
        <f t="shared" si="1"/>
        <v/>
      </c>
    </row>
    <row r="77" spans="3:4" ht="15.75" x14ac:dyDescent="0.25">
      <c r="C77" s="46" t="str">
        <f t="shared" si="0"/>
        <v/>
      </c>
      <c r="D77" s="46" t="str">
        <f t="shared" si="1"/>
        <v/>
      </c>
    </row>
    <row r="78" spans="3:4" ht="15.75" x14ac:dyDescent="0.25">
      <c r="C78" s="46" t="str">
        <f t="shared" ref="C78:C141" si="2">IF(COUNTIF(E78:BA78,"YES")=0,"",COUNTIF(E78:BA78,"YES"))</f>
        <v/>
      </c>
      <c r="D78" s="46" t="str">
        <f t="shared" ref="D78:D141" si="3">IF(COUNTIF(E78:BA78,"NO")=0,"",COUNTIF(E78:BA78,"NO"))</f>
        <v/>
      </c>
    </row>
    <row r="79" spans="3:4" ht="15.75" x14ac:dyDescent="0.25">
      <c r="C79" s="46" t="str">
        <f t="shared" si="2"/>
        <v/>
      </c>
      <c r="D79" s="46" t="str">
        <f t="shared" si="3"/>
        <v/>
      </c>
    </row>
    <row r="80" spans="3:4" ht="15.75" x14ac:dyDescent="0.25">
      <c r="C80" s="46" t="str">
        <f t="shared" si="2"/>
        <v/>
      </c>
      <c r="D80" s="46" t="str">
        <f t="shared" si="3"/>
        <v/>
      </c>
    </row>
    <row r="81" spans="3:4" ht="15.75" x14ac:dyDescent="0.25">
      <c r="C81" s="46" t="str">
        <f t="shared" si="2"/>
        <v/>
      </c>
      <c r="D81" s="46" t="str">
        <f t="shared" si="3"/>
        <v/>
      </c>
    </row>
    <row r="82" spans="3:4" ht="15.75" x14ac:dyDescent="0.25">
      <c r="C82" s="46" t="str">
        <f t="shared" si="2"/>
        <v/>
      </c>
      <c r="D82" s="46" t="str">
        <f t="shared" si="3"/>
        <v/>
      </c>
    </row>
    <row r="83" spans="3:4" ht="15.75" x14ac:dyDescent="0.25">
      <c r="C83" s="46" t="str">
        <f t="shared" si="2"/>
        <v/>
      </c>
      <c r="D83" s="46" t="str">
        <f t="shared" si="3"/>
        <v/>
      </c>
    </row>
    <row r="84" spans="3:4" ht="15.75" x14ac:dyDescent="0.25">
      <c r="C84" s="46" t="str">
        <f t="shared" si="2"/>
        <v/>
      </c>
      <c r="D84" s="46" t="str">
        <f t="shared" si="3"/>
        <v/>
      </c>
    </row>
    <row r="85" spans="3:4" ht="15.75" x14ac:dyDescent="0.25">
      <c r="C85" s="46" t="str">
        <f t="shared" si="2"/>
        <v/>
      </c>
      <c r="D85" s="46" t="str">
        <f t="shared" si="3"/>
        <v/>
      </c>
    </row>
    <row r="86" spans="3:4" ht="15.75" x14ac:dyDescent="0.25">
      <c r="C86" s="46" t="str">
        <f t="shared" si="2"/>
        <v/>
      </c>
      <c r="D86" s="46" t="str">
        <f t="shared" si="3"/>
        <v/>
      </c>
    </row>
    <row r="87" spans="3:4" ht="15.75" x14ac:dyDescent="0.25">
      <c r="C87" s="46" t="str">
        <f t="shared" si="2"/>
        <v/>
      </c>
      <c r="D87" s="46" t="str">
        <f t="shared" si="3"/>
        <v/>
      </c>
    </row>
    <row r="88" spans="3:4" ht="15.75" x14ac:dyDescent="0.25">
      <c r="C88" s="46" t="str">
        <f t="shared" si="2"/>
        <v/>
      </c>
      <c r="D88" s="46" t="str">
        <f t="shared" si="3"/>
        <v/>
      </c>
    </row>
    <row r="89" spans="3:4" ht="15.75" x14ac:dyDescent="0.25">
      <c r="C89" s="46" t="str">
        <f t="shared" si="2"/>
        <v/>
      </c>
      <c r="D89" s="46" t="str">
        <f t="shared" si="3"/>
        <v/>
      </c>
    </row>
    <row r="90" spans="3:4" ht="15.75" x14ac:dyDescent="0.25">
      <c r="C90" s="46" t="str">
        <f t="shared" si="2"/>
        <v/>
      </c>
      <c r="D90" s="46" t="str">
        <f t="shared" si="3"/>
        <v/>
      </c>
    </row>
    <row r="91" spans="3:4" ht="15.75" x14ac:dyDescent="0.25">
      <c r="C91" s="46" t="str">
        <f t="shared" si="2"/>
        <v/>
      </c>
      <c r="D91" s="46" t="str">
        <f t="shared" si="3"/>
        <v/>
      </c>
    </row>
    <row r="92" spans="3:4" ht="15.75" x14ac:dyDescent="0.25">
      <c r="C92" s="46" t="str">
        <f t="shared" si="2"/>
        <v/>
      </c>
      <c r="D92" s="46" t="str">
        <f t="shared" si="3"/>
        <v/>
      </c>
    </row>
    <row r="93" spans="3:4" ht="15.75" x14ac:dyDescent="0.25">
      <c r="C93" s="46" t="str">
        <f t="shared" si="2"/>
        <v/>
      </c>
      <c r="D93" s="46" t="str">
        <f t="shared" si="3"/>
        <v/>
      </c>
    </row>
    <row r="94" spans="3:4" ht="15.75" x14ac:dyDescent="0.25">
      <c r="C94" s="46" t="str">
        <f t="shared" si="2"/>
        <v/>
      </c>
      <c r="D94" s="46" t="str">
        <f t="shared" si="3"/>
        <v/>
      </c>
    </row>
    <row r="95" spans="3:4" ht="15.75" x14ac:dyDescent="0.25">
      <c r="C95" s="46" t="str">
        <f t="shared" si="2"/>
        <v/>
      </c>
      <c r="D95" s="46" t="str">
        <f t="shared" si="3"/>
        <v/>
      </c>
    </row>
    <row r="96" spans="3:4" ht="15.75" x14ac:dyDescent="0.25">
      <c r="C96" s="46" t="str">
        <f t="shared" si="2"/>
        <v/>
      </c>
      <c r="D96" s="46" t="str">
        <f t="shared" si="3"/>
        <v/>
      </c>
    </row>
    <row r="97" spans="3:4" ht="15.75" x14ac:dyDescent="0.25">
      <c r="C97" s="46" t="str">
        <f t="shared" si="2"/>
        <v/>
      </c>
      <c r="D97" s="46" t="str">
        <f t="shared" si="3"/>
        <v/>
      </c>
    </row>
    <row r="98" spans="3:4" ht="15.75" x14ac:dyDescent="0.25">
      <c r="C98" s="46" t="str">
        <f t="shared" si="2"/>
        <v/>
      </c>
      <c r="D98" s="46" t="str">
        <f t="shared" si="3"/>
        <v/>
      </c>
    </row>
    <row r="99" spans="3:4" ht="15.75" x14ac:dyDescent="0.25">
      <c r="C99" s="46" t="str">
        <f t="shared" si="2"/>
        <v/>
      </c>
      <c r="D99" s="46" t="str">
        <f t="shared" si="3"/>
        <v/>
      </c>
    </row>
    <row r="100" spans="3:4" ht="15.75" x14ac:dyDescent="0.25">
      <c r="C100" s="46" t="str">
        <f t="shared" si="2"/>
        <v/>
      </c>
      <c r="D100" s="46" t="str">
        <f t="shared" si="3"/>
        <v/>
      </c>
    </row>
    <row r="101" spans="3:4" ht="15.75" x14ac:dyDescent="0.25">
      <c r="C101" s="46" t="str">
        <f t="shared" si="2"/>
        <v/>
      </c>
      <c r="D101" s="46" t="str">
        <f t="shared" si="3"/>
        <v/>
      </c>
    </row>
    <row r="102" spans="3:4" ht="15.75" x14ac:dyDescent="0.25">
      <c r="C102" s="46" t="str">
        <f t="shared" si="2"/>
        <v/>
      </c>
      <c r="D102" s="46" t="str">
        <f t="shared" si="3"/>
        <v/>
      </c>
    </row>
    <row r="103" spans="3:4" ht="15.75" x14ac:dyDescent="0.25">
      <c r="C103" s="46" t="str">
        <f t="shared" si="2"/>
        <v/>
      </c>
      <c r="D103" s="46" t="str">
        <f t="shared" si="3"/>
        <v/>
      </c>
    </row>
    <row r="104" spans="3:4" ht="15.75" x14ac:dyDescent="0.25">
      <c r="C104" s="46" t="str">
        <f t="shared" si="2"/>
        <v/>
      </c>
      <c r="D104" s="46" t="str">
        <f t="shared" si="3"/>
        <v/>
      </c>
    </row>
    <row r="105" spans="3:4" ht="15.75" x14ac:dyDescent="0.25">
      <c r="C105" s="46" t="str">
        <f t="shared" si="2"/>
        <v/>
      </c>
      <c r="D105" s="46" t="str">
        <f t="shared" si="3"/>
        <v/>
      </c>
    </row>
    <row r="106" spans="3:4" ht="15.75" x14ac:dyDescent="0.25">
      <c r="C106" s="46" t="str">
        <f t="shared" si="2"/>
        <v/>
      </c>
      <c r="D106" s="46" t="str">
        <f t="shared" si="3"/>
        <v/>
      </c>
    </row>
    <row r="107" spans="3:4" ht="15.75" x14ac:dyDescent="0.25">
      <c r="C107" s="46" t="str">
        <f t="shared" si="2"/>
        <v/>
      </c>
      <c r="D107" s="46" t="str">
        <f t="shared" si="3"/>
        <v/>
      </c>
    </row>
    <row r="108" spans="3:4" ht="15.75" x14ac:dyDescent="0.25">
      <c r="C108" s="46" t="str">
        <f t="shared" si="2"/>
        <v/>
      </c>
      <c r="D108" s="46" t="str">
        <f t="shared" si="3"/>
        <v/>
      </c>
    </row>
    <row r="109" spans="3:4" ht="15.75" x14ac:dyDescent="0.25">
      <c r="C109" s="46" t="str">
        <f t="shared" si="2"/>
        <v/>
      </c>
      <c r="D109" s="46" t="str">
        <f t="shared" si="3"/>
        <v/>
      </c>
    </row>
    <row r="110" spans="3:4" ht="15.75" x14ac:dyDescent="0.25">
      <c r="C110" s="46" t="str">
        <f t="shared" si="2"/>
        <v/>
      </c>
      <c r="D110" s="46" t="str">
        <f t="shared" si="3"/>
        <v/>
      </c>
    </row>
    <row r="111" spans="3:4" ht="15.75" x14ac:dyDescent="0.25">
      <c r="C111" s="46" t="str">
        <f t="shared" si="2"/>
        <v/>
      </c>
      <c r="D111" s="46" t="str">
        <f t="shared" si="3"/>
        <v/>
      </c>
    </row>
    <row r="112" spans="3:4" ht="15.75" x14ac:dyDescent="0.25">
      <c r="C112" s="46" t="str">
        <f t="shared" si="2"/>
        <v/>
      </c>
      <c r="D112" s="46" t="str">
        <f t="shared" si="3"/>
        <v/>
      </c>
    </row>
    <row r="113" spans="3:4" ht="15.75" x14ac:dyDescent="0.25">
      <c r="C113" s="46" t="str">
        <f t="shared" si="2"/>
        <v/>
      </c>
      <c r="D113" s="46" t="str">
        <f t="shared" si="3"/>
        <v/>
      </c>
    </row>
    <row r="114" spans="3:4" ht="15.75" x14ac:dyDescent="0.25">
      <c r="C114" s="46" t="str">
        <f t="shared" si="2"/>
        <v/>
      </c>
      <c r="D114" s="46" t="str">
        <f t="shared" si="3"/>
        <v/>
      </c>
    </row>
    <row r="115" spans="3:4" ht="15.75" x14ac:dyDescent="0.25">
      <c r="C115" s="46" t="str">
        <f t="shared" si="2"/>
        <v/>
      </c>
      <c r="D115" s="46" t="str">
        <f t="shared" si="3"/>
        <v/>
      </c>
    </row>
    <row r="116" spans="3:4" ht="15.75" x14ac:dyDescent="0.25">
      <c r="C116" s="46" t="str">
        <f t="shared" si="2"/>
        <v/>
      </c>
      <c r="D116" s="46" t="str">
        <f t="shared" si="3"/>
        <v/>
      </c>
    </row>
    <row r="117" spans="3:4" ht="15.75" x14ac:dyDescent="0.25">
      <c r="C117" s="46" t="str">
        <f t="shared" si="2"/>
        <v/>
      </c>
      <c r="D117" s="46" t="str">
        <f t="shared" si="3"/>
        <v/>
      </c>
    </row>
    <row r="118" spans="3:4" ht="15.75" x14ac:dyDescent="0.25">
      <c r="C118" s="46" t="str">
        <f t="shared" si="2"/>
        <v/>
      </c>
      <c r="D118" s="46" t="str">
        <f t="shared" si="3"/>
        <v/>
      </c>
    </row>
    <row r="119" spans="3:4" ht="15.75" x14ac:dyDescent="0.25">
      <c r="C119" s="46" t="str">
        <f t="shared" si="2"/>
        <v/>
      </c>
      <c r="D119" s="46" t="str">
        <f t="shared" si="3"/>
        <v/>
      </c>
    </row>
    <row r="120" spans="3:4" ht="15.75" x14ac:dyDescent="0.25">
      <c r="C120" s="46" t="str">
        <f t="shared" si="2"/>
        <v/>
      </c>
      <c r="D120" s="46" t="str">
        <f t="shared" si="3"/>
        <v/>
      </c>
    </row>
    <row r="121" spans="3:4" ht="15.75" x14ac:dyDescent="0.25">
      <c r="C121" s="46" t="str">
        <f t="shared" si="2"/>
        <v/>
      </c>
      <c r="D121" s="46" t="str">
        <f t="shared" si="3"/>
        <v/>
      </c>
    </row>
    <row r="122" spans="3:4" ht="15.75" x14ac:dyDescent="0.25">
      <c r="C122" s="46" t="str">
        <f t="shared" si="2"/>
        <v/>
      </c>
      <c r="D122" s="46" t="str">
        <f t="shared" si="3"/>
        <v/>
      </c>
    </row>
    <row r="123" spans="3:4" ht="15.75" x14ac:dyDescent="0.25">
      <c r="C123" s="46" t="str">
        <f t="shared" si="2"/>
        <v/>
      </c>
      <c r="D123" s="46" t="str">
        <f t="shared" si="3"/>
        <v/>
      </c>
    </row>
    <row r="124" spans="3:4" ht="15.75" x14ac:dyDescent="0.25">
      <c r="C124" s="46" t="str">
        <f t="shared" si="2"/>
        <v/>
      </c>
      <c r="D124" s="46" t="str">
        <f t="shared" si="3"/>
        <v/>
      </c>
    </row>
    <row r="125" spans="3:4" ht="15.75" x14ac:dyDescent="0.25">
      <c r="C125" s="46" t="str">
        <f t="shared" si="2"/>
        <v/>
      </c>
      <c r="D125" s="46" t="str">
        <f t="shared" si="3"/>
        <v/>
      </c>
    </row>
    <row r="126" spans="3:4" ht="15.75" x14ac:dyDescent="0.25">
      <c r="C126" s="46" t="str">
        <f t="shared" si="2"/>
        <v/>
      </c>
      <c r="D126" s="46" t="str">
        <f t="shared" si="3"/>
        <v/>
      </c>
    </row>
    <row r="127" spans="3:4" ht="15.75" x14ac:dyDescent="0.25">
      <c r="C127" s="46" t="str">
        <f t="shared" si="2"/>
        <v/>
      </c>
      <c r="D127" s="46" t="str">
        <f t="shared" si="3"/>
        <v/>
      </c>
    </row>
    <row r="128" spans="3:4" ht="15.75" x14ac:dyDescent="0.25">
      <c r="C128" s="46" t="str">
        <f t="shared" si="2"/>
        <v/>
      </c>
      <c r="D128" s="46" t="str">
        <f t="shared" si="3"/>
        <v/>
      </c>
    </row>
    <row r="129" spans="3:4" ht="15.75" x14ac:dyDescent="0.25">
      <c r="C129" s="46" t="str">
        <f t="shared" si="2"/>
        <v/>
      </c>
      <c r="D129" s="46" t="str">
        <f t="shared" si="3"/>
        <v/>
      </c>
    </row>
    <row r="130" spans="3:4" ht="15.75" x14ac:dyDescent="0.25">
      <c r="C130" s="46" t="str">
        <f t="shared" si="2"/>
        <v/>
      </c>
      <c r="D130" s="46" t="str">
        <f t="shared" si="3"/>
        <v/>
      </c>
    </row>
    <row r="131" spans="3:4" ht="15.75" x14ac:dyDescent="0.25">
      <c r="C131" s="46" t="str">
        <f t="shared" si="2"/>
        <v/>
      </c>
      <c r="D131" s="46" t="str">
        <f t="shared" si="3"/>
        <v/>
      </c>
    </row>
    <row r="132" spans="3:4" ht="15.75" x14ac:dyDescent="0.25">
      <c r="C132" s="46" t="str">
        <f t="shared" si="2"/>
        <v/>
      </c>
      <c r="D132" s="46" t="str">
        <f t="shared" si="3"/>
        <v/>
      </c>
    </row>
    <row r="133" spans="3:4" ht="15.75" x14ac:dyDescent="0.25">
      <c r="C133" s="46" t="str">
        <f t="shared" si="2"/>
        <v/>
      </c>
      <c r="D133" s="46" t="str">
        <f t="shared" si="3"/>
        <v/>
      </c>
    </row>
    <row r="134" spans="3:4" ht="15.75" x14ac:dyDescent="0.25">
      <c r="C134" s="46" t="str">
        <f t="shared" si="2"/>
        <v/>
      </c>
      <c r="D134" s="46" t="str">
        <f t="shared" si="3"/>
        <v/>
      </c>
    </row>
    <row r="135" spans="3:4" ht="15.75" x14ac:dyDescent="0.25">
      <c r="C135" s="46" t="str">
        <f t="shared" si="2"/>
        <v/>
      </c>
      <c r="D135" s="46" t="str">
        <f t="shared" si="3"/>
        <v/>
      </c>
    </row>
    <row r="136" spans="3:4" ht="15.75" x14ac:dyDescent="0.25">
      <c r="C136" s="46" t="str">
        <f t="shared" si="2"/>
        <v/>
      </c>
      <c r="D136" s="46" t="str">
        <f t="shared" si="3"/>
        <v/>
      </c>
    </row>
    <row r="137" spans="3:4" ht="15.75" x14ac:dyDescent="0.25">
      <c r="C137" s="46" t="str">
        <f t="shared" si="2"/>
        <v/>
      </c>
      <c r="D137" s="46" t="str">
        <f t="shared" si="3"/>
        <v/>
      </c>
    </row>
    <row r="138" spans="3:4" ht="15.75" x14ac:dyDescent="0.25">
      <c r="C138" s="46" t="str">
        <f t="shared" si="2"/>
        <v/>
      </c>
      <c r="D138" s="46" t="str">
        <f t="shared" si="3"/>
        <v/>
      </c>
    </row>
    <row r="139" spans="3:4" ht="15.75" x14ac:dyDescent="0.25">
      <c r="C139" s="46" t="str">
        <f t="shared" si="2"/>
        <v/>
      </c>
      <c r="D139" s="46" t="str">
        <f t="shared" si="3"/>
        <v/>
      </c>
    </row>
    <row r="140" spans="3:4" ht="15.75" x14ac:dyDescent="0.25">
      <c r="C140" s="46" t="str">
        <f t="shared" si="2"/>
        <v/>
      </c>
      <c r="D140" s="46" t="str">
        <f t="shared" si="3"/>
        <v/>
      </c>
    </row>
    <row r="141" spans="3:4" ht="15.75" x14ac:dyDescent="0.25">
      <c r="C141" s="46" t="str">
        <f t="shared" si="2"/>
        <v/>
      </c>
      <c r="D141" s="46" t="str">
        <f t="shared" si="3"/>
        <v/>
      </c>
    </row>
    <row r="142" spans="3:4" ht="15.75" x14ac:dyDescent="0.25">
      <c r="C142" s="46" t="str">
        <f t="shared" ref="C142:C205" si="4">IF(COUNTIF(E142:BA142,"YES")=0,"",COUNTIF(E142:BA142,"YES"))</f>
        <v/>
      </c>
      <c r="D142" s="46" t="str">
        <f t="shared" ref="D142:D205" si="5">IF(COUNTIF(E142:BA142,"NO")=0,"",COUNTIF(E142:BA142,"NO"))</f>
        <v/>
      </c>
    </row>
    <row r="143" spans="3:4" ht="15.75" x14ac:dyDescent="0.25">
      <c r="C143" s="46" t="str">
        <f t="shared" si="4"/>
        <v/>
      </c>
      <c r="D143" s="46" t="str">
        <f t="shared" si="5"/>
        <v/>
      </c>
    </row>
    <row r="144" spans="3:4" ht="15.75" x14ac:dyDescent="0.25">
      <c r="C144" s="46" t="str">
        <f t="shared" si="4"/>
        <v/>
      </c>
      <c r="D144" s="46" t="str">
        <f t="shared" si="5"/>
        <v/>
      </c>
    </row>
    <row r="145" spans="3:4" ht="15.75" x14ac:dyDescent="0.25">
      <c r="C145" s="46" t="str">
        <f t="shared" si="4"/>
        <v/>
      </c>
      <c r="D145" s="46" t="str">
        <f t="shared" si="5"/>
        <v/>
      </c>
    </row>
    <row r="146" spans="3:4" ht="15.75" x14ac:dyDescent="0.25">
      <c r="C146" s="46" t="str">
        <f t="shared" si="4"/>
        <v/>
      </c>
      <c r="D146" s="46" t="str">
        <f t="shared" si="5"/>
        <v/>
      </c>
    </row>
    <row r="147" spans="3:4" ht="15.75" x14ac:dyDescent="0.25">
      <c r="C147" s="46" t="str">
        <f t="shared" si="4"/>
        <v/>
      </c>
      <c r="D147" s="46" t="str">
        <f t="shared" si="5"/>
        <v/>
      </c>
    </row>
    <row r="148" spans="3:4" ht="15.75" x14ac:dyDescent="0.25">
      <c r="C148" s="46" t="str">
        <f t="shared" si="4"/>
        <v/>
      </c>
      <c r="D148" s="46" t="str">
        <f t="shared" si="5"/>
        <v/>
      </c>
    </row>
    <row r="149" spans="3:4" ht="15.75" x14ac:dyDescent="0.25">
      <c r="C149" s="46" t="str">
        <f t="shared" si="4"/>
        <v/>
      </c>
      <c r="D149" s="46" t="str">
        <f t="shared" si="5"/>
        <v/>
      </c>
    </row>
    <row r="150" spans="3:4" ht="15.75" x14ac:dyDescent="0.25">
      <c r="C150" s="46" t="str">
        <f t="shared" si="4"/>
        <v/>
      </c>
      <c r="D150" s="46" t="str">
        <f t="shared" si="5"/>
        <v/>
      </c>
    </row>
    <row r="151" spans="3:4" ht="15.75" x14ac:dyDescent="0.25">
      <c r="C151" s="46" t="str">
        <f t="shared" si="4"/>
        <v/>
      </c>
      <c r="D151" s="46" t="str">
        <f t="shared" si="5"/>
        <v/>
      </c>
    </row>
    <row r="152" spans="3:4" ht="15.75" x14ac:dyDescent="0.25">
      <c r="C152" s="46" t="str">
        <f t="shared" si="4"/>
        <v/>
      </c>
      <c r="D152" s="46" t="str">
        <f t="shared" si="5"/>
        <v/>
      </c>
    </row>
    <row r="153" spans="3:4" ht="15.75" x14ac:dyDescent="0.25">
      <c r="C153" s="46" t="str">
        <f t="shared" si="4"/>
        <v/>
      </c>
      <c r="D153" s="46" t="str">
        <f t="shared" si="5"/>
        <v/>
      </c>
    </row>
    <row r="154" spans="3:4" ht="15.75" x14ac:dyDescent="0.25">
      <c r="C154" s="46" t="str">
        <f t="shared" si="4"/>
        <v/>
      </c>
      <c r="D154" s="46" t="str">
        <f t="shared" si="5"/>
        <v/>
      </c>
    </row>
    <row r="155" spans="3:4" ht="15.75" x14ac:dyDescent="0.25">
      <c r="C155" s="46" t="str">
        <f t="shared" si="4"/>
        <v/>
      </c>
      <c r="D155" s="46" t="str">
        <f t="shared" si="5"/>
        <v/>
      </c>
    </row>
    <row r="156" spans="3:4" ht="15.75" x14ac:dyDescent="0.25">
      <c r="C156" s="46" t="str">
        <f t="shared" si="4"/>
        <v/>
      </c>
      <c r="D156" s="46" t="str">
        <f t="shared" si="5"/>
        <v/>
      </c>
    </row>
    <row r="157" spans="3:4" ht="15.75" x14ac:dyDescent="0.25">
      <c r="C157" s="46" t="str">
        <f t="shared" si="4"/>
        <v/>
      </c>
      <c r="D157" s="46" t="str">
        <f t="shared" si="5"/>
        <v/>
      </c>
    </row>
    <row r="158" spans="3:4" ht="15.75" x14ac:dyDescent="0.25">
      <c r="C158" s="46" t="str">
        <f t="shared" si="4"/>
        <v/>
      </c>
      <c r="D158" s="46" t="str">
        <f t="shared" si="5"/>
        <v/>
      </c>
    </row>
    <row r="159" spans="3:4" ht="15.75" x14ac:dyDescent="0.25">
      <c r="C159" s="46" t="str">
        <f t="shared" si="4"/>
        <v/>
      </c>
      <c r="D159" s="46" t="str">
        <f t="shared" si="5"/>
        <v/>
      </c>
    </row>
    <row r="160" spans="3:4" ht="15.75" x14ac:dyDescent="0.25">
      <c r="C160" s="46" t="str">
        <f t="shared" si="4"/>
        <v/>
      </c>
      <c r="D160" s="46" t="str">
        <f t="shared" si="5"/>
        <v/>
      </c>
    </row>
    <row r="161" spans="3:4" ht="15.75" x14ac:dyDescent="0.25">
      <c r="C161" s="46" t="str">
        <f t="shared" si="4"/>
        <v/>
      </c>
      <c r="D161" s="46" t="str">
        <f t="shared" si="5"/>
        <v/>
      </c>
    </row>
    <row r="162" spans="3:4" ht="15.75" x14ac:dyDescent="0.25">
      <c r="C162" s="46" t="str">
        <f t="shared" si="4"/>
        <v/>
      </c>
      <c r="D162" s="46" t="str">
        <f t="shared" si="5"/>
        <v/>
      </c>
    </row>
    <row r="163" spans="3:4" ht="15.75" x14ac:dyDescent="0.25">
      <c r="C163" s="46" t="str">
        <f t="shared" si="4"/>
        <v/>
      </c>
      <c r="D163" s="46" t="str">
        <f t="shared" si="5"/>
        <v/>
      </c>
    </row>
    <row r="164" spans="3:4" ht="15.75" x14ac:dyDescent="0.25">
      <c r="C164" s="46" t="str">
        <f t="shared" si="4"/>
        <v/>
      </c>
      <c r="D164" s="46" t="str">
        <f t="shared" si="5"/>
        <v/>
      </c>
    </row>
    <row r="165" spans="3:4" ht="15.75" x14ac:dyDescent="0.25">
      <c r="C165" s="46" t="str">
        <f t="shared" si="4"/>
        <v/>
      </c>
      <c r="D165" s="46" t="str">
        <f t="shared" si="5"/>
        <v/>
      </c>
    </row>
    <row r="166" spans="3:4" ht="15.75" x14ac:dyDescent="0.25">
      <c r="C166" s="46" t="str">
        <f t="shared" si="4"/>
        <v/>
      </c>
      <c r="D166" s="46" t="str">
        <f t="shared" si="5"/>
        <v/>
      </c>
    </row>
    <row r="167" spans="3:4" ht="15.75" x14ac:dyDescent="0.25">
      <c r="C167" s="46" t="str">
        <f t="shared" si="4"/>
        <v/>
      </c>
      <c r="D167" s="46" t="str">
        <f t="shared" si="5"/>
        <v/>
      </c>
    </row>
    <row r="168" spans="3:4" ht="15.75" x14ac:dyDescent="0.25">
      <c r="C168" s="46" t="str">
        <f t="shared" si="4"/>
        <v/>
      </c>
      <c r="D168" s="46" t="str">
        <f t="shared" si="5"/>
        <v/>
      </c>
    </row>
    <row r="169" spans="3:4" ht="15.75" x14ac:dyDescent="0.25">
      <c r="C169" s="46" t="str">
        <f t="shared" si="4"/>
        <v/>
      </c>
      <c r="D169" s="46" t="str">
        <f t="shared" si="5"/>
        <v/>
      </c>
    </row>
    <row r="170" spans="3:4" ht="15.75" x14ac:dyDescent="0.25">
      <c r="C170" s="46" t="str">
        <f t="shared" si="4"/>
        <v/>
      </c>
      <c r="D170" s="46" t="str">
        <f t="shared" si="5"/>
        <v/>
      </c>
    </row>
    <row r="171" spans="3:4" ht="15.75" x14ac:dyDescent="0.25">
      <c r="C171" s="46" t="str">
        <f t="shared" si="4"/>
        <v/>
      </c>
      <c r="D171" s="46" t="str">
        <f t="shared" si="5"/>
        <v/>
      </c>
    </row>
    <row r="172" spans="3:4" ht="15.75" x14ac:dyDescent="0.25">
      <c r="C172" s="46" t="str">
        <f t="shared" si="4"/>
        <v/>
      </c>
      <c r="D172" s="46" t="str">
        <f t="shared" si="5"/>
        <v/>
      </c>
    </row>
    <row r="173" spans="3:4" ht="15.75" x14ac:dyDescent="0.25">
      <c r="C173" s="46" t="str">
        <f t="shared" si="4"/>
        <v/>
      </c>
      <c r="D173" s="46" t="str">
        <f t="shared" si="5"/>
        <v/>
      </c>
    </row>
    <row r="174" spans="3:4" ht="15.75" x14ac:dyDescent="0.25">
      <c r="C174" s="46" t="str">
        <f t="shared" si="4"/>
        <v/>
      </c>
      <c r="D174" s="46" t="str">
        <f t="shared" si="5"/>
        <v/>
      </c>
    </row>
    <row r="175" spans="3:4" ht="15.75" x14ac:dyDescent="0.25">
      <c r="C175" s="46" t="str">
        <f t="shared" si="4"/>
        <v/>
      </c>
      <c r="D175" s="46" t="str">
        <f t="shared" si="5"/>
        <v/>
      </c>
    </row>
    <row r="176" spans="3:4" ht="15.75" x14ac:dyDescent="0.25">
      <c r="C176" s="46" t="str">
        <f t="shared" si="4"/>
        <v/>
      </c>
      <c r="D176" s="46" t="str">
        <f t="shared" si="5"/>
        <v/>
      </c>
    </row>
    <row r="177" spans="3:4" ht="15.75" x14ac:dyDescent="0.25">
      <c r="C177" s="46" t="str">
        <f t="shared" si="4"/>
        <v/>
      </c>
      <c r="D177" s="46" t="str">
        <f t="shared" si="5"/>
        <v/>
      </c>
    </row>
    <row r="178" spans="3:4" ht="15.75" x14ac:dyDescent="0.25">
      <c r="C178" s="46" t="str">
        <f t="shared" si="4"/>
        <v/>
      </c>
      <c r="D178" s="46" t="str">
        <f t="shared" si="5"/>
        <v/>
      </c>
    </row>
    <row r="179" spans="3:4" ht="15.75" x14ac:dyDescent="0.25">
      <c r="C179" s="46" t="str">
        <f t="shared" si="4"/>
        <v/>
      </c>
      <c r="D179" s="46" t="str">
        <f t="shared" si="5"/>
        <v/>
      </c>
    </row>
    <row r="180" spans="3:4" ht="15.75" x14ac:dyDescent="0.25">
      <c r="C180" s="46" t="str">
        <f t="shared" si="4"/>
        <v/>
      </c>
      <c r="D180" s="46" t="str">
        <f t="shared" si="5"/>
        <v/>
      </c>
    </row>
    <row r="181" spans="3:4" ht="15.75" x14ac:dyDescent="0.25">
      <c r="C181" s="46" t="str">
        <f t="shared" si="4"/>
        <v/>
      </c>
      <c r="D181" s="46" t="str">
        <f t="shared" si="5"/>
        <v/>
      </c>
    </row>
    <row r="182" spans="3:4" ht="15.75" x14ac:dyDescent="0.25">
      <c r="C182" s="46" t="str">
        <f t="shared" si="4"/>
        <v/>
      </c>
      <c r="D182" s="46" t="str">
        <f t="shared" si="5"/>
        <v/>
      </c>
    </row>
    <row r="183" spans="3:4" ht="15.75" x14ac:dyDescent="0.25">
      <c r="C183" s="46" t="str">
        <f t="shared" si="4"/>
        <v/>
      </c>
      <c r="D183" s="46" t="str">
        <f t="shared" si="5"/>
        <v/>
      </c>
    </row>
    <row r="184" spans="3:4" ht="15.75" x14ac:dyDescent="0.25">
      <c r="C184" s="46" t="str">
        <f t="shared" si="4"/>
        <v/>
      </c>
      <c r="D184" s="46" t="str">
        <f t="shared" si="5"/>
        <v/>
      </c>
    </row>
    <row r="185" spans="3:4" ht="15.75" x14ac:dyDescent="0.25">
      <c r="C185" s="46" t="str">
        <f t="shared" si="4"/>
        <v/>
      </c>
      <c r="D185" s="46" t="str">
        <f t="shared" si="5"/>
        <v/>
      </c>
    </row>
    <row r="186" spans="3:4" ht="15.75" x14ac:dyDescent="0.25">
      <c r="C186" s="46" t="str">
        <f t="shared" si="4"/>
        <v/>
      </c>
      <c r="D186" s="46" t="str">
        <f t="shared" si="5"/>
        <v/>
      </c>
    </row>
    <row r="187" spans="3:4" ht="15.75" x14ac:dyDescent="0.25">
      <c r="C187" s="46" t="str">
        <f t="shared" si="4"/>
        <v/>
      </c>
      <c r="D187" s="46" t="str">
        <f t="shared" si="5"/>
        <v/>
      </c>
    </row>
    <row r="188" spans="3:4" ht="15.75" x14ac:dyDescent="0.25">
      <c r="C188" s="46" t="str">
        <f t="shared" si="4"/>
        <v/>
      </c>
      <c r="D188" s="46" t="str">
        <f t="shared" si="5"/>
        <v/>
      </c>
    </row>
    <row r="189" spans="3:4" ht="15.75" x14ac:dyDescent="0.25">
      <c r="C189" s="46" t="str">
        <f t="shared" si="4"/>
        <v/>
      </c>
      <c r="D189" s="46" t="str">
        <f t="shared" si="5"/>
        <v/>
      </c>
    </row>
    <row r="190" spans="3:4" ht="15.75" x14ac:dyDescent="0.25">
      <c r="C190" s="46" t="str">
        <f t="shared" si="4"/>
        <v/>
      </c>
      <c r="D190" s="46" t="str">
        <f t="shared" si="5"/>
        <v/>
      </c>
    </row>
    <row r="191" spans="3:4" ht="15.75" x14ac:dyDescent="0.25">
      <c r="C191" s="46" t="str">
        <f t="shared" si="4"/>
        <v/>
      </c>
      <c r="D191" s="46" t="str">
        <f t="shared" si="5"/>
        <v/>
      </c>
    </row>
    <row r="192" spans="3:4" ht="15.75" x14ac:dyDescent="0.25">
      <c r="C192" s="46" t="str">
        <f t="shared" si="4"/>
        <v/>
      </c>
      <c r="D192" s="46" t="str">
        <f t="shared" si="5"/>
        <v/>
      </c>
    </row>
    <row r="193" spans="3:4" ht="15.75" x14ac:dyDescent="0.25">
      <c r="C193" s="46" t="str">
        <f t="shared" si="4"/>
        <v/>
      </c>
      <c r="D193" s="46" t="str">
        <f t="shared" si="5"/>
        <v/>
      </c>
    </row>
    <row r="194" spans="3:4" ht="15.75" x14ac:dyDescent="0.25">
      <c r="C194" s="46" t="str">
        <f t="shared" si="4"/>
        <v/>
      </c>
      <c r="D194" s="46" t="str">
        <f t="shared" si="5"/>
        <v/>
      </c>
    </row>
    <row r="195" spans="3:4" ht="15.75" x14ac:dyDescent="0.25">
      <c r="C195" s="46" t="str">
        <f t="shared" si="4"/>
        <v/>
      </c>
      <c r="D195" s="46" t="str">
        <f t="shared" si="5"/>
        <v/>
      </c>
    </row>
    <row r="196" spans="3:4" ht="15.75" x14ac:dyDescent="0.25">
      <c r="C196" s="46" t="str">
        <f t="shared" si="4"/>
        <v/>
      </c>
      <c r="D196" s="46" t="str">
        <f t="shared" si="5"/>
        <v/>
      </c>
    </row>
    <row r="197" spans="3:4" ht="15.75" x14ac:dyDescent="0.25">
      <c r="C197" s="46" t="str">
        <f t="shared" si="4"/>
        <v/>
      </c>
      <c r="D197" s="46" t="str">
        <f t="shared" si="5"/>
        <v/>
      </c>
    </row>
    <row r="198" spans="3:4" ht="15.75" x14ac:dyDescent="0.25">
      <c r="C198" s="46" t="str">
        <f t="shared" si="4"/>
        <v/>
      </c>
      <c r="D198" s="46" t="str">
        <f t="shared" si="5"/>
        <v/>
      </c>
    </row>
    <row r="199" spans="3:4" ht="15.75" x14ac:dyDescent="0.25">
      <c r="C199" s="46" t="str">
        <f t="shared" si="4"/>
        <v/>
      </c>
      <c r="D199" s="46" t="str">
        <f t="shared" si="5"/>
        <v/>
      </c>
    </row>
    <row r="200" spans="3:4" ht="15.75" x14ac:dyDescent="0.25">
      <c r="C200" s="46" t="str">
        <f t="shared" si="4"/>
        <v/>
      </c>
      <c r="D200" s="46" t="str">
        <f t="shared" si="5"/>
        <v/>
      </c>
    </row>
    <row r="201" spans="3:4" ht="15.75" x14ac:dyDescent="0.25">
      <c r="C201" s="46" t="str">
        <f t="shared" si="4"/>
        <v/>
      </c>
      <c r="D201" s="46" t="str">
        <f t="shared" si="5"/>
        <v/>
      </c>
    </row>
    <row r="202" spans="3:4" ht="15.75" x14ac:dyDescent="0.25">
      <c r="C202" s="46" t="str">
        <f t="shared" si="4"/>
        <v/>
      </c>
      <c r="D202" s="46" t="str">
        <f t="shared" si="5"/>
        <v/>
      </c>
    </row>
    <row r="203" spans="3:4" ht="15.75" x14ac:dyDescent="0.25">
      <c r="C203" s="46" t="str">
        <f t="shared" si="4"/>
        <v/>
      </c>
      <c r="D203" s="46" t="str">
        <f t="shared" si="5"/>
        <v/>
      </c>
    </row>
    <row r="204" spans="3:4" ht="15.75" x14ac:dyDescent="0.25">
      <c r="C204" s="46" t="str">
        <f t="shared" si="4"/>
        <v/>
      </c>
      <c r="D204" s="46" t="str">
        <f t="shared" si="5"/>
        <v/>
      </c>
    </row>
    <row r="205" spans="3:4" ht="15.75" x14ac:dyDescent="0.25">
      <c r="C205" s="46" t="str">
        <f t="shared" si="4"/>
        <v/>
      </c>
      <c r="D205" s="46" t="str">
        <f t="shared" si="5"/>
        <v/>
      </c>
    </row>
    <row r="206" spans="3:4" ht="15.75" x14ac:dyDescent="0.25">
      <c r="C206" s="46" t="str">
        <f t="shared" ref="C206:C269" si="6">IF(COUNTIF(E206:BA206,"YES")=0,"",COUNTIF(E206:BA206,"YES"))</f>
        <v/>
      </c>
      <c r="D206" s="46" t="str">
        <f t="shared" ref="D206:D269" si="7">IF(COUNTIF(E206:BA206,"NO")=0,"",COUNTIF(E206:BA206,"NO"))</f>
        <v/>
      </c>
    </row>
    <row r="207" spans="3:4" ht="15.75" x14ac:dyDescent="0.25">
      <c r="C207" s="46" t="str">
        <f t="shared" si="6"/>
        <v/>
      </c>
      <c r="D207" s="46" t="str">
        <f t="shared" si="7"/>
        <v/>
      </c>
    </row>
    <row r="208" spans="3:4" ht="15.75" x14ac:dyDescent="0.25">
      <c r="C208" s="46" t="str">
        <f t="shared" si="6"/>
        <v/>
      </c>
      <c r="D208" s="46" t="str">
        <f t="shared" si="7"/>
        <v/>
      </c>
    </row>
    <row r="209" spans="3:4" ht="15.75" x14ac:dyDescent="0.25">
      <c r="C209" s="46" t="str">
        <f t="shared" si="6"/>
        <v/>
      </c>
      <c r="D209" s="46" t="str">
        <f t="shared" si="7"/>
        <v/>
      </c>
    </row>
    <row r="210" spans="3:4" ht="15.75" x14ac:dyDescent="0.25">
      <c r="C210" s="46" t="str">
        <f t="shared" si="6"/>
        <v/>
      </c>
      <c r="D210" s="46" t="str">
        <f t="shared" si="7"/>
        <v/>
      </c>
    </row>
    <row r="211" spans="3:4" ht="15.75" x14ac:dyDescent="0.25">
      <c r="C211" s="46" t="str">
        <f t="shared" si="6"/>
        <v/>
      </c>
      <c r="D211" s="46" t="str">
        <f t="shared" si="7"/>
        <v/>
      </c>
    </row>
    <row r="212" spans="3:4" ht="15.75" x14ac:dyDescent="0.25">
      <c r="C212" s="46" t="str">
        <f t="shared" si="6"/>
        <v/>
      </c>
      <c r="D212" s="46" t="str">
        <f t="shared" si="7"/>
        <v/>
      </c>
    </row>
    <row r="213" spans="3:4" ht="15.75" x14ac:dyDescent="0.25">
      <c r="C213" s="46" t="str">
        <f t="shared" si="6"/>
        <v/>
      </c>
      <c r="D213" s="46" t="str">
        <f t="shared" si="7"/>
        <v/>
      </c>
    </row>
    <row r="214" spans="3:4" ht="15.75" x14ac:dyDescent="0.25">
      <c r="C214" s="46" t="str">
        <f t="shared" si="6"/>
        <v/>
      </c>
      <c r="D214" s="46" t="str">
        <f t="shared" si="7"/>
        <v/>
      </c>
    </row>
    <row r="215" spans="3:4" ht="15.75" x14ac:dyDescent="0.25">
      <c r="C215" s="46" t="str">
        <f t="shared" si="6"/>
        <v/>
      </c>
      <c r="D215" s="46" t="str">
        <f t="shared" si="7"/>
        <v/>
      </c>
    </row>
    <row r="216" spans="3:4" ht="15.75" x14ac:dyDescent="0.25">
      <c r="C216" s="46" t="str">
        <f t="shared" si="6"/>
        <v/>
      </c>
      <c r="D216" s="46" t="str">
        <f t="shared" si="7"/>
        <v/>
      </c>
    </row>
    <row r="217" spans="3:4" ht="15.75" x14ac:dyDescent="0.25">
      <c r="C217" s="46" t="str">
        <f t="shared" si="6"/>
        <v/>
      </c>
      <c r="D217" s="46" t="str">
        <f t="shared" si="7"/>
        <v/>
      </c>
    </row>
    <row r="218" spans="3:4" ht="15.75" x14ac:dyDescent="0.25">
      <c r="C218" s="46" t="str">
        <f t="shared" si="6"/>
        <v/>
      </c>
      <c r="D218" s="46" t="str">
        <f t="shared" si="7"/>
        <v/>
      </c>
    </row>
    <row r="219" spans="3:4" ht="15.75" x14ac:dyDescent="0.25">
      <c r="C219" s="46" t="str">
        <f t="shared" si="6"/>
        <v/>
      </c>
      <c r="D219" s="46" t="str">
        <f t="shared" si="7"/>
        <v/>
      </c>
    </row>
    <row r="220" spans="3:4" ht="15.75" x14ac:dyDescent="0.25">
      <c r="C220" s="46" t="str">
        <f t="shared" si="6"/>
        <v/>
      </c>
      <c r="D220" s="46" t="str">
        <f t="shared" si="7"/>
        <v/>
      </c>
    </row>
    <row r="221" spans="3:4" ht="15.75" x14ac:dyDescent="0.25">
      <c r="C221" s="46" t="str">
        <f t="shared" si="6"/>
        <v/>
      </c>
      <c r="D221" s="46" t="str">
        <f t="shared" si="7"/>
        <v/>
      </c>
    </row>
    <row r="222" spans="3:4" ht="15.75" x14ac:dyDescent="0.25">
      <c r="C222" s="46" t="str">
        <f t="shared" si="6"/>
        <v/>
      </c>
      <c r="D222" s="46" t="str">
        <f t="shared" si="7"/>
        <v/>
      </c>
    </row>
    <row r="223" spans="3:4" ht="15.75" x14ac:dyDescent="0.25">
      <c r="C223" s="46" t="str">
        <f t="shared" si="6"/>
        <v/>
      </c>
      <c r="D223" s="46" t="str">
        <f t="shared" si="7"/>
        <v/>
      </c>
    </row>
    <row r="224" spans="3:4" ht="15.75" x14ac:dyDescent="0.25">
      <c r="C224" s="46" t="str">
        <f t="shared" si="6"/>
        <v/>
      </c>
      <c r="D224" s="46" t="str">
        <f t="shared" si="7"/>
        <v/>
      </c>
    </row>
    <row r="225" spans="3:4" ht="15.75" x14ac:dyDescent="0.25">
      <c r="C225" s="46" t="str">
        <f t="shared" si="6"/>
        <v/>
      </c>
      <c r="D225" s="46" t="str">
        <f t="shared" si="7"/>
        <v/>
      </c>
    </row>
    <row r="226" spans="3:4" ht="15.75" x14ac:dyDescent="0.25">
      <c r="C226" s="46" t="str">
        <f t="shared" si="6"/>
        <v/>
      </c>
      <c r="D226" s="46" t="str">
        <f t="shared" si="7"/>
        <v/>
      </c>
    </row>
    <row r="227" spans="3:4" ht="15.75" x14ac:dyDescent="0.25">
      <c r="C227" s="46" t="str">
        <f t="shared" si="6"/>
        <v/>
      </c>
      <c r="D227" s="46" t="str">
        <f t="shared" si="7"/>
        <v/>
      </c>
    </row>
    <row r="228" spans="3:4" ht="15.75" x14ac:dyDescent="0.25">
      <c r="C228" s="46" t="str">
        <f t="shared" si="6"/>
        <v/>
      </c>
      <c r="D228" s="46" t="str">
        <f t="shared" si="7"/>
        <v/>
      </c>
    </row>
    <row r="229" spans="3:4" ht="15.75" x14ac:dyDescent="0.25">
      <c r="C229" s="46" t="str">
        <f t="shared" si="6"/>
        <v/>
      </c>
      <c r="D229" s="46" t="str">
        <f t="shared" si="7"/>
        <v/>
      </c>
    </row>
    <row r="230" spans="3:4" ht="15.75" x14ac:dyDescent="0.25">
      <c r="C230" s="46" t="str">
        <f t="shared" si="6"/>
        <v/>
      </c>
      <c r="D230" s="46" t="str">
        <f t="shared" si="7"/>
        <v/>
      </c>
    </row>
    <row r="231" spans="3:4" ht="15.75" x14ac:dyDescent="0.25">
      <c r="C231" s="46" t="str">
        <f t="shared" si="6"/>
        <v/>
      </c>
      <c r="D231" s="46" t="str">
        <f t="shared" si="7"/>
        <v/>
      </c>
    </row>
    <row r="232" spans="3:4" ht="15.75" x14ac:dyDescent="0.25">
      <c r="C232" s="46" t="str">
        <f t="shared" si="6"/>
        <v/>
      </c>
      <c r="D232" s="46" t="str">
        <f t="shared" si="7"/>
        <v/>
      </c>
    </row>
    <row r="233" spans="3:4" ht="15.75" x14ac:dyDescent="0.25">
      <c r="C233" s="46" t="str">
        <f t="shared" si="6"/>
        <v/>
      </c>
      <c r="D233" s="46" t="str">
        <f t="shared" si="7"/>
        <v/>
      </c>
    </row>
    <row r="234" spans="3:4" ht="15.75" x14ac:dyDescent="0.25">
      <c r="C234" s="46" t="str">
        <f t="shared" si="6"/>
        <v/>
      </c>
      <c r="D234" s="46" t="str">
        <f t="shared" si="7"/>
        <v/>
      </c>
    </row>
    <row r="235" spans="3:4" ht="15.75" x14ac:dyDescent="0.25">
      <c r="C235" s="46" t="str">
        <f t="shared" si="6"/>
        <v/>
      </c>
      <c r="D235" s="46" t="str">
        <f t="shared" si="7"/>
        <v/>
      </c>
    </row>
    <row r="236" spans="3:4" ht="15.75" x14ac:dyDescent="0.25">
      <c r="C236" s="46" t="str">
        <f t="shared" si="6"/>
        <v/>
      </c>
      <c r="D236" s="46" t="str">
        <f t="shared" si="7"/>
        <v/>
      </c>
    </row>
    <row r="237" spans="3:4" ht="15.75" x14ac:dyDescent="0.25">
      <c r="C237" s="46" t="str">
        <f t="shared" si="6"/>
        <v/>
      </c>
      <c r="D237" s="46" t="str">
        <f t="shared" si="7"/>
        <v/>
      </c>
    </row>
    <row r="238" spans="3:4" ht="15.75" x14ac:dyDescent="0.25">
      <c r="C238" s="46" t="str">
        <f t="shared" si="6"/>
        <v/>
      </c>
      <c r="D238" s="46" t="str">
        <f t="shared" si="7"/>
        <v/>
      </c>
    </row>
    <row r="239" spans="3:4" ht="15.75" x14ac:dyDescent="0.25">
      <c r="C239" s="46" t="str">
        <f t="shared" si="6"/>
        <v/>
      </c>
      <c r="D239" s="46" t="str">
        <f t="shared" si="7"/>
        <v/>
      </c>
    </row>
    <row r="240" spans="3:4" ht="15.75" x14ac:dyDescent="0.25">
      <c r="C240" s="46" t="str">
        <f t="shared" si="6"/>
        <v/>
      </c>
      <c r="D240" s="46" t="str">
        <f t="shared" si="7"/>
        <v/>
      </c>
    </row>
    <row r="241" spans="3:4" ht="15.75" x14ac:dyDescent="0.25">
      <c r="C241" s="46" t="str">
        <f t="shared" si="6"/>
        <v/>
      </c>
      <c r="D241" s="46" t="str">
        <f t="shared" si="7"/>
        <v/>
      </c>
    </row>
    <row r="242" spans="3:4" ht="15.75" x14ac:dyDescent="0.25">
      <c r="C242" s="46" t="str">
        <f t="shared" si="6"/>
        <v/>
      </c>
      <c r="D242" s="46" t="str">
        <f t="shared" si="7"/>
        <v/>
      </c>
    </row>
    <row r="243" spans="3:4" ht="15.75" x14ac:dyDescent="0.25">
      <c r="C243" s="46" t="str">
        <f t="shared" si="6"/>
        <v/>
      </c>
      <c r="D243" s="46" t="str">
        <f t="shared" si="7"/>
        <v/>
      </c>
    </row>
    <row r="244" spans="3:4" ht="15.75" x14ac:dyDescent="0.25">
      <c r="C244" s="46" t="str">
        <f t="shared" si="6"/>
        <v/>
      </c>
      <c r="D244" s="46" t="str">
        <f t="shared" si="7"/>
        <v/>
      </c>
    </row>
    <row r="245" spans="3:4" ht="15.75" x14ac:dyDescent="0.25">
      <c r="C245" s="46" t="str">
        <f t="shared" si="6"/>
        <v/>
      </c>
      <c r="D245" s="46" t="str">
        <f t="shared" si="7"/>
        <v/>
      </c>
    </row>
    <row r="246" spans="3:4" ht="15.75" x14ac:dyDescent="0.25">
      <c r="C246" s="46" t="str">
        <f t="shared" si="6"/>
        <v/>
      </c>
      <c r="D246" s="46" t="str">
        <f t="shared" si="7"/>
        <v/>
      </c>
    </row>
    <row r="247" spans="3:4" ht="15.75" x14ac:dyDescent="0.25">
      <c r="C247" s="46" t="str">
        <f t="shared" si="6"/>
        <v/>
      </c>
      <c r="D247" s="46" t="str">
        <f t="shared" si="7"/>
        <v/>
      </c>
    </row>
    <row r="248" spans="3:4" ht="15.75" x14ac:dyDescent="0.25">
      <c r="C248" s="46" t="str">
        <f t="shared" si="6"/>
        <v/>
      </c>
      <c r="D248" s="46" t="str">
        <f t="shared" si="7"/>
        <v/>
      </c>
    </row>
    <row r="249" spans="3:4" ht="15.75" x14ac:dyDescent="0.25">
      <c r="C249" s="46" t="str">
        <f t="shared" si="6"/>
        <v/>
      </c>
      <c r="D249" s="46" t="str">
        <f t="shared" si="7"/>
        <v/>
      </c>
    </row>
    <row r="250" spans="3:4" ht="15.75" x14ac:dyDescent="0.25">
      <c r="C250" s="46" t="str">
        <f t="shared" si="6"/>
        <v/>
      </c>
      <c r="D250" s="46" t="str">
        <f t="shared" si="7"/>
        <v/>
      </c>
    </row>
    <row r="251" spans="3:4" ht="15.75" x14ac:dyDescent="0.25">
      <c r="C251" s="46" t="str">
        <f t="shared" si="6"/>
        <v/>
      </c>
      <c r="D251" s="46" t="str">
        <f t="shared" si="7"/>
        <v/>
      </c>
    </row>
    <row r="252" spans="3:4" ht="15.75" x14ac:dyDescent="0.25">
      <c r="C252" s="46" t="str">
        <f t="shared" si="6"/>
        <v/>
      </c>
      <c r="D252" s="46" t="str">
        <f t="shared" si="7"/>
        <v/>
      </c>
    </row>
    <row r="253" spans="3:4" ht="15.75" x14ac:dyDescent="0.25">
      <c r="C253" s="46" t="str">
        <f t="shared" si="6"/>
        <v/>
      </c>
      <c r="D253" s="46" t="str">
        <f t="shared" si="7"/>
        <v/>
      </c>
    </row>
    <row r="254" spans="3:4" ht="15.75" x14ac:dyDescent="0.25">
      <c r="C254" s="46" t="str">
        <f t="shared" si="6"/>
        <v/>
      </c>
      <c r="D254" s="46" t="str">
        <f t="shared" si="7"/>
        <v/>
      </c>
    </row>
    <row r="255" spans="3:4" ht="15.75" x14ac:dyDescent="0.25">
      <c r="C255" s="46" t="str">
        <f t="shared" si="6"/>
        <v/>
      </c>
      <c r="D255" s="46" t="str">
        <f t="shared" si="7"/>
        <v/>
      </c>
    </row>
    <row r="256" spans="3:4" ht="15.75" x14ac:dyDescent="0.25">
      <c r="C256" s="46" t="str">
        <f t="shared" si="6"/>
        <v/>
      </c>
      <c r="D256" s="46" t="str">
        <f t="shared" si="7"/>
        <v/>
      </c>
    </row>
    <row r="257" spans="3:4" ht="15.75" x14ac:dyDescent="0.25">
      <c r="C257" s="46" t="str">
        <f t="shared" si="6"/>
        <v/>
      </c>
      <c r="D257" s="46" t="str">
        <f t="shared" si="7"/>
        <v/>
      </c>
    </row>
    <row r="258" spans="3:4" ht="15.75" x14ac:dyDescent="0.25">
      <c r="C258" s="46" t="str">
        <f t="shared" si="6"/>
        <v/>
      </c>
      <c r="D258" s="46" t="str">
        <f t="shared" si="7"/>
        <v/>
      </c>
    </row>
    <row r="259" spans="3:4" ht="15.75" x14ac:dyDescent="0.25">
      <c r="C259" s="46" t="str">
        <f t="shared" si="6"/>
        <v/>
      </c>
      <c r="D259" s="46" t="str">
        <f t="shared" si="7"/>
        <v/>
      </c>
    </row>
    <row r="260" spans="3:4" ht="15.75" x14ac:dyDescent="0.25">
      <c r="C260" s="46" t="str">
        <f t="shared" si="6"/>
        <v/>
      </c>
      <c r="D260" s="46" t="str">
        <f t="shared" si="7"/>
        <v/>
      </c>
    </row>
    <row r="261" spans="3:4" ht="15.75" x14ac:dyDescent="0.25">
      <c r="C261" s="46" t="str">
        <f t="shared" si="6"/>
        <v/>
      </c>
      <c r="D261" s="46" t="str">
        <f t="shared" si="7"/>
        <v/>
      </c>
    </row>
    <row r="262" spans="3:4" ht="15.75" x14ac:dyDescent="0.25">
      <c r="C262" s="46" t="str">
        <f t="shared" si="6"/>
        <v/>
      </c>
      <c r="D262" s="46" t="str">
        <f t="shared" si="7"/>
        <v/>
      </c>
    </row>
    <row r="263" spans="3:4" ht="15.75" x14ac:dyDescent="0.25">
      <c r="C263" s="46" t="str">
        <f t="shared" si="6"/>
        <v/>
      </c>
      <c r="D263" s="46" t="str">
        <f t="shared" si="7"/>
        <v/>
      </c>
    </row>
    <row r="264" spans="3:4" ht="15.75" x14ac:dyDescent="0.25">
      <c r="C264" s="46" t="str">
        <f t="shared" si="6"/>
        <v/>
      </c>
      <c r="D264" s="46" t="str">
        <f t="shared" si="7"/>
        <v/>
      </c>
    </row>
    <row r="265" spans="3:4" ht="15.75" x14ac:dyDescent="0.25">
      <c r="C265" s="46" t="str">
        <f t="shared" si="6"/>
        <v/>
      </c>
      <c r="D265" s="46" t="str">
        <f t="shared" si="7"/>
        <v/>
      </c>
    </row>
    <row r="266" spans="3:4" ht="15.75" x14ac:dyDescent="0.25">
      <c r="C266" s="46" t="str">
        <f t="shared" si="6"/>
        <v/>
      </c>
      <c r="D266" s="46" t="str">
        <f t="shared" si="7"/>
        <v/>
      </c>
    </row>
    <row r="267" spans="3:4" ht="15.75" x14ac:dyDescent="0.25">
      <c r="C267" s="46" t="str">
        <f t="shared" si="6"/>
        <v/>
      </c>
      <c r="D267" s="46" t="str">
        <f t="shared" si="7"/>
        <v/>
      </c>
    </row>
    <row r="268" spans="3:4" ht="15.75" x14ac:dyDescent="0.25">
      <c r="C268" s="46" t="str">
        <f t="shared" si="6"/>
        <v/>
      </c>
      <c r="D268" s="46" t="str">
        <f t="shared" si="7"/>
        <v/>
      </c>
    </row>
    <row r="269" spans="3:4" ht="15.75" x14ac:dyDescent="0.25">
      <c r="C269" s="46" t="str">
        <f t="shared" si="6"/>
        <v/>
      </c>
      <c r="D269" s="46" t="str">
        <f t="shared" si="7"/>
        <v/>
      </c>
    </row>
    <row r="270" spans="3:4" ht="15.75" x14ac:dyDescent="0.25">
      <c r="C270" s="46" t="str">
        <f t="shared" ref="C270:C305" si="8">IF(COUNTIF(E270:BA270,"YES")=0,"",COUNTIF(E270:BA270,"YES"))</f>
        <v/>
      </c>
      <c r="D270" s="46" t="str">
        <f t="shared" ref="D270:D305" si="9">IF(COUNTIF(E270:BA270,"NO")=0,"",COUNTIF(E270:BA270,"NO"))</f>
        <v/>
      </c>
    </row>
    <row r="271" spans="3:4" ht="15.75" x14ac:dyDescent="0.25">
      <c r="C271" s="46" t="str">
        <f t="shared" si="8"/>
        <v/>
      </c>
      <c r="D271" s="46" t="str">
        <f t="shared" si="9"/>
        <v/>
      </c>
    </row>
    <row r="272" spans="3:4" ht="15.75" x14ac:dyDescent="0.25">
      <c r="C272" s="46" t="str">
        <f t="shared" si="8"/>
        <v/>
      </c>
      <c r="D272" s="46" t="str">
        <f t="shared" si="9"/>
        <v/>
      </c>
    </row>
    <row r="273" spans="3:4" ht="15.75" x14ac:dyDescent="0.25">
      <c r="C273" s="46" t="str">
        <f t="shared" si="8"/>
        <v/>
      </c>
      <c r="D273" s="46" t="str">
        <f t="shared" si="9"/>
        <v/>
      </c>
    </row>
    <row r="274" spans="3:4" ht="15.75" x14ac:dyDescent="0.25">
      <c r="C274" s="46" t="str">
        <f t="shared" si="8"/>
        <v/>
      </c>
      <c r="D274" s="46" t="str">
        <f t="shared" si="9"/>
        <v/>
      </c>
    </row>
    <row r="275" spans="3:4" ht="15.75" x14ac:dyDescent="0.25">
      <c r="C275" s="46" t="str">
        <f t="shared" si="8"/>
        <v/>
      </c>
      <c r="D275" s="46" t="str">
        <f t="shared" si="9"/>
        <v/>
      </c>
    </row>
    <row r="276" spans="3:4" ht="15.75" x14ac:dyDescent="0.25">
      <c r="C276" s="46" t="str">
        <f t="shared" si="8"/>
        <v/>
      </c>
      <c r="D276" s="46" t="str">
        <f t="shared" si="9"/>
        <v/>
      </c>
    </row>
    <row r="277" spans="3:4" ht="15.75" x14ac:dyDescent="0.25">
      <c r="C277" s="46" t="str">
        <f t="shared" si="8"/>
        <v/>
      </c>
      <c r="D277" s="46" t="str">
        <f t="shared" si="9"/>
        <v/>
      </c>
    </row>
    <row r="278" spans="3:4" ht="15.75" x14ac:dyDescent="0.25">
      <c r="C278" s="46" t="str">
        <f t="shared" si="8"/>
        <v/>
      </c>
      <c r="D278" s="46" t="str">
        <f t="shared" si="9"/>
        <v/>
      </c>
    </row>
    <row r="279" spans="3:4" ht="15.75" x14ac:dyDescent="0.25">
      <c r="C279" s="46" t="str">
        <f t="shared" si="8"/>
        <v/>
      </c>
      <c r="D279" s="46" t="str">
        <f t="shared" si="9"/>
        <v/>
      </c>
    </row>
    <row r="280" spans="3:4" ht="15.75" x14ac:dyDescent="0.25">
      <c r="C280" s="46" t="str">
        <f t="shared" si="8"/>
        <v/>
      </c>
      <c r="D280" s="46" t="str">
        <f t="shared" si="9"/>
        <v/>
      </c>
    </row>
    <row r="281" spans="3:4" ht="15.75" x14ac:dyDescent="0.25">
      <c r="C281" s="46" t="str">
        <f t="shared" si="8"/>
        <v/>
      </c>
      <c r="D281" s="46" t="str">
        <f t="shared" si="9"/>
        <v/>
      </c>
    </row>
    <row r="282" spans="3:4" ht="15.75" x14ac:dyDescent="0.25">
      <c r="C282" s="46" t="str">
        <f t="shared" si="8"/>
        <v/>
      </c>
      <c r="D282" s="46" t="str">
        <f t="shared" si="9"/>
        <v/>
      </c>
    </row>
    <row r="283" spans="3:4" ht="15.75" x14ac:dyDescent="0.25">
      <c r="C283" s="46" t="str">
        <f t="shared" si="8"/>
        <v/>
      </c>
      <c r="D283" s="46" t="str">
        <f t="shared" si="9"/>
        <v/>
      </c>
    </row>
    <row r="284" spans="3:4" ht="15.75" x14ac:dyDescent="0.25">
      <c r="C284" s="46" t="str">
        <f t="shared" si="8"/>
        <v/>
      </c>
      <c r="D284" s="46" t="str">
        <f t="shared" si="9"/>
        <v/>
      </c>
    </row>
    <row r="285" spans="3:4" ht="15.75" x14ac:dyDescent="0.25">
      <c r="C285" s="46" t="str">
        <f t="shared" si="8"/>
        <v/>
      </c>
      <c r="D285" s="46" t="str">
        <f t="shared" si="9"/>
        <v/>
      </c>
    </row>
    <row r="286" spans="3:4" ht="15.75" x14ac:dyDescent="0.25">
      <c r="C286" s="46" t="str">
        <f t="shared" si="8"/>
        <v/>
      </c>
      <c r="D286" s="46" t="str">
        <f t="shared" si="9"/>
        <v/>
      </c>
    </row>
    <row r="287" spans="3:4" ht="15.75" x14ac:dyDescent="0.25">
      <c r="C287" s="46" t="str">
        <f t="shared" si="8"/>
        <v/>
      </c>
      <c r="D287" s="46" t="str">
        <f t="shared" si="9"/>
        <v/>
      </c>
    </row>
    <row r="288" spans="3:4" ht="15.75" x14ac:dyDescent="0.25">
      <c r="C288" s="46" t="str">
        <f t="shared" si="8"/>
        <v/>
      </c>
      <c r="D288" s="46" t="str">
        <f t="shared" si="9"/>
        <v/>
      </c>
    </row>
    <row r="289" spans="3:4" ht="15.75" x14ac:dyDescent="0.25">
      <c r="C289" s="46" t="str">
        <f t="shared" si="8"/>
        <v/>
      </c>
      <c r="D289" s="46" t="str">
        <f t="shared" si="9"/>
        <v/>
      </c>
    </row>
    <row r="290" spans="3:4" ht="15.75" x14ac:dyDescent="0.25">
      <c r="C290" s="46" t="str">
        <f t="shared" si="8"/>
        <v/>
      </c>
      <c r="D290" s="46" t="str">
        <f t="shared" si="9"/>
        <v/>
      </c>
    </row>
    <row r="291" spans="3:4" ht="15.75" x14ac:dyDescent="0.25">
      <c r="C291" s="46" t="str">
        <f t="shared" si="8"/>
        <v/>
      </c>
      <c r="D291" s="46" t="str">
        <f t="shared" si="9"/>
        <v/>
      </c>
    </row>
    <row r="292" spans="3:4" ht="15.75" x14ac:dyDescent="0.25">
      <c r="C292" s="46" t="str">
        <f t="shared" si="8"/>
        <v/>
      </c>
      <c r="D292" s="46" t="str">
        <f t="shared" si="9"/>
        <v/>
      </c>
    </row>
    <row r="293" spans="3:4" ht="15.75" x14ac:dyDescent="0.25">
      <c r="C293" s="46" t="str">
        <f t="shared" si="8"/>
        <v/>
      </c>
      <c r="D293" s="46" t="str">
        <f t="shared" si="9"/>
        <v/>
      </c>
    </row>
    <row r="294" spans="3:4" ht="15.75" x14ac:dyDescent="0.25">
      <c r="C294" s="46" t="str">
        <f t="shared" si="8"/>
        <v/>
      </c>
      <c r="D294" s="46" t="str">
        <f t="shared" si="9"/>
        <v/>
      </c>
    </row>
    <row r="295" spans="3:4" ht="15.75" x14ac:dyDescent="0.25">
      <c r="C295" s="46" t="str">
        <f t="shared" si="8"/>
        <v/>
      </c>
      <c r="D295" s="46" t="str">
        <f t="shared" si="9"/>
        <v/>
      </c>
    </row>
    <row r="296" spans="3:4" ht="15.75" x14ac:dyDescent="0.25">
      <c r="C296" s="46" t="str">
        <f t="shared" si="8"/>
        <v/>
      </c>
      <c r="D296" s="46" t="str">
        <f t="shared" si="9"/>
        <v/>
      </c>
    </row>
    <row r="297" spans="3:4" ht="15.75" x14ac:dyDescent="0.25">
      <c r="C297" s="46" t="str">
        <f t="shared" si="8"/>
        <v/>
      </c>
      <c r="D297" s="46" t="str">
        <f t="shared" si="9"/>
        <v/>
      </c>
    </row>
    <row r="298" spans="3:4" ht="15.75" x14ac:dyDescent="0.25">
      <c r="C298" s="46" t="str">
        <f t="shared" si="8"/>
        <v/>
      </c>
      <c r="D298" s="46" t="str">
        <f t="shared" si="9"/>
        <v/>
      </c>
    </row>
    <row r="299" spans="3:4" ht="15.75" x14ac:dyDescent="0.25">
      <c r="C299" s="46" t="str">
        <f t="shared" si="8"/>
        <v/>
      </c>
      <c r="D299" s="46" t="str">
        <f t="shared" si="9"/>
        <v/>
      </c>
    </row>
    <row r="300" spans="3:4" ht="15.75" x14ac:dyDescent="0.25">
      <c r="C300" s="46" t="str">
        <f t="shared" si="8"/>
        <v/>
      </c>
      <c r="D300" s="46" t="str">
        <f t="shared" si="9"/>
        <v/>
      </c>
    </row>
    <row r="301" spans="3:4" ht="15.75" x14ac:dyDescent="0.25">
      <c r="C301" s="46" t="str">
        <f t="shared" si="8"/>
        <v/>
      </c>
      <c r="D301" s="46" t="str">
        <f t="shared" si="9"/>
        <v/>
      </c>
    </row>
    <row r="302" spans="3:4" ht="15.75" x14ac:dyDescent="0.25">
      <c r="C302" s="46" t="str">
        <f t="shared" si="8"/>
        <v/>
      </c>
      <c r="D302" s="46" t="str">
        <f t="shared" si="9"/>
        <v/>
      </c>
    </row>
    <row r="303" spans="3:4" ht="15.75" x14ac:dyDescent="0.25">
      <c r="C303" s="46" t="str">
        <f t="shared" si="8"/>
        <v/>
      </c>
      <c r="D303" s="46" t="str">
        <f t="shared" si="9"/>
        <v/>
      </c>
    </row>
    <row r="304" spans="3:4" ht="15.75" x14ac:dyDescent="0.25">
      <c r="C304" s="46" t="str">
        <f t="shared" si="8"/>
        <v/>
      </c>
      <c r="D304" s="46" t="str">
        <f t="shared" si="9"/>
        <v/>
      </c>
    </row>
    <row r="305" spans="3:4" ht="15.75" x14ac:dyDescent="0.25">
      <c r="C305" s="46" t="str">
        <f t="shared" si="8"/>
        <v/>
      </c>
      <c r="D305" s="46" t="str">
        <f t="shared" si="9"/>
        <v/>
      </c>
    </row>
  </sheetData>
  <phoneticPr fontId="4" type="noConversion"/>
  <conditionalFormatting sqref="E7:H16">
    <cfRule type="cellIs" dxfId="75" priority="1" stopIfTrue="1" operator="equal">
      <formula>"YES"</formula>
    </cfRule>
    <cfRule type="cellIs" dxfId="74" priority="2" stopIfTrue="1" operator="equal">
      <formula>"NO"</formula>
    </cfRule>
  </conditionalFormatting>
  <dataValidations count="1">
    <dataValidation type="list" allowBlank="1" showInputMessage="1" showErrorMessage="1" sqref="E7:H16" xr:uid="{00000000-0002-0000-0400-000000000000}">
      <formula1>$D$1:$D$3</formula1>
    </dataValidation>
  </dataValidations>
  <pageMargins left="0.75" right="0.75" top="1" bottom="1" header="0.4921259845" footer="0.4921259845"/>
  <pageSetup paperSize="9" scale="61"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0">
    <tabColor theme="7"/>
    <pageSetUpPr fitToPage="1"/>
  </sheetPr>
  <dimension ref="A1:H329"/>
  <sheetViews>
    <sheetView zoomScale="90" zoomScaleNormal="90"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42578125" style="40" customWidth="1"/>
    <col min="2" max="2" width="89.28515625" style="57" customWidth="1"/>
    <col min="3" max="4" width="4.42578125" style="40" bestFit="1" customWidth="1"/>
    <col min="5" max="8" width="6" style="40" customWidth="1"/>
    <col min="9" max="16384" width="9.140625" style="40"/>
  </cols>
  <sheetData>
    <row r="1" spans="1:8" hidden="1" x14ac:dyDescent="0.2">
      <c r="D1" s="40" t="s">
        <v>43</v>
      </c>
    </row>
    <row r="2" spans="1:8" hidden="1" x14ac:dyDescent="0.2">
      <c r="D2" s="40" t="s">
        <v>44</v>
      </c>
    </row>
    <row r="3" spans="1:8" ht="13.5" hidden="1" thickBot="1" x14ac:dyDescent="0.25">
      <c r="D3" s="40" t="s">
        <v>13</v>
      </c>
    </row>
    <row r="4" spans="1:8" ht="88.5" thickTop="1" thickBot="1" x14ac:dyDescent="0.4">
      <c r="A4" s="58"/>
      <c r="B4" s="47" t="s">
        <v>325</v>
      </c>
      <c r="C4" s="43" t="s">
        <v>46</v>
      </c>
      <c r="D4" s="43" t="s">
        <v>47</v>
      </c>
      <c r="E4" s="43" t="s">
        <v>326</v>
      </c>
      <c r="F4" s="43" t="s">
        <v>326</v>
      </c>
      <c r="G4" s="43" t="s">
        <v>326</v>
      </c>
      <c r="H4" s="43" t="s">
        <v>326</v>
      </c>
    </row>
    <row r="5" spans="1:8" ht="24" thickTop="1" x14ac:dyDescent="0.35">
      <c r="A5" s="77"/>
      <c r="B5" s="74" t="s">
        <v>85</v>
      </c>
      <c r="C5" s="79"/>
      <c r="D5" s="79"/>
      <c r="E5" s="79"/>
      <c r="F5" s="79"/>
      <c r="G5" s="79"/>
      <c r="H5" s="79"/>
    </row>
    <row r="6" spans="1:8" ht="14.25" customHeight="1" x14ac:dyDescent="0.25">
      <c r="A6" s="69" t="s">
        <v>190</v>
      </c>
      <c r="B6" s="70"/>
      <c r="C6" s="71" t="str">
        <f t="shared" ref="C6:C37" si="0">IF(COUNTIF(E6:BA6,"YES")=0,"",COUNTIF(E6:BA6,"YES"))</f>
        <v/>
      </c>
      <c r="D6" s="71" t="str">
        <f t="shared" ref="D6:D69" si="1">IF(COUNTIF(E6:BA6,"NO")=0,"",COUNTIF(E6:BA6,"NO"))</f>
        <v/>
      </c>
      <c r="E6" s="72"/>
      <c r="F6" s="72"/>
      <c r="G6" s="72"/>
      <c r="H6" s="72"/>
    </row>
    <row r="7" spans="1:8" ht="15.75" x14ac:dyDescent="0.25">
      <c r="A7" s="60" t="s">
        <v>191</v>
      </c>
      <c r="B7" s="56" t="s">
        <v>294</v>
      </c>
      <c r="C7" s="44" t="str">
        <f t="shared" si="0"/>
        <v/>
      </c>
      <c r="D7" s="44" t="str">
        <f t="shared" si="1"/>
        <v/>
      </c>
      <c r="E7" s="41"/>
      <c r="F7" s="41"/>
      <c r="G7" s="41"/>
      <c r="H7" s="41"/>
    </row>
    <row r="8" spans="1:8" ht="15.75" x14ac:dyDescent="0.25">
      <c r="A8" s="60" t="s">
        <v>192</v>
      </c>
      <c r="B8" s="56" t="s">
        <v>543</v>
      </c>
      <c r="C8" s="44" t="str">
        <f t="shared" si="0"/>
        <v/>
      </c>
      <c r="D8" s="44" t="str">
        <f t="shared" si="1"/>
        <v/>
      </c>
      <c r="E8" s="41"/>
      <c r="F8" s="41"/>
      <c r="G8" s="41"/>
      <c r="H8" s="41"/>
    </row>
    <row r="9" spans="1:8" ht="15.75" x14ac:dyDescent="0.25">
      <c r="A9" s="60" t="s">
        <v>193</v>
      </c>
      <c r="B9" s="56" t="s">
        <v>468</v>
      </c>
      <c r="C9" s="44" t="str">
        <f t="shared" si="0"/>
        <v/>
      </c>
      <c r="D9" s="44" t="str">
        <f t="shared" si="1"/>
        <v/>
      </c>
      <c r="E9" s="41"/>
      <c r="F9" s="41"/>
      <c r="G9" s="41"/>
      <c r="H9" s="41"/>
    </row>
    <row r="10" spans="1:8" ht="15.75" x14ac:dyDescent="0.25">
      <c r="A10" s="60" t="s">
        <v>194</v>
      </c>
      <c r="B10" s="56" t="s">
        <v>116</v>
      </c>
      <c r="C10" s="44" t="str">
        <f t="shared" si="0"/>
        <v/>
      </c>
      <c r="D10" s="44" t="str">
        <f t="shared" si="1"/>
        <v/>
      </c>
      <c r="E10" s="41"/>
      <c r="F10" s="41"/>
      <c r="G10" s="41"/>
      <c r="H10" s="41"/>
    </row>
    <row r="11" spans="1:8" ht="15.75" x14ac:dyDescent="0.25">
      <c r="A11" s="60" t="s">
        <v>195</v>
      </c>
      <c r="B11" s="56" t="s">
        <v>117</v>
      </c>
      <c r="C11" s="44" t="str">
        <f t="shared" si="0"/>
        <v/>
      </c>
      <c r="D11" s="44" t="str">
        <f t="shared" si="1"/>
        <v/>
      </c>
      <c r="E11" s="41"/>
      <c r="F11" s="41"/>
      <c r="G11" s="41"/>
      <c r="H11" s="41"/>
    </row>
    <row r="12" spans="1:8" ht="15.75" x14ac:dyDescent="0.25">
      <c r="A12" s="60" t="s">
        <v>196</v>
      </c>
      <c r="B12" s="56" t="s">
        <v>467</v>
      </c>
      <c r="C12" s="44" t="str">
        <f t="shared" si="0"/>
        <v/>
      </c>
      <c r="D12" s="44" t="str">
        <f t="shared" si="1"/>
        <v/>
      </c>
      <c r="E12" s="41"/>
      <c r="F12" s="41"/>
      <c r="G12" s="41"/>
      <c r="H12" s="41"/>
    </row>
    <row r="13" spans="1:8" ht="15.75" x14ac:dyDescent="0.25">
      <c r="A13" s="60" t="s">
        <v>197</v>
      </c>
      <c r="B13" s="56" t="s">
        <v>119</v>
      </c>
      <c r="C13" s="44" t="str">
        <f t="shared" si="0"/>
        <v/>
      </c>
      <c r="D13" s="44" t="str">
        <f t="shared" si="1"/>
        <v/>
      </c>
      <c r="E13" s="41"/>
      <c r="F13" s="41"/>
      <c r="G13" s="41"/>
      <c r="H13" s="41"/>
    </row>
    <row r="14" spans="1:8" ht="15.75" x14ac:dyDescent="0.25">
      <c r="A14" s="60" t="s">
        <v>198</v>
      </c>
      <c r="B14" s="56" t="s">
        <v>189</v>
      </c>
      <c r="C14" s="44" t="str">
        <f t="shared" si="0"/>
        <v/>
      </c>
      <c r="D14" s="44" t="str">
        <f>IF(COUNTIF(E14:BA14,"NO")=0,"",COUNTIF(E14:BA14,"NO"))</f>
        <v/>
      </c>
      <c r="E14" s="41"/>
      <c r="F14" s="41"/>
      <c r="G14" s="41"/>
      <c r="H14" s="41"/>
    </row>
    <row r="15" spans="1:8" ht="15.75" x14ac:dyDescent="0.25">
      <c r="A15" s="69" t="s">
        <v>202</v>
      </c>
      <c r="B15" s="73"/>
      <c r="C15" s="71" t="str">
        <f t="shared" si="0"/>
        <v/>
      </c>
      <c r="D15" s="71" t="str">
        <f t="shared" si="1"/>
        <v/>
      </c>
      <c r="E15" s="72"/>
      <c r="F15" s="72"/>
      <c r="G15" s="72"/>
      <c r="H15" s="72"/>
    </row>
    <row r="16" spans="1:8" ht="25.5" x14ac:dyDescent="0.25">
      <c r="A16" s="61" t="s">
        <v>199</v>
      </c>
      <c r="B16" s="56" t="s">
        <v>545</v>
      </c>
      <c r="C16" s="44" t="str">
        <f t="shared" si="0"/>
        <v/>
      </c>
      <c r="D16" s="44" t="str">
        <f t="shared" si="1"/>
        <v/>
      </c>
      <c r="E16" s="41"/>
      <c r="F16" s="41"/>
      <c r="G16" s="41"/>
      <c r="H16" s="41"/>
    </row>
    <row r="17" spans="1:8" ht="15.75" x14ac:dyDescent="0.25">
      <c r="A17" s="61" t="s">
        <v>200</v>
      </c>
      <c r="B17" s="56" t="s">
        <v>120</v>
      </c>
      <c r="C17" s="44" t="str">
        <f t="shared" si="0"/>
        <v/>
      </c>
      <c r="D17" s="44" t="str">
        <f t="shared" si="1"/>
        <v/>
      </c>
      <c r="E17" s="41"/>
      <c r="F17" s="41"/>
      <c r="G17" s="41"/>
      <c r="H17" s="41"/>
    </row>
    <row r="18" spans="1:8" ht="23.25" x14ac:dyDescent="0.35">
      <c r="A18" s="77"/>
      <c r="B18" s="74" t="s">
        <v>93</v>
      </c>
      <c r="C18" s="71" t="str">
        <f t="shared" si="0"/>
        <v/>
      </c>
      <c r="D18" s="71" t="str">
        <f t="shared" si="1"/>
        <v/>
      </c>
      <c r="E18" s="72"/>
      <c r="F18" s="72"/>
      <c r="G18" s="72"/>
      <c r="H18" s="72"/>
    </row>
    <row r="19" spans="1:8" ht="15.75" x14ac:dyDescent="0.25">
      <c r="A19" s="69" t="s">
        <v>94</v>
      </c>
      <c r="B19" s="70"/>
      <c r="C19" s="71" t="str">
        <f t="shared" si="0"/>
        <v/>
      </c>
      <c r="D19" s="71" t="str">
        <f t="shared" si="1"/>
        <v/>
      </c>
      <c r="E19" s="72"/>
      <c r="F19" s="72"/>
      <c r="G19" s="72"/>
      <c r="H19" s="72"/>
    </row>
    <row r="20" spans="1:8" ht="13.5" customHeight="1" x14ac:dyDescent="0.25">
      <c r="A20" s="60" t="s">
        <v>51</v>
      </c>
      <c r="B20" s="56" t="s">
        <v>121</v>
      </c>
      <c r="C20" s="44" t="str">
        <f t="shared" si="0"/>
        <v/>
      </c>
      <c r="D20" s="44" t="str">
        <f t="shared" si="1"/>
        <v/>
      </c>
      <c r="E20" s="41"/>
      <c r="F20" s="41"/>
      <c r="G20" s="41"/>
      <c r="H20" s="41"/>
    </row>
    <row r="21" spans="1:8" ht="13.5" customHeight="1" x14ac:dyDescent="0.25">
      <c r="A21" s="60" t="s">
        <v>52</v>
      </c>
      <c r="B21" s="56" t="s">
        <v>122</v>
      </c>
      <c r="C21" s="44" t="str">
        <f t="shared" si="0"/>
        <v/>
      </c>
      <c r="D21" s="44" t="str">
        <f t="shared" si="1"/>
        <v/>
      </c>
      <c r="E21" s="41"/>
      <c r="F21" s="41"/>
      <c r="G21" s="41"/>
      <c r="H21" s="41"/>
    </row>
    <row r="22" spans="1:8" ht="13.5" customHeight="1" x14ac:dyDescent="0.25">
      <c r="A22" s="60" t="s">
        <v>53</v>
      </c>
      <c r="B22" s="56" t="s">
        <v>123</v>
      </c>
      <c r="C22" s="44" t="str">
        <f t="shared" si="0"/>
        <v/>
      </c>
      <c r="D22" s="44" t="str">
        <f t="shared" si="1"/>
        <v/>
      </c>
      <c r="E22" s="41"/>
      <c r="F22" s="41"/>
      <c r="G22" s="41"/>
      <c r="H22" s="41"/>
    </row>
    <row r="23" spans="1:8" ht="15.75" x14ac:dyDescent="0.25">
      <c r="A23" s="60" t="s">
        <v>73</v>
      </c>
      <c r="B23" s="56" t="s">
        <v>124</v>
      </c>
      <c r="C23" s="44" t="str">
        <f t="shared" si="0"/>
        <v/>
      </c>
      <c r="D23" s="44" t="str">
        <f t="shared" si="1"/>
        <v/>
      </c>
      <c r="E23" s="41"/>
      <c r="F23" s="41"/>
      <c r="G23" s="41"/>
      <c r="H23" s="41"/>
    </row>
    <row r="24" spans="1:8" ht="13.5" customHeight="1" x14ac:dyDescent="0.25">
      <c r="A24" s="60" t="s">
        <v>74</v>
      </c>
      <c r="B24" s="56" t="s">
        <v>125</v>
      </c>
      <c r="C24" s="44" t="str">
        <f t="shared" si="0"/>
        <v/>
      </c>
      <c r="D24" s="44" t="str">
        <f t="shared" si="1"/>
        <v/>
      </c>
      <c r="E24" s="41"/>
      <c r="F24" s="41"/>
      <c r="G24" s="41"/>
      <c r="H24" s="41"/>
    </row>
    <row r="25" spans="1:8" ht="13.5" customHeight="1" x14ac:dyDescent="0.25">
      <c r="A25" s="60" t="s">
        <v>75</v>
      </c>
      <c r="B25" s="56" t="s">
        <v>471</v>
      </c>
      <c r="C25" s="44" t="str">
        <f t="shared" si="0"/>
        <v/>
      </c>
      <c r="D25" s="44" t="str">
        <f t="shared" si="1"/>
        <v/>
      </c>
      <c r="E25" s="41"/>
      <c r="F25" s="41"/>
      <c r="G25" s="41"/>
      <c r="H25" s="41"/>
    </row>
    <row r="26" spans="1:8" ht="15.75" x14ac:dyDescent="0.25">
      <c r="A26" s="60" t="s">
        <v>76</v>
      </c>
      <c r="B26" s="56" t="s">
        <v>127</v>
      </c>
      <c r="C26" s="44" t="str">
        <f t="shared" si="0"/>
        <v/>
      </c>
      <c r="D26" s="44" t="str">
        <f t="shared" si="1"/>
        <v/>
      </c>
      <c r="E26" s="41"/>
      <c r="F26" s="41"/>
      <c r="G26" s="41"/>
      <c r="H26" s="41"/>
    </row>
    <row r="27" spans="1:8" ht="25.5" x14ac:dyDescent="0.25">
      <c r="A27" s="60" t="s">
        <v>77</v>
      </c>
      <c r="B27" s="56" t="s">
        <v>327</v>
      </c>
      <c r="C27" s="44" t="str">
        <f t="shared" si="0"/>
        <v/>
      </c>
      <c r="D27" s="44" t="str">
        <f t="shared" si="1"/>
        <v/>
      </c>
      <c r="E27" s="41"/>
      <c r="F27" s="41"/>
      <c r="G27" s="41"/>
      <c r="H27" s="41"/>
    </row>
    <row r="28" spans="1:8" ht="15.75" x14ac:dyDescent="0.25">
      <c r="A28" s="60" t="s">
        <v>78</v>
      </c>
      <c r="B28" s="56" t="s">
        <v>128</v>
      </c>
      <c r="C28" s="44" t="str">
        <f t="shared" si="0"/>
        <v/>
      </c>
      <c r="D28" s="44" t="str">
        <f t="shared" si="1"/>
        <v/>
      </c>
      <c r="E28" s="41"/>
      <c r="F28" s="41"/>
      <c r="G28" s="41"/>
      <c r="H28" s="41"/>
    </row>
    <row r="29" spans="1:8" ht="15.75" x14ac:dyDescent="0.25">
      <c r="A29" s="69" t="s">
        <v>129</v>
      </c>
      <c r="B29" s="70"/>
      <c r="C29" s="71" t="str">
        <f t="shared" si="0"/>
        <v/>
      </c>
      <c r="D29" s="71" t="str">
        <f t="shared" si="1"/>
        <v/>
      </c>
      <c r="E29" s="72"/>
      <c r="F29" s="72"/>
      <c r="G29" s="72"/>
      <c r="H29" s="72"/>
    </row>
    <row r="30" spans="1:8" ht="15.75" x14ac:dyDescent="0.25">
      <c r="A30" s="60" t="s">
        <v>54</v>
      </c>
      <c r="B30" s="56" t="s">
        <v>130</v>
      </c>
      <c r="C30" s="44" t="str">
        <f t="shared" si="0"/>
        <v/>
      </c>
      <c r="D30" s="44" t="str">
        <f t="shared" si="1"/>
        <v/>
      </c>
      <c r="E30" s="41"/>
      <c r="F30" s="41"/>
      <c r="G30" s="41"/>
      <c r="H30" s="41"/>
    </row>
    <row r="31" spans="1:8" ht="15.75" x14ac:dyDescent="0.25">
      <c r="A31" s="60" t="s">
        <v>55</v>
      </c>
      <c r="B31" s="56" t="s">
        <v>131</v>
      </c>
      <c r="C31" s="44" t="str">
        <f t="shared" si="0"/>
        <v/>
      </c>
      <c r="D31" s="44" t="str">
        <f t="shared" si="1"/>
        <v/>
      </c>
      <c r="E31" s="41"/>
      <c r="F31" s="41"/>
      <c r="G31" s="41"/>
      <c r="H31" s="41"/>
    </row>
    <row r="32" spans="1:8" ht="15.75" x14ac:dyDescent="0.25">
      <c r="A32" s="69" t="s">
        <v>132</v>
      </c>
      <c r="B32" s="70"/>
      <c r="C32" s="71" t="str">
        <f t="shared" si="0"/>
        <v/>
      </c>
      <c r="D32" s="71" t="str">
        <f t="shared" si="1"/>
        <v/>
      </c>
      <c r="E32" s="72"/>
      <c r="F32" s="72"/>
      <c r="G32" s="72"/>
      <c r="H32" s="72"/>
    </row>
    <row r="33" spans="1:8" ht="25.5" x14ac:dyDescent="0.25">
      <c r="A33" s="60" t="s">
        <v>58</v>
      </c>
      <c r="B33" s="56" t="s">
        <v>247</v>
      </c>
      <c r="C33" s="44" t="str">
        <f t="shared" si="0"/>
        <v/>
      </c>
      <c r="D33" s="44" t="str">
        <f>IF(COUNTIF(E33:BA33,"NO")=0,"",COUNTIF(E33:BA33,"NO"))</f>
        <v/>
      </c>
      <c r="E33" s="41"/>
      <c r="F33" s="41"/>
      <c r="G33" s="41"/>
      <c r="H33" s="41"/>
    </row>
    <row r="34" spans="1:8" ht="15.75" x14ac:dyDescent="0.25">
      <c r="A34" s="60" t="s">
        <v>59</v>
      </c>
      <c r="B34" s="56" t="s">
        <v>134</v>
      </c>
      <c r="C34" s="44" t="str">
        <f t="shared" si="0"/>
        <v/>
      </c>
      <c r="D34" s="44" t="str">
        <f t="shared" si="1"/>
        <v/>
      </c>
      <c r="E34" s="41"/>
      <c r="F34" s="41"/>
      <c r="G34" s="41"/>
      <c r="H34" s="41"/>
    </row>
    <row r="35" spans="1:8" ht="15.75" x14ac:dyDescent="0.25">
      <c r="A35" s="60" t="s">
        <v>60</v>
      </c>
      <c r="B35" s="56" t="s">
        <v>135</v>
      </c>
      <c r="C35" s="44" t="str">
        <f t="shared" si="0"/>
        <v/>
      </c>
      <c r="D35" s="44" t="str">
        <f t="shared" si="1"/>
        <v/>
      </c>
      <c r="E35" s="41"/>
      <c r="F35" s="41"/>
      <c r="G35" s="41"/>
      <c r="H35" s="41"/>
    </row>
    <row r="36" spans="1:8" ht="15.75" x14ac:dyDescent="0.25">
      <c r="A36" s="60" t="s">
        <v>61</v>
      </c>
      <c r="B36" s="56" t="s">
        <v>136</v>
      </c>
      <c r="C36" s="44" t="str">
        <f t="shared" si="0"/>
        <v/>
      </c>
      <c r="D36" s="44" t="str">
        <f t="shared" si="1"/>
        <v/>
      </c>
      <c r="E36" s="41"/>
      <c r="F36" s="41"/>
      <c r="G36" s="41"/>
      <c r="H36" s="41"/>
    </row>
    <row r="37" spans="1:8" ht="25.5" x14ac:dyDescent="0.25">
      <c r="A37" s="60" t="s">
        <v>62</v>
      </c>
      <c r="B37" s="56" t="s">
        <v>137</v>
      </c>
      <c r="C37" s="44" t="str">
        <f t="shared" si="0"/>
        <v/>
      </c>
      <c r="D37" s="44" t="str">
        <f t="shared" si="1"/>
        <v/>
      </c>
      <c r="E37" s="41"/>
      <c r="F37" s="41"/>
      <c r="G37" s="41"/>
      <c r="H37" s="41"/>
    </row>
    <row r="38" spans="1:8" ht="15.75" x14ac:dyDescent="0.25">
      <c r="A38" s="60" t="s">
        <v>63</v>
      </c>
      <c r="B38" s="56" t="s">
        <v>472</v>
      </c>
      <c r="C38" s="44" t="str">
        <f t="shared" ref="C38:C69" si="2">IF(COUNTIF(E38:BA38,"YES")=0,"",COUNTIF(E38:BA38,"YES"))</f>
        <v/>
      </c>
      <c r="D38" s="44" t="str">
        <f t="shared" si="1"/>
        <v/>
      </c>
      <c r="E38" s="41"/>
      <c r="F38" s="41"/>
      <c r="G38" s="41"/>
      <c r="H38" s="41"/>
    </row>
    <row r="39" spans="1:8" ht="15.75" x14ac:dyDescent="0.25">
      <c r="A39" s="60" t="s">
        <v>64</v>
      </c>
      <c r="B39" s="56" t="s">
        <v>140</v>
      </c>
      <c r="C39" s="44" t="str">
        <f t="shared" si="2"/>
        <v/>
      </c>
      <c r="D39" s="44" t="str">
        <f t="shared" si="1"/>
        <v/>
      </c>
      <c r="E39" s="41"/>
      <c r="F39" s="41"/>
      <c r="G39" s="41"/>
      <c r="H39" s="41"/>
    </row>
    <row r="40" spans="1:8" ht="15.75" x14ac:dyDescent="0.25">
      <c r="A40" s="60" t="s">
        <v>65</v>
      </c>
      <c r="B40" s="56" t="s">
        <v>142</v>
      </c>
      <c r="C40" s="44" t="str">
        <f t="shared" si="2"/>
        <v/>
      </c>
      <c r="D40" s="44" t="str">
        <f t="shared" si="1"/>
        <v/>
      </c>
      <c r="E40" s="41"/>
      <c r="F40" s="41"/>
      <c r="G40" s="41"/>
      <c r="H40" s="41"/>
    </row>
    <row r="41" spans="1:8" ht="15.75" x14ac:dyDescent="0.25">
      <c r="A41" s="60" t="s">
        <v>66</v>
      </c>
      <c r="B41" s="56" t="s">
        <v>143</v>
      </c>
      <c r="C41" s="44" t="str">
        <f t="shared" si="2"/>
        <v/>
      </c>
      <c r="D41" s="44" t="str">
        <f t="shared" si="1"/>
        <v/>
      </c>
      <c r="E41" s="41"/>
      <c r="F41" s="41"/>
      <c r="G41" s="41"/>
      <c r="H41" s="41"/>
    </row>
    <row r="42" spans="1:8" ht="15.75" x14ac:dyDescent="0.25">
      <c r="A42" s="69" t="s">
        <v>144</v>
      </c>
      <c r="B42" s="70"/>
      <c r="C42" s="71" t="str">
        <f t="shared" si="2"/>
        <v/>
      </c>
      <c r="D42" s="71" t="str">
        <f t="shared" si="1"/>
        <v/>
      </c>
      <c r="E42" s="72"/>
      <c r="F42" s="72"/>
      <c r="G42" s="72"/>
      <c r="H42" s="72"/>
    </row>
    <row r="43" spans="1:8" ht="15.75" x14ac:dyDescent="0.25">
      <c r="A43" s="60" t="s">
        <v>67</v>
      </c>
      <c r="B43" s="56" t="s">
        <v>145</v>
      </c>
      <c r="C43" s="44" t="str">
        <f t="shared" si="2"/>
        <v/>
      </c>
      <c r="D43" s="44" t="str">
        <f t="shared" si="1"/>
        <v/>
      </c>
      <c r="E43" s="41"/>
      <c r="F43" s="41"/>
      <c r="G43" s="41"/>
      <c r="H43" s="41"/>
    </row>
    <row r="44" spans="1:8" ht="15.75" x14ac:dyDescent="0.25">
      <c r="A44" s="60" t="s">
        <v>68</v>
      </c>
      <c r="B44" s="56" t="s">
        <v>146</v>
      </c>
      <c r="C44" s="44" t="str">
        <f t="shared" si="2"/>
        <v/>
      </c>
      <c r="D44" s="44" t="str">
        <f t="shared" si="1"/>
        <v/>
      </c>
      <c r="E44" s="41"/>
      <c r="F44" s="41"/>
      <c r="G44" s="41"/>
      <c r="H44" s="41"/>
    </row>
    <row r="45" spans="1:8" ht="15.75" x14ac:dyDescent="0.25">
      <c r="A45" s="60" t="s">
        <v>83</v>
      </c>
      <c r="B45" s="56" t="s">
        <v>147</v>
      </c>
      <c r="C45" s="44" t="str">
        <f t="shared" si="2"/>
        <v/>
      </c>
      <c r="D45" s="44" t="str">
        <f t="shared" si="1"/>
        <v/>
      </c>
      <c r="E45" s="41"/>
      <c r="F45" s="41"/>
      <c r="G45" s="41"/>
      <c r="H45" s="41"/>
    </row>
    <row r="46" spans="1:8" ht="15.75" x14ac:dyDescent="0.25">
      <c r="A46" s="69" t="s">
        <v>148</v>
      </c>
      <c r="B46" s="70"/>
      <c r="C46" s="71" t="str">
        <f t="shared" si="2"/>
        <v/>
      </c>
      <c r="D46" s="71" t="str">
        <f t="shared" si="1"/>
        <v/>
      </c>
      <c r="E46" s="72"/>
      <c r="F46" s="72"/>
      <c r="G46" s="72"/>
      <c r="H46" s="72"/>
    </row>
    <row r="47" spans="1:8" ht="15.75" x14ac:dyDescent="0.25">
      <c r="A47" s="60" t="s">
        <v>69</v>
      </c>
      <c r="B47" s="56" t="s">
        <v>149</v>
      </c>
      <c r="C47" s="44" t="str">
        <f t="shared" si="2"/>
        <v/>
      </c>
      <c r="D47" s="44" t="str">
        <f t="shared" si="1"/>
        <v/>
      </c>
      <c r="E47" s="41"/>
      <c r="F47" s="41"/>
      <c r="G47" s="41"/>
      <c r="H47" s="41"/>
    </row>
    <row r="48" spans="1:8" ht="15.75" x14ac:dyDescent="0.25">
      <c r="C48" s="46" t="str">
        <f t="shared" si="2"/>
        <v/>
      </c>
      <c r="D48" s="46" t="str">
        <f t="shared" si="1"/>
        <v/>
      </c>
    </row>
    <row r="49" spans="3:4" ht="15.75" x14ac:dyDescent="0.25">
      <c r="C49" s="46" t="str">
        <f t="shared" si="2"/>
        <v/>
      </c>
      <c r="D49" s="46" t="str">
        <f t="shared" si="1"/>
        <v/>
      </c>
    </row>
    <row r="50" spans="3:4" ht="15.75" x14ac:dyDescent="0.25">
      <c r="C50" s="46" t="str">
        <f t="shared" si="2"/>
        <v/>
      </c>
      <c r="D50" s="46" t="str">
        <f t="shared" si="1"/>
        <v/>
      </c>
    </row>
    <row r="51" spans="3:4" ht="15.75" x14ac:dyDescent="0.25">
      <c r="C51" s="46" t="str">
        <f t="shared" si="2"/>
        <v/>
      </c>
      <c r="D51" s="46" t="str">
        <f t="shared" si="1"/>
        <v/>
      </c>
    </row>
    <row r="52" spans="3:4" ht="15.75" x14ac:dyDescent="0.25">
      <c r="C52" s="46" t="str">
        <f t="shared" si="2"/>
        <v/>
      </c>
      <c r="D52" s="46" t="str">
        <f t="shared" si="1"/>
        <v/>
      </c>
    </row>
    <row r="53" spans="3:4" ht="15.75" x14ac:dyDescent="0.25">
      <c r="C53" s="46" t="str">
        <f t="shared" si="2"/>
        <v/>
      </c>
      <c r="D53" s="46" t="str">
        <f t="shared" si="1"/>
        <v/>
      </c>
    </row>
    <row r="54" spans="3:4" ht="15.75" x14ac:dyDescent="0.25">
      <c r="C54" s="46" t="str">
        <f t="shared" si="2"/>
        <v/>
      </c>
      <c r="D54" s="46" t="str">
        <f t="shared" si="1"/>
        <v/>
      </c>
    </row>
    <row r="55" spans="3:4" ht="15.75" x14ac:dyDescent="0.25">
      <c r="C55" s="46" t="str">
        <f t="shared" si="2"/>
        <v/>
      </c>
      <c r="D55" s="46" t="str">
        <f t="shared" si="1"/>
        <v/>
      </c>
    </row>
    <row r="56" spans="3:4" ht="15.75" x14ac:dyDescent="0.25">
      <c r="C56" s="46" t="str">
        <f t="shared" si="2"/>
        <v/>
      </c>
      <c r="D56" s="46" t="str">
        <f t="shared" si="1"/>
        <v/>
      </c>
    </row>
    <row r="57" spans="3:4" ht="15.75" x14ac:dyDescent="0.25">
      <c r="C57" s="46" t="str">
        <f t="shared" si="2"/>
        <v/>
      </c>
      <c r="D57" s="46" t="str">
        <f t="shared" si="1"/>
        <v/>
      </c>
    </row>
    <row r="58" spans="3:4" ht="15.75" x14ac:dyDescent="0.25">
      <c r="C58" s="46" t="str">
        <f t="shared" si="2"/>
        <v/>
      </c>
      <c r="D58" s="46" t="str">
        <f t="shared" si="1"/>
        <v/>
      </c>
    </row>
    <row r="59" spans="3:4" ht="15.75" x14ac:dyDescent="0.25">
      <c r="C59" s="46" t="str">
        <f t="shared" si="2"/>
        <v/>
      </c>
      <c r="D59" s="46" t="str">
        <f t="shared" si="1"/>
        <v/>
      </c>
    </row>
    <row r="60" spans="3:4" ht="15.75" x14ac:dyDescent="0.25">
      <c r="C60" s="46" t="str">
        <f t="shared" si="2"/>
        <v/>
      </c>
      <c r="D60" s="46" t="str">
        <f t="shared" si="1"/>
        <v/>
      </c>
    </row>
    <row r="61" spans="3:4" ht="15.75" x14ac:dyDescent="0.25">
      <c r="C61" s="46" t="str">
        <f t="shared" si="2"/>
        <v/>
      </c>
      <c r="D61" s="46" t="str">
        <f t="shared" si="1"/>
        <v/>
      </c>
    </row>
    <row r="62" spans="3:4" ht="15.75" x14ac:dyDescent="0.25">
      <c r="C62" s="46" t="str">
        <f t="shared" si="2"/>
        <v/>
      </c>
      <c r="D62" s="46" t="str">
        <f t="shared" si="1"/>
        <v/>
      </c>
    </row>
    <row r="63" spans="3:4" ht="15.75" x14ac:dyDescent="0.25">
      <c r="C63" s="46" t="str">
        <f t="shared" si="2"/>
        <v/>
      </c>
      <c r="D63" s="46" t="str">
        <f t="shared" si="1"/>
        <v/>
      </c>
    </row>
    <row r="64" spans="3:4" ht="15.75" x14ac:dyDescent="0.25">
      <c r="C64" s="46" t="str">
        <f t="shared" si="2"/>
        <v/>
      </c>
      <c r="D64" s="46" t="str">
        <f t="shared" si="1"/>
        <v/>
      </c>
    </row>
    <row r="65" spans="3:4" ht="15.75" x14ac:dyDescent="0.25">
      <c r="C65" s="46" t="str">
        <f t="shared" si="2"/>
        <v/>
      </c>
      <c r="D65" s="46" t="str">
        <f t="shared" si="1"/>
        <v/>
      </c>
    </row>
    <row r="66" spans="3:4" ht="15.75" x14ac:dyDescent="0.25">
      <c r="C66" s="46" t="str">
        <f t="shared" si="2"/>
        <v/>
      </c>
      <c r="D66" s="46" t="str">
        <f t="shared" si="1"/>
        <v/>
      </c>
    </row>
    <row r="67" spans="3:4" ht="15.75" x14ac:dyDescent="0.25">
      <c r="C67" s="46" t="str">
        <f t="shared" si="2"/>
        <v/>
      </c>
      <c r="D67" s="46" t="str">
        <f t="shared" si="1"/>
        <v/>
      </c>
    </row>
    <row r="68" spans="3:4" ht="15.75" x14ac:dyDescent="0.25">
      <c r="C68" s="46" t="str">
        <f t="shared" si="2"/>
        <v/>
      </c>
      <c r="D68" s="46" t="str">
        <f t="shared" si="1"/>
        <v/>
      </c>
    </row>
    <row r="69" spans="3:4" ht="15.75" x14ac:dyDescent="0.25">
      <c r="C69" s="46" t="str">
        <f t="shared" si="2"/>
        <v/>
      </c>
      <c r="D69" s="46" t="str">
        <f t="shared" si="1"/>
        <v/>
      </c>
    </row>
    <row r="70" spans="3:4" ht="15.75" x14ac:dyDescent="0.25">
      <c r="C70" s="46" t="str">
        <f t="shared" ref="C70:C133" si="3">IF(COUNTIF(E70:BA70,"YES")=0,"",COUNTIF(E70:BA70,"YES"))</f>
        <v/>
      </c>
      <c r="D70" s="46" t="str">
        <f t="shared" ref="D70:D133" si="4">IF(COUNTIF(E70:BA70,"NO")=0,"",COUNTIF(E70:BA70,"NO"))</f>
        <v/>
      </c>
    </row>
    <row r="71" spans="3:4" ht="15.75" x14ac:dyDescent="0.25">
      <c r="C71" s="46" t="str">
        <f t="shared" si="3"/>
        <v/>
      </c>
      <c r="D71" s="46" t="str">
        <f t="shared" si="4"/>
        <v/>
      </c>
    </row>
    <row r="72" spans="3:4" ht="15.75" x14ac:dyDescent="0.25">
      <c r="C72" s="46" t="str">
        <f t="shared" si="3"/>
        <v/>
      </c>
      <c r="D72" s="46" t="str">
        <f t="shared" si="4"/>
        <v/>
      </c>
    </row>
    <row r="73" spans="3:4" ht="15.75" x14ac:dyDescent="0.25">
      <c r="C73" s="46" t="str">
        <f t="shared" si="3"/>
        <v/>
      </c>
      <c r="D73" s="46" t="str">
        <f t="shared" si="4"/>
        <v/>
      </c>
    </row>
    <row r="74" spans="3:4" ht="15.75" x14ac:dyDescent="0.25">
      <c r="C74" s="46" t="str">
        <f t="shared" si="3"/>
        <v/>
      </c>
      <c r="D74" s="46" t="str">
        <f t="shared" si="4"/>
        <v/>
      </c>
    </row>
    <row r="75" spans="3:4" ht="15.75" x14ac:dyDescent="0.25">
      <c r="C75" s="46" t="str">
        <f t="shared" si="3"/>
        <v/>
      </c>
      <c r="D75" s="46" t="str">
        <f t="shared" si="4"/>
        <v/>
      </c>
    </row>
    <row r="76" spans="3:4" ht="15.75" x14ac:dyDescent="0.25">
      <c r="C76" s="46" t="str">
        <f t="shared" si="3"/>
        <v/>
      </c>
      <c r="D76" s="46" t="str">
        <f t="shared" si="4"/>
        <v/>
      </c>
    </row>
    <row r="77" spans="3:4" ht="15.75" x14ac:dyDescent="0.25">
      <c r="C77" s="46" t="str">
        <f t="shared" si="3"/>
        <v/>
      </c>
      <c r="D77" s="46" t="str">
        <f t="shared" si="4"/>
        <v/>
      </c>
    </row>
    <row r="78" spans="3:4" ht="15.75" x14ac:dyDescent="0.25">
      <c r="C78" s="46" t="str">
        <f t="shared" si="3"/>
        <v/>
      </c>
      <c r="D78" s="46" t="str">
        <f t="shared" si="4"/>
        <v/>
      </c>
    </row>
    <row r="79" spans="3:4" ht="15.75" x14ac:dyDescent="0.25">
      <c r="C79" s="46" t="str">
        <f t="shared" si="3"/>
        <v/>
      </c>
      <c r="D79" s="46" t="str">
        <f t="shared" si="4"/>
        <v/>
      </c>
    </row>
    <row r="80" spans="3:4" ht="15.75" x14ac:dyDescent="0.25">
      <c r="C80" s="46" t="str">
        <f t="shared" si="3"/>
        <v/>
      </c>
      <c r="D80" s="46" t="str">
        <f t="shared" si="4"/>
        <v/>
      </c>
    </row>
    <row r="81" spans="3:4" ht="15.75" x14ac:dyDescent="0.25">
      <c r="C81" s="46" t="str">
        <f t="shared" si="3"/>
        <v/>
      </c>
      <c r="D81" s="46" t="str">
        <f t="shared" si="4"/>
        <v/>
      </c>
    </row>
    <row r="82" spans="3:4" ht="15.75" x14ac:dyDescent="0.25">
      <c r="C82" s="46" t="str">
        <f t="shared" si="3"/>
        <v/>
      </c>
      <c r="D82" s="46" t="str">
        <f t="shared" si="4"/>
        <v/>
      </c>
    </row>
    <row r="83" spans="3:4" ht="15.75" x14ac:dyDescent="0.25">
      <c r="C83" s="46" t="str">
        <f t="shared" si="3"/>
        <v/>
      </c>
      <c r="D83" s="46" t="str">
        <f t="shared" si="4"/>
        <v/>
      </c>
    </row>
    <row r="84" spans="3:4" ht="15.75" x14ac:dyDescent="0.25">
      <c r="C84" s="46" t="str">
        <f t="shared" si="3"/>
        <v/>
      </c>
      <c r="D84" s="46" t="str">
        <f t="shared" si="4"/>
        <v/>
      </c>
    </row>
    <row r="85" spans="3:4" ht="15.75" x14ac:dyDescent="0.25">
      <c r="C85" s="46" t="str">
        <f t="shared" si="3"/>
        <v/>
      </c>
      <c r="D85" s="46" t="str">
        <f t="shared" si="4"/>
        <v/>
      </c>
    </row>
    <row r="86" spans="3:4" ht="15.75" x14ac:dyDescent="0.25">
      <c r="C86" s="46" t="str">
        <f t="shared" si="3"/>
        <v/>
      </c>
      <c r="D86" s="46" t="str">
        <f t="shared" si="4"/>
        <v/>
      </c>
    </row>
    <row r="87" spans="3:4" ht="15.75" x14ac:dyDescent="0.25">
      <c r="C87" s="46" t="str">
        <f t="shared" si="3"/>
        <v/>
      </c>
      <c r="D87" s="46" t="str">
        <f t="shared" si="4"/>
        <v/>
      </c>
    </row>
    <row r="88" spans="3:4" ht="15.75" x14ac:dyDescent="0.25">
      <c r="C88" s="46" t="str">
        <f t="shared" si="3"/>
        <v/>
      </c>
      <c r="D88" s="46" t="str">
        <f t="shared" si="4"/>
        <v/>
      </c>
    </row>
    <row r="89" spans="3:4" ht="15.75" x14ac:dyDescent="0.25">
      <c r="C89" s="46" t="str">
        <f t="shared" si="3"/>
        <v/>
      </c>
      <c r="D89" s="46" t="str">
        <f t="shared" si="4"/>
        <v/>
      </c>
    </row>
    <row r="90" spans="3:4" ht="15.75" x14ac:dyDescent="0.25">
      <c r="C90" s="46" t="str">
        <f t="shared" si="3"/>
        <v/>
      </c>
      <c r="D90" s="46" t="str">
        <f t="shared" si="4"/>
        <v/>
      </c>
    </row>
    <row r="91" spans="3:4" ht="15.75" x14ac:dyDescent="0.25">
      <c r="C91" s="46" t="str">
        <f t="shared" si="3"/>
        <v/>
      </c>
      <c r="D91" s="46" t="str">
        <f t="shared" si="4"/>
        <v/>
      </c>
    </row>
    <row r="92" spans="3:4" ht="15.75" x14ac:dyDescent="0.25">
      <c r="C92" s="46" t="str">
        <f t="shared" si="3"/>
        <v/>
      </c>
      <c r="D92" s="46" t="str">
        <f t="shared" si="4"/>
        <v/>
      </c>
    </row>
    <row r="93" spans="3:4" ht="15.75" x14ac:dyDescent="0.25">
      <c r="C93" s="46" t="str">
        <f t="shared" si="3"/>
        <v/>
      </c>
      <c r="D93" s="46" t="str">
        <f t="shared" si="4"/>
        <v/>
      </c>
    </row>
    <row r="94" spans="3:4" ht="15.75" x14ac:dyDescent="0.25">
      <c r="C94" s="46" t="str">
        <f t="shared" si="3"/>
        <v/>
      </c>
      <c r="D94" s="46" t="str">
        <f t="shared" si="4"/>
        <v/>
      </c>
    </row>
    <row r="95" spans="3:4" ht="15.75" x14ac:dyDescent="0.25">
      <c r="C95" s="46" t="str">
        <f t="shared" si="3"/>
        <v/>
      </c>
      <c r="D95" s="46" t="str">
        <f t="shared" si="4"/>
        <v/>
      </c>
    </row>
    <row r="96" spans="3:4" ht="15.75" x14ac:dyDescent="0.25">
      <c r="C96" s="46" t="str">
        <f t="shared" si="3"/>
        <v/>
      </c>
      <c r="D96" s="46" t="str">
        <f t="shared" si="4"/>
        <v/>
      </c>
    </row>
    <row r="97" spans="3:4" ht="15.75" x14ac:dyDescent="0.25">
      <c r="C97" s="46" t="str">
        <f t="shared" si="3"/>
        <v/>
      </c>
      <c r="D97" s="46" t="str">
        <f t="shared" si="4"/>
        <v/>
      </c>
    </row>
    <row r="98" spans="3:4" ht="15.75" x14ac:dyDescent="0.25">
      <c r="C98" s="46" t="str">
        <f t="shared" si="3"/>
        <v/>
      </c>
      <c r="D98" s="46" t="str">
        <f t="shared" si="4"/>
        <v/>
      </c>
    </row>
    <row r="99" spans="3:4" ht="15.75" x14ac:dyDescent="0.25">
      <c r="C99" s="46" t="str">
        <f t="shared" si="3"/>
        <v/>
      </c>
      <c r="D99" s="46" t="str">
        <f t="shared" si="4"/>
        <v/>
      </c>
    </row>
    <row r="100" spans="3:4" ht="15.75" x14ac:dyDescent="0.25">
      <c r="C100" s="46" t="str">
        <f t="shared" si="3"/>
        <v/>
      </c>
      <c r="D100" s="46" t="str">
        <f t="shared" si="4"/>
        <v/>
      </c>
    </row>
    <row r="101" spans="3:4" ht="15.75" x14ac:dyDescent="0.25">
      <c r="C101" s="46" t="str">
        <f t="shared" si="3"/>
        <v/>
      </c>
      <c r="D101" s="46" t="str">
        <f t="shared" si="4"/>
        <v/>
      </c>
    </row>
    <row r="102" spans="3:4" ht="15.75" x14ac:dyDescent="0.25">
      <c r="C102" s="46" t="str">
        <f t="shared" si="3"/>
        <v/>
      </c>
      <c r="D102" s="46" t="str">
        <f t="shared" si="4"/>
        <v/>
      </c>
    </row>
    <row r="103" spans="3:4" ht="15.75" x14ac:dyDescent="0.25">
      <c r="C103" s="46" t="str">
        <f t="shared" si="3"/>
        <v/>
      </c>
      <c r="D103" s="46" t="str">
        <f t="shared" si="4"/>
        <v/>
      </c>
    </row>
    <row r="104" spans="3:4" ht="15.75" x14ac:dyDescent="0.25">
      <c r="C104" s="46" t="str">
        <f t="shared" si="3"/>
        <v/>
      </c>
      <c r="D104" s="46" t="str">
        <f t="shared" si="4"/>
        <v/>
      </c>
    </row>
    <row r="105" spans="3:4" ht="15.75" x14ac:dyDescent="0.25">
      <c r="C105" s="46" t="str">
        <f t="shared" si="3"/>
        <v/>
      </c>
      <c r="D105" s="46" t="str">
        <f t="shared" si="4"/>
        <v/>
      </c>
    </row>
    <row r="106" spans="3:4" ht="15.75" x14ac:dyDescent="0.25">
      <c r="C106" s="46" t="str">
        <f t="shared" si="3"/>
        <v/>
      </c>
      <c r="D106" s="46" t="str">
        <f t="shared" si="4"/>
        <v/>
      </c>
    </row>
    <row r="107" spans="3:4" ht="15.75" x14ac:dyDescent="0.25">
      <c r="C107" s="46" t="str">
        <f t="shared" si="3"/>
        <v/>
      </c>
      <c r="D107" s="46" t="str">
        <f t="shared" si="4"/>
        <v/>
      </c>
    </row>
    <row r="108" spans="3:4" ht="15.75" x14ac:dyDescent="0.25">
      <c r="C108" s="46" t="str">
        <f t="shared" si="3"/>
        <v/>
      </c>
      <c r="D108" s="46" t="str">
        <f t="shared" si="4"/>
        <v/>
      </c>
    </row>
    <row r="109" spans="3:4" ht="15.75" x14ac:dyDescent="0.25">
      <c r="C109" s="46" t="str">
        <f t="shared" si="3"/>
        <v/>
      </c>
      <c r="D109" s="46" t="str">
        <f t="shared" si="4"/>
        <v/>
      </c>
    </row>
    <row r="110" spans="3:4" ht="15.75" x14ac:dyDescent="0.25">
      <c r="C110" s="46" t="str">
        <f t="shared" si="3"/>
        <v/>
      </c>
      <c r="D110" s="46" t="str">
        <f t="shared" si="4"/>
        <v/>
      </c>
    </row>
    <row r="111" spans="3:4" ht="15.75" x14ac:dyDescent="0.25">
      <c r="C111" s="46" t="str">
        <f t="shared" si="3"/>
        <v/>
      </c>
      <c r="D111" s="46" t="str">
        <f t="shared" si="4"/>
        <v/>
      </c>
    </row>
    <row r="112" spans="3:4" ht="15.75" x14ac:dyDescent="0.25">
      <c r="C112" s="46" t="str">
        <f t="shared" si="3"/>
        <v/>
      </c>
      <c r="D112" s="46" t="str">
        <f t="shared" si="4"/>
        <v/>
      </c>
    </row>
    <row r="113" spans="3:4" ht="15.75" x14ac:dyDescent="0.25">
      <c r="C113" s="46" t="str">
        <f t="shared" si="3"/>
        <v/>
      </c>
      <c r="D113" s="46" t="str">
        <f t="shared" si="4"/>
        <v/>
      </c>
    </row>
    <row r="114" spans="3:4" ht="15.75" x14ac:dyDescent="0.25">
      <c r="C114" s="46" t="str">
        <f t="shared" si="3"/>
        <v/>
      </c>
      <c r="D114" s="46" t="str">
        <f t="shared" si="4"/>
        <v/>
      </c>
    </row>
    <row r="115" spans="3:4" ht="15.75" x14ac:dyDescent="0.25">
      <c r="C115" s="46" t="str">
        <f t="shared" si="3"/>
        <v/>
      </c>
      <c r="D115" s="46" t="str">
        <f t="shared" si="4"/>
        <v/>
      </c>
    </row>
    <row r="116" spans="3:4" ht="15.75" x14ac:dyDescent="0.25">
      <c r="C116" s="46" t="str">
        <f t="shared" si="3"/>
        <v/>
      </c>
      <c r="D116" s="46" t="str">
        <f t="shared" si="4"/>
        <v/>
      </c>
    </row>
    <row r="117" spans="3:4" ht="15.75" x14ac:dyDescent="0.25">
      <c r="C117" s="46" t="str">
        <f t="shared" si="3"/>
        <v/>
      </c>
      <c r="D117" s="46" t="str">
        <f t="shared" si="4"/>
        <v/>
      </c>
    </row>
    <row r="118" spans="3:4" ht="15.75" x14ac:dyDescent="0.25">
      <c r="C118" s="46" t="str">
        <f t="shared" si="3"/>
        <v/>
      </c>
      <c r="D118" s="46" t="str">
        <f t="shared" si="4"/>
        <v/>
      </c>
    </row>
    <row r="119" spans="3:4" ht="15.75" x14ac:dyDescent="0.25">
      <c r="C119" s="46" t="str">
        <f t="shared" si="3"/>
        <v/>
      </c>
      <c r="D119" s="46" t="str">
        <f t="shared" si="4"/>
        <v/>
      </c>
    </row>
    <row r="120" spans="3:4" ht="15.75" x14ac:dyDescent="0.25">
      <c r="C120" s="46" t="str">
        <f t="shared" si="3"/>
        <v/>
      </c>
      <c r="D120" s="46" t="str">
        <f t="shared" si="4"/>
        <v/>
      </c>
    </row>
    <row r="121" spans="3:4" ht="15.75" x14ac:dyDescent="0.25">
      <c r="C121" s="46" t="str">
        <f t="shared" si="3"/>
        <v/>
      </c>
      <c r="D121" s="46" t="str">
        <f t="shared" si="4"/>
        <v/>
      </c>
    </row>
    <row r="122" spans="3:4" ht="15.75" x14ac:dyDescent="0.25">
      <c r="C122" s="46" t="str">
        <f t="shared" si="3"/>
        <v/>
      </c>
      <c r="D122" s="46" t="str">
        <f t="shared" si="4"/>
        <v/>
      </c>
    </row>
    <row r="123" spans="3:4" ht="15.75" x14ac:dyDescent="0.25">
      <c r="C123" s="46" t="str">
        <f t="shared" si="3"/>
        <v/>
      </c>
      <c r="D123" s="46" t="str">
        <f t="shared" si="4"/>
        <v/>
      </c>
    </row>
    <row r="124" spans="3:4" ht="15.75" x14ac:dyDescent="0.25">
      <c r="C124" s="46" t="str">
        <f t="shared" si="3"/>
        <v/>
      </c>
      <c r="D124" s="46" t="str">
        <f t="shared" si="4"/>
        <v/>
      </c>
    </row>
    <row r="125" spans="3:4" ht="15.75" x14ac:dyDescent="0.25">
      <c r="C125" s="46" t="str">
        <f t="shared" si="3"/>
        <v/>
      </c>
      <c r="D125" s="46" t="str">
        <f t="shared" si="4"/>
        <v/>
      </c>
    </row>
    <row r="126" spans="3:4" ht="15.75" x14ac:dyDescent="0.25">
      <c r="C126" s="46" t="str">
        <f t="shared" si="3"/>
        <v/>
      </c>
      <c r="D126" s="46" t="str">
        <f t="shared" si="4"/>
        <v/>
      </c>
    </row>
    <row r="127" spans="3:4" ht="15.75" x14ac:dyDescent="0.25">
      <c r="C127" s="46" t="str">
        <f t="shared" si="3"/>
        <v/>
      </c>
      <c r="D127" s="46" t="str">
        <f t="shared" si="4"/>
        <v/>
      </c>
    </row>
    <row r="128" spans="3:4" ht="15.75" x14ac:dyDescent="0.25">
      <c r="C128" s="46" t="str">
        <f t="shared" si="3"/>
        <v/>
      </c>
      <c r="D128" s="46" t="str">
        <f t="shared" si="4"/>
        <v/>
      </c>
    </row>
    <row r="129" spans="3:4" ht="15.75" x14ac:dyDescent="0.25">
      <c r="C129" s="46" t="str">
        <f t="shared" si="3"/>
        <v/>
      </c>
      <c r="D129" s="46" t="str">
        <f t="shared" si="4"/>
        <v/>
      </c>
    </row>
    <row r="130" spans="3:4" ht="15.75" x14ac:dyDescent="0.25">
      <c r="C130" s="46" t="str">
        <f t="shared" si="3"/>
        <v/>
      </c>
      <c r="D130" s="46" t="str">
        <f t="shared" si="4"/>
        <v/>
      </c>
    </row>
    <row r="131" spans="3:4" ht="15.75" x14ac:dyDescent="0.25">
      <c r="C131" s="46" t="str">
        <f t="shared" si="3"/>
        <v/>
      </c>
      <c r="D131" s="46" t="str">
        <f t="shared" si="4"/>
        <v/>
      </c>
    </row>
    <row r="132" spans="3:4" ht="15.75" x14ac:dyDescent="0.25">
      <c r="C132" s="46" t="str">
        <f t="shared" si="3"/>
        <v/>
      </c>
      <c r="D132" s="46" t="str">
        <f t="shared" si="4"/>
        <v/>
      </c>
    </row>
    <row r="133" spans="3:4" ht="15.75" x14ac:dyDescent="0.25">
      <c r="C133" s="46" t="str">
        <f t="shared" si="3"/>
        <v/>
      </c>
      <c r="D133" s="46" t="str">
        <f t="shared" si="4"/>
        <v/>
      </c>
    </row>
    <row r="134" spans="3:4" ht="15.75" x14ac:dyDescent="0.25">
      <c r="C134" s="46" t="str">
        <f t="shared" ref="C134:C197" si="5">IF(COUNTIF(E134:BA134,"YES")=0,"",COUNTIF(E134:BA134,"YES"))</f>
        <v/>
      </c>
      <c r="D134" s="46" t="str">
        <f t="shared" ref="D134:D197" si="6">IF(COUNTIF(E134:BA134,"NO")=0,"",COUNTIF(E134:BA134,"NO"))</f>
        <v/>
      </c>
    </row>
    <row r="135" spans="3:4" ht="15.75" x14ac:dyDescent="0.25">
      <c r="C135" s="46" t="str">
        <f t="shared" si="5"/>
        <v/>
      </c>
      <c r="D135" s="46" t="str">
        <f t="shared" si="6"/>
        <v/>
      </c>
    </row>
    <row r="136" spans="3:4" ht="15.75" x14ac:dyDescent="0.25">
      <c r="C136" s="46" t="str">
        <f t="shared" si="5"/>
        <v/>
      </c>
      <c r="D136" s="46" t="str">
        <f t="shared" si="6"/>
        <v/>
      </c>
    </row>
    <row r="137" spans="3:4" ht="15.75" x14ac:dyDescent="0.25">
      <c r="C137" s="46" t="str">
        <f t="shared" si="5"/>
        <v/>
      </c>
      <c r="D137" s="46" t="str">
        <f t="shared" si="6"/>
        <v/>
      </c>
    </row>
    <row r="138" spans="3:4" ht="15.75" x14ac:dyDescent="0.25">
      <c r="C138" s="46" t="str">
        <f t="shared" si="5"/>
        <v/>
      </c>
      <c r="D138" s="46" t="str">
        <f t="shared" si="6"/>
        <v/>
      </c>
    </row>
    <row r="139" spans="3:4" ht="15.75" x14ac:dyDescent="0.25">
      <c r="C139" s="46" t="str">
        <f t="shared" si="5"/>
        <v/>
      </c>
      <c r="D139" s="46" t="str">
        <f t="shared" si="6"/>
        <v/>
      </c>
    </row>
    <row r="140" spans="3:4" ht="15.75" x14ac:dyDescent="0.25">
      <c r="C140" s="46" t="str">
        <f t="shared" si="5"/>
        <v/>
      </c>
      <c r="D140" s="46" t="str">
        <f t="shared" si="6"/>
        <v/>
      </c>
    </row>
    <row r="141" spans="3:4" ht="15.75" x14ac:dyDescent="0.25">
      <c r="C141" s="46" t="str">
        <f t="shared" si="5"/>
        <v/>
      </c>
      <c r="D141" s="46" t="str">
        <f t="shared" si="6"/>
        <v/>
      </c>
    </row>
    <row r="142" spans="3:4" ht="15.75" x14ac:dyDescent="0.25">
      <c r="C142" s="46" t="str">
        <f t="shared" si="5"/>
        <v/>
      </c>
      <c r="D142" s="46" t="str">
        <f t="shared" si="6"/>
        <v/>
      </c>
    </row>
    <row r="143" spans="3:4" ht="15.75" x14ac:dyDescent="0.25">
      <c r="C143" s="46" t="str">
        <f t="shared" si="5"/>
        <v/>
      </c>
      <c r="D143" s="46" t="str">
        <f t="shared" si="6"/>
        <v/>
      </c>
    </row>
    <row r="144" spans="3:4" ht="15.75" x14ac:dyDescent="0.25">
      <c r="C144" s="46" t="str">
        <f t="shared" si="5"/>
        <v/>
      </c>
      <c r="D144" s="46" t="str">
        <f t="shared" si="6"/>
        <v/>
      </c>
    </row>
    <row r="145" spans="3:4" ht="15.75" x14ac:dyDescent="0.25">
      <c r="C145" s="46" t="str">
        <f t="shared" si="5"/>
        <v/>
      </c>
      <c r="D145" s="46" t="str">
        <f t="shared" si="6"/>
        <v/>
      </c>
    </row>
    <row r="146" spans="3:4" ht="15.75" x14ac:dyDescent="0.25">
      <c r="C146" s="46" t="str">
        <f t="shared" si="5"/>
        <v/>
      </c>
      <c r="D146" s="46" t="str">
        <f t="shared" si="6"/>
        <v/>
      </c>
    </row>
    <row r="147" spans="3:4" ht="15.75" x14ac:dyDescent="0.25">
      <c r="C147" s="46" t="str">
        <f t="shared" si="5"/>
        <v/>
      </c>
      <c r="D147" s="46" t="str">
        <f t="shared" si="6"/>
        <v/>
      </c>
    </row>
    <row r="148" spans="3:4" ht="15.75" x14ac:dyDescent="0.25">
      <c r="C148" s="46" t="str">
        <f t="shared" si="5"/>
        <v/>
      </c>
      <c r="D148" s="46" t="str">
        <f t="shared" si="6"/>
        <v/>
      </c>
    </row>
    <row r="149" spans="3:4" ht="15.75" x14ac:dyDescent="0.25">
      <c r="C149" s="46" t="str">
        <f t="shared" si="5"/>
        <v/>
      </c>
      <c r="D149" s="46" t="str">
        <f t="shared" si="6"/>
        <v/>
      </c>
    </row>
    <row r="150" spans="3:4" ht="15.75" x14ac:dyDescent="0.25">
      <c r="C150" s="46" t="str">
        <f t="shared" si="5"/>
        <v/>
      </c>
      <c r="D150" s="46" t="str">
        <f t="shared" si="6"/>
        <v/>
      </c>
    </row>
    <row r="151" spans="3:4" ht="15.75" x14ac:dyDescent="0.25">
      <c r="C151" s="46" t="str">
        <f t="shared" si="5"/>
        <v/>
      </c>
      <c r="D151" s="46" t="str">
        <f t="shared" si="6"/>
        <v/>
      </c>
    </row>
    <row r="152" spans="3:4" ht="15.75" x14ac:dyDescent="0.25">
      <c r="C152" s="46" t="str">
        <f t="shared" si="5"/>
        <v/>
      </c>
      <c r="D152" s="46" t="str">
        <f t="shared" si="6"/>
        <v/>
      </c>
    </row>
    <row r="153" spans="3:4" ht="15.75" x14ac:dyDescent="0.25">
      <c r="C153" s="46" t="str">
        <f t="shared" si="5"/>
        <v/>
      </c>
      <c r="D153" s="46" t="str">
        <f t="shared" si="6"/>
        <v/>
      </c>
    </row>
    <row r="154" spans="3:4" ht="15.75" x14ac:dyDescent="0.25">
      <c r="C154" s="46" t="str">
        <f t="shared" si="5"/>
        <v/>
      </c>
      <c r="D154" s="46" t="str">
        <f t="shared" si="6"/>
        <v/>
      </c>
    </row>
    <row r="155" spans="3:4" ht="15.75" x14ac:dyDescent="0.25">
      <c r="C155" s="46" t="str">
        <f t="shared" si="5"/>
        <v/>
      </c>
      <c r="D155" s="46" t="str">
        <f t="shared" si="6"/>
        <v/>
      </c>
    </row>
    <row r="156" spans="3:4" ht="15.75" x14ac:dyDescent="0.25">
      <c r="C156" s="46" t="str">
        <f t="shared" si="5"/>
        <v/>
      </c>
      <c r="D156" s="46" t="str">
        <f t="shared" si="6"/>
        <v/>
      </c>
    </row>
    <row r="157" spans="3:4" ht="15.75" x14ac:dyDescent="0.25">
      <c r="C157" s="46" t="str">
        <f t="shared" si="5"/>
        <v/>
      </c>
      <c r="D157" s="46" t="str">
        <f t="shared" si="6"/>
        <v/>
      </c>
    </row>
    <row r="158" spans="3:4" ht="15.75" x14ac:dyDescent="0.25">
      <c r="C158" s="46" t="str">
        <f t="shared" si="5"/>
        <v/>
      </c>
      <c r="D158" s="46" t="str">
        <f t="shared" si="6"/>
        <v/>
      </c>
    </row>
    <row r="159" spans="3:4" ht="15.75" x14ac:dyDescent="0.25">
      <c r="C159" s="46" t="str">
        <f t="shared" si="5"/>
        <v/>
      </c>
      <c r="D159" s="46" t="str">
        <f t="shared" si="6"/>
        <v/>
      </c>
    </row>
    <row r="160" spans="3:4" ht="15.75" x14ac:dyDescent="0.25">
      <c r="C160" s="46" t="str">
        <f t="shared" si="5"/>
        <v/>
      </c>
      <c r="D160" s="46" t="str">
        <f t="shared" si="6"/>
        <v/>
      </c>
    </row>
    <row r="161" spans="3:4" ht="15.75" x14ac:dyDescent="0.25">
      <c r="C161" s="46" t="str">
        <f t="shared" si="5"/>
        <v/>
      </c>
      <c r="D161" s="46" t="str">
        <f t="shared" si="6"/>
        <v/>
      </c>
    </row>
    <row r="162" spans="3:4" ht="15.75" x14ac:dyDescent="0.25">
      <c r="C162" s="46" t="str">
        <f t="shared" si="5"/>
        <v/>
      </c>
      <c r="D162" s="46" t="str">
        <f t="shared" si="6"/>
        <v/>
      </c>
    </row>
    <row r="163" spans="3:4" ht="15.75" x14ac:dyDescent="0.25">
      <c r="C163" s="46" t="str">
        <f t="shared" si="5"/>
        <v/>
      </c>
      <c r="D163" s="46" t="str">
        <f t="shared" si="6"/>
        <v/>
      </c>
    </row>
    <row r="164" spans="3:4" ht="15.75" x14ac:dyDescent="0.25">
      <c r="C164" s="46" t="str">
        <f t="shared" si="5"/>
        <v/>
      </c>
      <c r="D164" s="46" t="str">
        <f t="shared" si="6"/>
        <v/>
      </c>
    </row>
    <row r="165" spans="3:4" ht="15.75" x14ac:dyDescent="0.25">
      <c r="C165" s="46" t="str">
        <f t="shared" si="5"/>
        <v/>
      </c>
      <c r="D165" s="46" t="str">
        <f t="shared" si="6"/>
        <v/>
      </c>
    </row>
    <row r="166" spans="3:4" ht="15.75" x14ac:dyDescent="0.25">
      <c r="C166" s="46" t="str">
        <f t="shared" si="5"/>
        <v/>
      </c>
      <c r="D166" s="46" t="str">
        <f t="shared" si="6"/>
        <v/>
      </c>
    </row>
    <row r="167" spans="3:4" ht="15.75" x14ac:dyDescent="0.25">
      <c r="C167" s="46" t="str">
        <f t="shared" si="5"/>
        <v/>
      </c>
      <c r="D167" s="46" t="str">
        <f t="shared" si="6"/>
        <v/>
      </c>
    </row>
    <row r="168" spans="3:4" ht="15.75" x14ac:dyDescent="0.25">
      <c r="C168" s="46" t="str">
        <f t="shared" si="5"/>
        <v/>
      </c>
      <c r="D168" s="46" t="str">
        <f t="shared" si="6"/>
        <v/>
      </c>
    </row>
    <row r="169" spans="3:4" ht="15.75" x14ac:dyDescent="0.25">
      <c r="C169" s="46" t="str">
        <f t="shared" si="5"/>
        <v/>
      </c>
      <c r="D169" s="46" t="str">
        <f t="shared" si="6"/>
        <v/>
      </c>
    </row>
    <row r="170" spans="3:4" ht="15.75" x14ac:dyDescent="0.25">
      <c r="C170" s="46" t="str">
        <f t="shared" si="5"/>
        <v/>
      </c>
      <c r="D170" s="46" t="str">
        <f t="shared" si="6"/>
        <v/>
      </c>
    </row>
    <row r="171" spans="3:4" ht="15.75" x14ac:dyDescent="0.25">
      <c r="C171" s="46" t="str">
        <f t="shared" si="5"/>
        <v/>
      </c>
      <c r="D171" s="46" t="str">
        <f t="shared" si="6"/>
        <v/>
      </c>
    </row>
    <row r="172" spans="3:4" ht="15.75" x14ac:dyDescent="0.25">
      <c r="C172" s="46" t="str">
        <f t="shared" si="5"/>
        <v/>
      </c>
      <c r="D172" s="46" t="str">
        <f t="shared" si="6"/>
        <v/>
      </c>
    </row>
    <row r="173" spans="3:4" ht="15.75" x14ac:dyDescent="0.25">
      <c r="C173" s="46" t="str">
        <f t="shared" si="5"/>
        <v/>
      </c>
      <c r="D173" s="46" t="str">
        <f t="shared" si="6"/>
        <v/>
      </c>
    </row>
    <row r="174" spans="3:4" ht="15.75" x14ac:dyDescent="0.25">
      <c r="C174" s="46" t="str">
        <f t="shared" si="5"/>
        <v/>
      </c>
      <c r="D174" s="46" t="str">
        <f t="shared" si="6"/>
        <v/>
      </c>
    </row>
    <row r="175" spans="3:4" ht="15.75" x14ac:dyDescent="0.25">
      <c r="C175" s="46" t="str">
        <f t="shared" si="5"/>
        <v/>
      </c>
      <c r="D175" s="46" t="str">
        <f t="shared" si="6"/>
        <v/>
      </c>
    </row>
    <row r="176" spans="3:4" ht="15.75" x14ac:dyDescent="0.25">
      <c r="C176" s="46" t="str">
        <f t="shared" si="5"/>
        <v/>
      </c>
      <c r="D176" s="46" t="str">
        <f t="shared" si="6"/>
        <v/>
      </c>
    </row>
    <row r="177" spans="3:4" ht="15.75" x14ac:dyDescent="0.25">
      <c r="C177" s="46" t="str">
        <f t="shared" si="5"/>
        <v/>
      </c>
      <c r="D177" s="46" t="str">
        <f t="shared" si="6"/>
        <v/>
      </c>
    </row>
    <row r="178" spans="3:4" ht="15.75" x14ac:dyDescent="0.25">
      <c r="C178" s="46" t="str">
        <f t="shared" si="5"/>
        <v/>
      </c>
      <c r="D178" s="46" t="str">
        <f t="shared" si="6"/>
        <v/>
      </c>
    </row>
    <row r="179" spans="3:4" ht="15.75" x14ac:dyDescent="0.25">
      <c r="C179" s="46" t="str">
        <f t="shared" si="5"/>
        <v/>
      </c>
      <c r="D179" s="46" t="str">
        <f t="shared" si="6"/>
        <v/>
      </c>
    </row>
    <row r="180" spans="3:4" ht="15.75" x14ac:dyDescent="0.25">
      <c r="C180" s="46" t="str">
        <f t="shared" si="5"/>
        <v/>
      </c>
      <c r="D180" s="46" t="str">
        <f t="shared" si="6"/>
        <v/>
      </c>
    </row>
    <row r="181" spans="3:4" ht="15.75" x14ac:dyDescent="0.25">
      <c r="C181" s="46" t="str">
        <f t="shared" si="5"/>
        <v/>
      </c>
      <c r="D181" s="46" t="str">
        <f t="shared" si="6"/>
        <v/>
      </c>
    </row>
    <row r="182" spans="3:4" ht="15.75" x14ac:dyDescent="0.25">
      <c r="C182" s="46" t="str">
        <f t="shared" si="5"/>
        <v/>
      </c>
      <c r="D182" s="46" t="str">
        <f t="shared" si="6"/>
        <v/>
      </c>
    </row>
    <row r="183" spans="3:4" ht="15.75" x14ac:dyDescent="0.25">
      <c r="C183" s="46" t="str">
        <f t="shared" si="5"/>
        <v/>
      </c>
      <c r="D183" s="46" t="str">
        <f t="shared" si="6"/>
        <v/>
      </c>
    </row>
    <row r="184" spans="3:4" ht="15.75" x14ac:dyDescent="0.25">
      <c r="C184" s="46" t="str">
        <f t="shared" si="5"/>
        <v/>
      </c>
      <c r="D184" s="46" t="str">
        <f t="shared" si="6"/>
        <v/>
      </c>
    </row>
    <row r="185" spans="3:4" ht="15.75" x14ac:dyDescent="0.25">
      <c r="C185" s="46" t="str">
        <f t="shared" si="5"/>
        <v/>
      </c>
      <c r="D185" s="46" t="str">
        <f t="shared" si="6"/>
        <v/>
      </c>
    </row>
    <row r="186" spans="3:4" ht="15.75" x14ac:dyDescent="0.25">
      <c r="C186" s="46" t="str">
        <f t="shared" si="5"/>
        <v/>
      </c>
      <c r="D186" s="46" t="str">
        <f t="shared" si="6"/>
        <v/>
      </c>
    </row>
    <row r="187" spans="3:4" ht="15.75" x14ac:dyDescent="0.25">
      <c r="C187" s="46" t="str">
        <f t="shared" si="5"/>
        <v/>
      </c>
      <c r="D187" s="46" t="str">
        <f t="shared" si="6"/>
        <v/>
      </c>
    </row>
    <row r="188" spans="3:4" ht="15.75" x14ac:dyDescent="0.25">
      <c r="C188" s="46" t="str">
        <f t="shared" si="5"/>
        <v/>
      </c>
      <c r="D188" s="46" t="str">
        <f t="shared" si="6"/>
        <v/>
      </c>
    </row>
    <row r="189" spans="3:4" ht="15.75" x14ac:dyDescent="0.25">
      <c r="C189" s="46" t="str">
        <f t="shared" si="5"/>
        <v/>
      </c>
      <c r="D189" s="46" t="str">
        <f t="shared" si="6"/>
        <v/>
      </c>
    </row>
    <row r="190" spans="3:4" ht="15.75" x14ac:dyDescent="0.25">
      <c r="C190" s="46" t="str">
        <f t="shared" si="5"/>
        <v/>
      </c>
      <c r="D190" s="46" t="str">
        <f t="shared" si="6"/>
        <v/>
      </c>
    </row>
    <row r="191" spans="3:4" ht="15.75" x14ac:dyDescent="0.25">
      <c r="C191" s="46" t="str">
        <f t="shared" si="5"/>
        <v/>
      </c>
      <c r="D191" s="46" t="str">
        <f t="shared" si="6"/>
        <v/>
      </c>
    </row>
    <row r="192" spans="3:4" ht="15.75" x14ac:dyDescent="0.25">
      <c r="C192" s="46" t="str">
        <f t="shared" si="5"/>
        <v/>
      </c>
      <c r="D192" s="46" t="str">
        <f t="shared" si="6"/>
        <v/>
      </c>
    </row>
    <row r="193" spans="3:4" ht="15.75" x14ac:dyDescent="0.25">
      <c r="C193" s="46" t="str">
        <f t="shared" si="5"/>
        <v/>
      </c>
      <c r="D193" s="46" t="str">
        <f t="shared" si="6"/>
        <v/>
      </c>
    </row>
    <row r="194" spans="3:4" ht="15.75" x14ac:dyDescent="0.25">
      <c r="C194" s="46" t="str">
        <f t="shared" si="5"/>
        <v/>
      </c>
      <c r="D194" s="46" t="str">
        <f t="shared" si="6"/>
        <v/>
      </c>
    </row>
    <row r="195" spans="3:4" ht="15.75" x14ac:dyDescent="0.25">
      <c r="C195" s="46" t="str">
        <f t="shared" si="5"/>
        <v/>
      </c>
      <c r="D195" s="46" t="str">
        <f t="shared" si="6"/>
        <v/>
      </c>
    </row>
    <row r="196" spans="3:4" ht="15.75" x14ac:dyDescent="0.25">
      <c r="C196" s="46" t="str">
        <f t="shared" si="5"/>
        <v/>
      </c>
      <c r="D196" s="46" t="str">
        <f t="shared" si="6"/>
        <v/>
      </c>
    </row>
    <row r="197" spans="3:4" ht="15.75" x14ac:dyDescent="0.25">
      <c r="C197" s="46" t="str">
        <f t="shared" si="5"/>
        <v/>
      </c>
      <c r="D197" s="46" t="str">
        <f t="shared" si="6"/>
        <v/>
      </c>
    </row>
    <row r="198" spans="3:4" ht="15.75" x14ac:dyDescent="0.25">
      <c r="C198" s="46" t="str">
        <f t="shared" ref="C198:C261" si="7">IF(COUNTIF(E198:BA198,"YES")=0,"",COUNTIF(E198:BA198,"YES"))</f>
        <v/>
      </c>
      <c r="D198" s="46" t="str">
        <f t="shared" ref="D198:D261" si="8">IF(COUNTIF(E198:BA198,"NO")=0,"",COUNTIF(E198:BA198,"NO"))</f>
        <v/>
      </c>
    </row>
    <row r="199" spans="3:4" ht="15.75" x14ac:dyDescent="0.25">
      <c r="C199" s="46" t="str">
        <f t="shared" si="7"/>
        <v/>
      </c>
      <c r="D199" s="46" t="str">
        <f t="shared" si="8"/>
        <v/>
      </c>
    </row>
    <row r="200" spans="3:4" ht="15.75" x14ac:dyDescent="0.25">
      <c r="C200" s="46" t="str">
        <f t="shared" si="7"/>
        <v/>
      </c>
      <c r="D200" s="46" t="str">
        <f t="shared" si="8"/>
        <v/>
      </c>
    </row>
    <row r="201" spans="3:4" ht="15.75" x14ac:dyDescent="0.25">
      <c r="C201" s="46" t="str">
        <f t="shared" si="7"/>
        <v/>
      </c>
      <c r="D201" s="46" t="str">
        <f t="shared" si="8"/>
        <v/>
      </c>
    </row>
    <row r="202" spans="3:4" ht="15.75" x14ac:dyDescent="0.25">
      <c r="C202" s="46" t="str">
        <f t="shared" si="7"/>
        <v/>
      </c>
      <c r="D202" s="46" t="str">
        <f t="shared" si="8"/>
        <v/>
      </c>
    </row>
    <row r="203" spans="3:4" ht="15.75" x14ac:dyDescent="0.25">
      <c r="C203" s="46" t="str">
        <f t="shared" si="7"/>
        <v/>
      </c>
      <c r="D203" s="46" t="str">
        <f t="shared" si="8"/>
        <v/>
      </c>
    </row>
    <row r="204" spans="3:4" ht="15.75" x14ac:dyDescent="0.25">
      <c r="C204" s="46" t="str">
        <f t="shared" si="7"/>
        <v/>
      </c>
      <c r="D204" s="46" t="str">
        <f t="shared" si="8"/>
        <v/>
      </c>
    </row>
    <row r="205" spans="3:4" ht="15.75" x14ac:dyDescent="0.25">
      <c r="C205" s="46" t="str">
        <f t="shared" si="7"/>
        <v/>
      </c>
      <c r="D205" s="46" t="str">
        <f t="shared" si="8"/>
        <v/>
      </c>
    </row>
    <row r="206" spans="3:4" ht="15.75" x14ac:dyDescent="0.25">
      <c r="C206" s="46" t="str">
        <f t="shared" si="7"/>
        <v/>
      </c>
      <c r="D206" s="46" t="str">
        <f t="shared" si="8"/>
        <v/>
      </c>
    </row>
    <row r="207" spans="3:4" ht="15.75" x14ac:dyDescent="0.25">
      <c r="C207" s="46" t="str">
        <f t="shared" si="7"/>
        <v/>
      </c>
      <c r="D207" s="46" t="str">
        <f t="shared" si="8"/>
        <v/>
      </c>
    </row>
    <row r="208" spans="3:4" ht="15.75" x14ac:dyDescent="0.25">
      <c r="C208" s="46" t="str">
        <f t="shared" si="7"/>
        <v/>
      </c>
      <c r="D208" s="46" t="str">
        <f t="shared" si="8"/>
        <v/>
      </c>
    </row>
    <row r="209" spans="3:4" ht="15.75" x14ac:dyDescent="0.25">
      <c r="C209" s="46" t="str">
        <f t="shared" si="7"/>
        <v/>
      </c>
      <c r="D209" s="46" t="str">
        <f t="shared" si="8"/>
        <v/>
      </c>
    </row>
    <row r="210" spans="3:4" ht="15.75" x14ac:dyDescent="0.25">
      <c r="C210" s="46" t="str">
        <f t="shared" si="7"/>
        <v/>
      </c>
      <c r="D210" s="46" t="str">
        <f t="shared" si="8"/>
        <v/>
      </c>
    </row>
    <row r="211" spans="3:4" ht="15.75" x14ac:dyDescent="0.25">
      <c r="C211" s="46" t="str">
        <f t="shared" si="7"/>
        <v/>
      </c>
      <c r="D211" s="46" t="str">
        <f t="shared" si="8"/>
        <v/>
      </c>
    </row>
    <row r="212" spans="3:4" ht="15.75" x14ac:dyDescent="0.25">
      <c r="C212" s="46" t="str">
        <f t="shared" si="7"/>
        <v/>
      </c>
      <c r="D212" s="46" t="str">
        <f t="shared" si="8"/>
        <v/>
      </c>
    </row>
    <row r="213" spans="3:4" ht="15.75" x14ac:dyDescent="0.25">
      <c r="C213" s="46" t="str">
        <f t="shared" si="7"/>
        <v/>
      </c>
      <c r="D213" s="46" t="str">
        <f t="shared" si="8"/>
        <v/>
      </c>
    </row>
    <row r="214" spans="3:4" ht="15.75" x14ac:dyDescent="0.25">
      <c r="C214" s="46" t="str">
        <f t="shared" si="7"/>
        <v/>
      </c>
      <c r="D214" s="46" t="str">
        <f t="shared" si="8"/>
        <v/>
      </c>
    </row>
    <row r="215" spans="3:4" ht="15.75" x14ac:dyDescent="0.25">
      <c r="C215" s="46" t="str">
        <f t="shared" si="7"/>
        <v/>
      </c>
      <c r="D215" s="46" t="str">
        <f t="shared" si="8"/>
        <v/>
      </c>
    </row>
    <row r="216" spans="3:4" ht="15.75" x14ac:dyDescent="0.25">
      <c r="C216" s="46" t="str">
        <f t="shared" si="7"/>
        <v/>
      </c>
      <c r="D216" s="46" t="str">
        <f t="shared" si="8"/>
        <v/>
      </c>
    </row>
    <row r="217" spans="3:4" ht="15.75" x14ac:dyDescent="0.25">
      <c r="C217" s="46" t="str">
        <f t="shared" si="7"/>
        <v/>
      </c>
      <c r="D217" s="46" t="str">
        <f t="shared" si="8"/>
        <v/>
      </c>
    </row>
    <row r="218" spans="3:4" ht="15.75" x14ac:dyDescent="0.25">
      <c r="C218" s="46" t="str">
        <f t="shared" si="7"/>
        <v/>
      </c>
      <c r="D218" s="46" t="str">
        <f t="shared" si="8"/>
        <v/>
      </c>
    </row>
    <row r="219" spans="3:4" ht="15.75" x14ac:dyDescent="0.25">
      <c r="C219" s="46" t="str">
        <f t="shared" si="7"/>
        <v/>
      </c>
      <c r="D219" s="46" t="str">
        <f t="shared" si="8"/>
        <v/>
      </c>
    </row>
    <row r="220" spans="3:4" ht="15.75" x14ac:dyDescent="0.25">
      <c r="C220" s="46" t="str">
        <f t="shared" si="7"/>
        <v/>
      </c>
      <c r="D220" s="46" t="str">
        <f t="shared" si="8"/>
        <v/>
      </c>
    </row>
    <row r="221" spans="3:4" ht="15.75" x14ac:dyDescent="0.25">
      <c r="C221" s="46" t="str">
        <f t="shared" si="7"/>
        <v/>
      </c>
      <c r="D221" s="46" t="str">
        <f t="shared" si="8"/>
        <v/>
      </c>
    </row>
    <row r="222" spans="3:4" ht="15.75" x14ac:dyDescent="0.25">
      <c r="C222" s="46" t="str">
        <f t="shared" si="7"/>
        <v/>
      </c>
      <c r="D222" s="46" t="str">
        <f t="shared" si="8"/>
        <v/>
      </c>
    </row>
    <row r="223" spans="3:4" ht="15.75" x14ac:dyDescent="0.25">
      <c r="C223" s="46" t="str">
        <f t="shared" si="7"/>
        <v/>
      </c>
      <c r="D223" s="46" t="str">
        <f t="shared" si="8"/>
        <v/>
      </c>
    </row>
    <row r="224" spans="3:4" ht="15.75" x14ac:dyDescent="0.25">
      <c r="C224" s="46" t="str">
        <f t="shared" si="7"/>
        <v/>
      </c>
      <c r="D224" s="46" t="str">
        <f t="shared" si="8"/>
        <v/>
      </c>
    </row>
    <row r="225" spans="3:4" ht="15.75" x14ac:dyDescent="0.25">
      <c r="C225" s="46" t="str">
        <f t="shared" si="7"/>
        <v/>
      </c>
      <c r="D225" s="46" t="str">
        <f t="shared" si="8"/>
        <v/>
      </c>
    </row>
    <row r="226" spans="3:4" ht="15.75" x14ac:dyDescent="0.25">
      <c r="C226" s="46" t="str">
        <f t="shared" si="7"/>
        <v/>
      </c>
      <c r="D226" s="46" t="str">
        <f t="shared" si="8"/>
        <v/>
      </c>
    </row>
    <row r="227" spans="3:4" ht="15.75" x14ac:dyDescent="0.25">
      <c r="C227" s="46" t="str">
        <f t="shared" si="7"/>
        <v/>
      </c>
      <c r="D227" s="46" t="str">
        <f t="shared" si="8"/>
        <v/>
      </c>
    </row>
    <row r="228" spans="3:4" ht="15.75" x14ac:dyDescent="0.25">
      <c r="C228" s="46" t="str">
        <f t="shared" si="7"/>
        <v/>
      </c>
      <c r="D228" s="46" t="str">
        <f t="shared" si="8"/>
        <v/>
      </c>
    </row>
    <row r="229" spans="3:4" ht="15.75" x14ac:dyDescent="0.25">
      <c r="C229" s="46" t="str">
        <f t="shared" si="7"/>
        <v/>
      </c>
      <c r="D229" s="46" t="str">
        <f t="shared" si="8"/>
        <v/>
      </c>
    </row>
    <row r="230" spans="3:4" ht="15.75" x14ac:dyDescent="0.25">
      <c r="C230" s="46" t="str">
        <f t="shared" si="7"/>
        <v/>
      </c>
      <c r="D230" s="46" t="str">
        <f t="shared" si="8"/>
        <v/>
      </c>
    </row>
    <row r="231" spans="3:4" ht="15.75" x14ac:dyDescent="0.25">
      <c r="C231" s="46" t="str">
        <f t="shared" si="7"/>
        <v/>
      </c>
      <c r="D231" s="46" t="str">
        <f t="shared" si="8"/>
        <v/>
      </c>
    </row>
    <row r="232" spans="3:4" ht="15.75" x14ac:dyDescent="0.25">
      <c r="C232" s="46" t="str">
        <f t="shared" si="7"/>
        <v/>
      </c>
      <c r="D232" s="46" t="str">
        <f t="shared" si="8"/>
        <v/>
      </c>
    </row>
    <row r="233" spans="3:4" ht="15.75" x14ac:dyDescent="0.25">
      <c r="C233" s="46" t="str">
        <f t="shared" si="7"/>
        <v/>
      </c>
      <c r="D233" s="46" t="str">
        <f t="shared" si="8"/>
        <v/>
      </c>
    </row>
    <row r="234" spans="3:4" ht="15.75" x14ac:dyDescent="0.25">
      <c r="C234" s="46" t="str">
        <f t="shared" si="7"/>
        <v/>
      </c>
      <c r="D234" s="46" t="str">
        <f t="shared" si="8"/>
        <v/>
      </c>
    </row>
    <row r="235" spans="3:4" ht="15.75" x14ac:dyDescent="0.25">
      <c r="C235" s="46" t="str">
        <f t="shared" si="7"/>
        <v/>
      </c>
      <c r="D235" s="46" t="str">
        <f t="shared" si="8"/>
        <v/>
      </c>
    </row>
    <row r="236" spans="3:4" ht="15.75" x14ac:dyDescent="0.25">
      <c r="C236" s="46" t="str">
        <f t="shared" si="7"/>
        <v/>
      </c>
      <c r="D236" s="46" t="str">
        <f t="shared" si="8"/>
        <v/>
      </c>
    </row>
    <row r="237" spans="3:4" ht="15.75" x14ac:dyDescent="0.25">
      <c r="C237" s="46" t="str">
        <f t="shared" si="7"/>
        <v/>
      </c>
      <c r="D237" s="46" t="str">
        <f t="shared" si="8"/>
        <v/>
      </c>
    </row>
    <row r="238" spans="3:4" ht="15.75" x14ac:dyDescent="0.25">
      <c r="C238" s="46" t="str">
        <f t="shared" si="7"/>
        <v/>
      </c>
      <c r="D238" s="46" t="str">
        <f t="shared" si="8"/>
        <v/>
      </c>
    </row>
    <row r="239" spans="3:4" ht="15.75" x14ac:dyDescent="0.25">
      <c r="C239" s="46" t="str">
        <f t="shared" si="7"/>
        <v/>
      </c>
      <c r="D239" s="46" t="str">
        <f t="shared" si="8"/>
        <v/>
      </c>
    </row>
    <row r="240" spans="3:4" ht="15.75" x14ac:dyDescent="0.25">
      <c r="C240" s="46" t="str">
        <f t="shared" si="7"/>
        <v/>
      </c>
      <c r="D240" s="46" t="str">
        <f t="shared" si="8"/>
        <v/>
      </c>
    </row>
    <row r="241" spans="3:4" ht="15.75" x14ac:dyDescent="0.25">
      <c r="C241" s="46" t="str">
        <f t="shared" si="7"/>
        <v/>
      </c>
      <c r="D241" s="46" t="str">
        <f t="shared" si="8"/>
        <v/>
      </c>
    </row>
    <row r="242" spans="3:4" ht="15.75" x14ac:dyDescent="0.25">
      <c r="C242" s="46" t="str">
        <f t="shared" si="7"/>
        <v/>
      </c>
      <c r="D242" s="46" t="str">
        <f t="shared" si="8"/>
        <v/>
      </c>
    </row>
    <row r="243" spans="3:4" ht="15.75" x14ac:dyDescent="0.25">
      <c r="C243" s="46" t="str">
        <f t="shared" si="7"/>
        <v/>
      </c>
      <c r="D243" s="46" t="str">
        <f t="shared" si="8"/>
        <v/>
      </c>
    </row>
    <row r="244" spans="3:4" ht="15.75" x14ac:dyDescent="0.25">
      <c r="C244" s="46" t="str">
        <f t="shared" si="7"/>
        <v/>
      </c>
      <c r="D244" s="46" t="str">
        <f t="shared" si="8"/>
        <v/>
      </c>
    </row>
    <row r="245" spans="3:4" ht="15.75" x14ac:dyDescent="0.25">
      <c r="C245" s="46" t="str">
        <f t="shared" si="7"/>
        <v/>
      </c>
      <c r="D245" s="46" t="str">
        <f t="shared" si="8"/>
        <v/>
      </c>
    </row>
    <row r="246" spans="3:4" ht="15.75" x14ac:dyDescent="0.25">
      <c r="C246" s="46" t="str">
        <f t="shared" si="7"/>
        <v/>
      </c>
      <c r="D246" s="46" t="str">
        <f t="shared" si="8"/>
        <v/>
      </c>
    </row>
    <row r="247" spans="3:4" ht="15.75" x14ac:dyDescent="0.25">
      <c r="C247" s="46" t="str">
        <f t="shared" si="7"/>
        <v/>
      </c>
      <c r="D247" s="46" t="str">
        <f t="shared" si="8"/>
        <v/>
      </c>
    </row>
    <row r="248" spans="3:4" ht="15.75" x14ac:dyDescent="0.25">
      <c r="C248" s="46" t="str">
        <f t="shared" si="7"/>
        <v/>
      </c>
      <c r="D248" s="46" t="str">
        <f t="shared" si="8"/>
        <v/>
      </c>
    </row>
    <row r="249" spans="3:4" ht="15.75" x14ac:dyDescent="0.25">
      <c r="C249" s="46" t="str">
        <f t="shared" si="7"/>
        <v/>
      </c>
      <c r="D249" s="46" t="str">
        <f t="shared" si="8"/>
        <v/>
      </c>
    </row>
    <row r="250" spans="3:4" ht="15.75" x14ac:dyDescent="0.25">
      <c r="C250" s="46" t="str">
        <f t="shared" si="7"/>
        <v/>
      </c>
      <c r="D250" s="46" t="str">
        <f t="shared" si="8"/>
        <v/>
      </c>
    </row>
    <row r="251" spans="3:4" ht="15.75" x14ac:dyDescent="0.25">
      <c r="C251" s="46" t="str">
        <f t="shared" si="7"/>
        <v/>
      </c>
      <c r="D251" s="46" t="str">
        <f t="shared" si="8"/>
        <v/>
      </c>
    </row>
    <row r="252" spans="3:4" ht="15.75" x14ac:dyDescent="0.25">
      <c r="C252" s="46" t="str">
        <f t="shared" si="7"/>
        <v/>
      </c>
      <c r="D252" s="46" t="str">
        <f t="shared" si="8"/>
        <v/>
      </c>
    </row>
    <row r="253" spans="3:4" ht="15.75" x14ac:dyDescent="0.25">
      <c r="C253" s="46" t="str">
        <f t="shared" si="7"/>
        <v/>
      </c>
      <c r="D253" s="46" t="str">
        <f t="shared" si="8"/>
        <v/>
      </c>
    </row>
    <row r="254" spans="3:4" ht="15.75" x14ac:dyDescent="0.25">
      <c r="C254" s="46" t="str">
        <f t="shared" si="7"/>
        <v/>
      </c>
      <c r="D254" s="46" t="str">
        <f t="shared" si="8"/>
        <v/>
      </c>
    </row>
    <row r="255" spans="3:4" ht="15.75" x14ac:dyDescent="0.25">
      <c r="C255" s="46" t="str">
        <f t="shared" si="7"/>
        <v/>
      </c>
      <c r="D255" s="46" t="str">
        <f t="shared" si="8"/>
        <v/>
      </c>
    </row>
    <row r="256" spans="3:4" ht="15.75" x14ac:dyDescent="0.25">
      <c r="C256" s="46" t="str">
        <f t="shared" si="7"/>
        <v/>
      </c>
      <c r="D256" s="46" t="str">
        <f t="shared" si="8"/>
        <v/>
      </c>
    </row>
    <row r="257" spans="3:4" ht="15.75" x14ac:dyDescent="0.25">
      <c r="C257" s="46" t="str">
        <f t="shared" si="7"/>
        <v/>
      </c>
      <c r="D257" s="46" t="str">
        <f t="shared" si="8"/>
        <v/>
      </c>
    </row>
    <row r="258" spans="3:4" ht="15.75" x14ac:dyDescent="0.25">
      <c r="C258" s="46" t="str">
        <f t="shared" si="7"/>
        <v/>
      </c>
      <c r="D258" s="46" t="str">
        <f t="shared" si="8"/>
        <v/>
      </c>
    </row>
    <row r="259" spans="3:4" ht="15.75" x14ac:dyDescent="0.25">
      <c r="C259" s="46" t="str">
        <f t="shared" si="7"/>
        <v/>
      </c>
      <c r="D259" s="46" t="str">
        <f t="shared" si="8"/>
        <v/>
      </c>
    </row>
    <row r="260" spans="3:4" ht="15.75" x14ac:dyDescent="0.25">
      <c r="C260" s="46" t="str">
        <f t="shared" si="7"/>
        <v/>
      </c>
      <c r="D260" s="46" t="str">
        <f t="shared" si="8"/>
        <v/>
      </c>
    </row>
    <row r="261" spans="3:4" ht="15.75" x14ac:dyDescent="0.25">
      <c r="C261" s="46" t="str">
        <f t="shared" si="7"/>
        <v/>
      </c>
      <c r="D261" s="46" t="str">
        <f t="shared" si="8"/>
        <v/>
      </c>
    </row>
    <row r="262" spans="3:4" ht="15.75" x14ac:dyDescent="0.25">
      <c r="C262" s="46" t="str">
        <f t="shared" ref="C262:C329" si="9">IF(COUNTIF(E262:BA262,"YES")=0,"",COUNTIF(E262:BA262,"YES"))</f>
        <v/>
      </c>
      <c r="D262" s="46" t="str">
        <f t="shared" ref="D262:D325" si="10">IF(COUNTIF(E262:BA262,"NO")=0,"",COUNTIF(E262:BA262,"NO"))</f>
        <v/>
      </c>
    </row>
    <row r="263" spans="3:4" ht="15.75" x14ac:dyDescent="0.25">
      <c r="C263" s="46" t="str">
        <f t="shared" si="9"/>
        <v/>
      </c>
      <c r="D263" s="46" t="str">
        <f t="shared" si="10"/>
        <v/>
      </c>
    </row>
    <row r="264" spans="3:4" ht="15.75" x14ac:dyDescent="0.25">
      <c r="C264" s="46" t="str">
        <f t="shared" si="9"/>
        <v/>
      </c>
      <c r="D264" s="46" t="str">
        <f t="shared" si="10"/>
        <v/>
      </c>
    </row>
    <row r="265" spans="3:4" ht="15.75" x14ac:dyDescent="0.25">
      <c r="C265" s="46" t="str">
        <f t="shared" si="9"/>
        <v/>
      </c>
      <c r="D265" s="46" t="str">
        <f t="shared" si="10"/>
        <v/>
      </c>
    </row>
    <row r="266" spans="3:4" ht="15.75" x14ac:dyDescent="0.25">
      <c r="C266" s="46" t="str">
        <f t="shared" si="9"/>
        <v/>
      </c>
      <c r="D266" s="46" t="str">
        <f t="shared" si="10"/>
        <v/>
      </c>
    </row>
    <row r="267" spans="3:4" ht="15.75" x14ac:dyDescent="0.25">
      <c r="C267" s="46" t="str">
        <f t="shared" si="9"/>
        <v/>
      </c>
      <c r="D267" s="46" t="str">
        <f t="shared" si="10"/>
        <v/>
      </c>
    </row>
    <row r="268" spans="3:4" ht="15.75" x14ac:dyDescent="0.25">
      <c r="C268" s="46" t="str">
        <f t="shared" si="9"/>
        <v/>
      </c>
      <c r="D268" s="46" t="str">
        <f t="shared" si="10"/>
        <v/>
      </c>
    </row>
    <row r="269" spans="3:4" ht="15.75" x14ac:dyDescent="0.25">
      <c r="C269" s="46" t="str">
        <f t="shared" si="9"/>
        <v/>
      </c>
      <c r="D269" s="46" t="str">
        <f t="shared" si="10"/>
        <v/>
      </c>
    </row>
    <row r="270" spans="3:4" ht="15.75" x14ac:dyDescent="0.25">
      <c r="C270" s="46" t="str">
        <f t="shared" si="9"/>
        <v/>
      </c>
      <c r="D270" s="46" t="str">
        <f t="shared" si="10"/>
        <v/>
      </c>
    </row>
    <row r="271" spans="3:4" ht="15.75" x14ac:dyDescent="0.25">
      <c r="C271" s="46" t="str">
        <f t="shared" si="9"/>
        <v/>
      </c>
      <c r="D271" s="46" t="str">
        <f t="shared" si="10"/>
        <v/>
      </c>
    </row>
    <row r="272" spans="3:4" ht="15.75" x14ac:dyDescent="0.25">
      <c r="C272" s="46" t="str">
        <f t="shared" si="9"/>
        <v/>
      </c>
      <c r="D272" s="46" t="str">
        <f t="shared" si="10"/>
        <v/>
      </c>
    </row>
    <row r="273" spans="3:4" ht="15.75" x14ac:dyDescent="0.25">
      <c r="C273" s="46" t="str">
        <f t="shared" si="9"/>
        <v/>
      </c>
      <c r="D273" s="46" t="str">
        <f t="shared" si="10"/>
        <v/>
      </c>
    </row>
    <row r="274" spans="3:4" ht="15.75" x14ac:dyDescent="0.25">
      <c r="C274" s="46" t="str">
        <f t="shared" si="9"/>
        <v/>
      </c>
      <c r="D274" s="46" t="str">
        <f t="shared" si="10"/>
        <v/>
      </c>
    </row>
    <row r="275" spans="3:4" ht="15.75" x14ac:dyDescent="0.25">
      <c r="C275" s="46" t="str">
        <f t="shared" si="9"/>
        <v/>
      </c>
      <c r="D275" s="46" t="str">
        <f t="shared" si="10"/>
        <v/>
      </c>
    </row>
    <row r="276" spans="3:4" ht="15.75" x14ac:dyDescent="0.25">
      <c r="C276" s="46" t="str">
        <f t="shared" si="9"/>
        <v/>
      </c>
      <c r="D276" s="46" t="str">
        <f t="shared" si="10"/>
        <v/>
      </c>
    </row>
    <row r="277" spans="3:4" ht="15.75" x14ac:dyDescent="0.25">
      <c r="C277" s="46" t="str">
        <f t="shared" si="9"/>
        <v/>
      </c>
      <c r="D277" s="46" t="str">
        <f t="shared" si="10"/>
        <v/>
      </c>
    </row>
    <row r="278" spans="3:4" ht="15.75" x14ac:dyDescent="0.25">
      <c r="C278" s="46" t="str">
        <f t="shared" si="9"/>
        <v/>
      </c>
      <c r="D278" s="46" t="str">
        <f t="shared" si="10"/>
        <v/>
      </c>
    </row>
    <row r="279" spans="3:4" ht="15.75" x14ac:dyDescent="0.25">
      <c r="C279" s="46" t="str">
        <f t="shared" si="9"/>
        <v/>
      </c>
      <c r="D279" s="46" t="str">
        <f t="shared" si="10"/>
        <v/>
      </c>
    </row>
    <row r="280" spans="3:4" ht="15.75" x14ac:dyDescent="0.25">
      <c r="C280" s="46" t="str">
        <f t="shared" si="9"/>
        <v/>
      </c>
      <c r="D280" s="46" t="str">
        <f t="shared" si="10"/>
        <v/>
      </c>
    </row>
    <row r="281" spans="3:4" ht="15.75" x14ac:dyDescent="0.25">
      <c r="C281" s="46" t="str">
        <f t="shared" si="9"/>
        <v/>
      </c>
      <c r="D281" s="46" t="str">
        <f t="shared" si="10"/>
        <v/>
      </c>
    </row>
    <row r="282" spans="3:4" ht="15.75" x14ac:dyDescent="0.25">
      <c r="C282" s="46" t="str">
        <f t="shared" si="9"/>
        <v/>
      </c>
      <c r="D282" s="46" t="str">
        <f t="shared" si="10"/>
        <v/>
      </c>
    </row>
    <row r="283" spans="3:4" ht="15.75" x14ac:dyDescent="0.25">
      <c r="C283" s="46" t="str">
        <f t="shared" si="9"/>
        <v/>
      </c>
      <c r="D283" s="46" t="str">
        <f t="shared" si="10"/>
        <v/>
      </c>
    </row>
    <row r="284" spans="3:4" ht="15.75" x14ac:dyDescent="0.25">
      <c r="C284" s="46" t="str">
        <f t="shared" si="9"/>
        <v/>
      </c>
      <c r="D284" s="46" t="str">
        <f t="shared" si="10"/>
        <v/>
      </c>
    </row>
    <row r="285" spans="3:4" ht="15.75" x14ac:dyDescent="0.25">
      <c r="C285" s="46" t="str">
        <f t="shared" si="9"/>
        <v/>
      </c>
      <c r="D285" s="46" t="str">
        <f t="shared" si="10"/>
        <v/>
      </c>
    </row>
    <row r="286" spans="3:4" ht="15.75" x14ac:dyDescent="0.25">
      <c r="C286" s="46" t="str">
        <f t="shared" si="9"/>
        <v/>
      </c>
      <c r="D286" s="46" t="str">
        <f t="shared" si="10"/>
        <v/>
      </c>
    </row>
    <row r="287" spans="3:4" ht="15.75" x14ac:dyDescent="0.25">
      <c r="C287" s="46" t="str">
        <f t="shared" si="9"/>
        <v/>
      </c>
      <c r="D287" s="46" t="str">
        <f t="shared" si="10"/>
        <v/>
      </c>
    </row>
    <row r="288" spans="3:4" ht="15.75" x14ac:dyDescent="0.25">
      <c r="C288" s="46" t="str">
        <f t="shared" si="9"/>
        <v/>
      </c>
      <c r="D288" s="46" t="str">
        <f t="shared" si="10"/>
        <v/>
      </c>
    </row>
    <row r="289" spans="3:4" ht="15.75" x14ac:dyDescent="0.25">
      <c r="C289" s="46" t="str">
        <f t="shared" si="9"/>
        <v/>
      </c>
      <c r="D289" s="46" t="str">
        <f t="shared" si="10"/>
        <v/>
      </c>
    </row>
    <row r="290" spans="3:4" ht="15.75" x14ac:dyDescent="0.25">
      <c r="C290" s="46" t="str">
        <f t="shared" si="9"/>
        <v/>
      </c>
      <c r="D290" s="46" t="str">
        <f t="shared" si="10"/>
        <v/>
      </c>
    </row>
    <row r="291" spans="3:4" ht="15.75" x14ac:dyDescent="0.25">
      <c r="C291" s="46" t="str">
        <f t="shared" si="9"/>
        <v/>
      </c>
      <c r="D291" s="46" t="str">
        <f t="shared" si="10"/>
        <v/>
      </c>
    </row>
    <row r="292" spans="3:4" ht="15.75" x14ac:dyDescent="0.25">
      <c r="C292" s="46" t="str">
        <f t="shared" si="9"/>
        <v/>
      </c>
      <c r="D292" s="46" t="str">
        <f t="shared" si="10"/>
        <v/>
      </c>
    </row>
    <row r="293" spans="3:4" ht="15.75" x14ac:dyDescent="0.25">
      <c r="C293" s="46" t="str">
        <f t="shared" si="9"/>
        <v/>
      </c>
      <c r="D293" s="46" t="str">
        <f t="shared" si="10"/>
        <v/>
      </c>
    </row>
    <row r="294" spans="3:4" ht="15.75" x14ac:dyDescent="0.25">
      <c r="C294" s="46" t="str">
        <f t="shared" si="9"/>
        <v/>
      </c>
      <c r="D294" s="46" t="str">
        <f t="shared" si="10"/>
        <v/>
      </c>
    </row>
    <row r="295" spans="3:4" ht="15.75" x14ac:dyDescent="0.25">
      <c r="C295" s="46" t="str">
        <f t="shared" si="9"/>
        <v/>
      </c>
      <c r="D295" s="46" t="str">
        <f t="shared" si="10"/>
        <v/>
      </c>
    </row>
    <row r="296" spans="3:4" ht="15.75" x14ac:dyDescent="0.25">
      <c r="C296" s="46" t="str">
        <f t="shared" si="9"/>
        <v/>
      </c>
      <c r="D296" s="46" t="str">
        <f t="shared" si="10"/>
        <v/>
      </c>
    </row>
    <row r="297" spans="3:4" ht="15.75" x14ac:dyDescent="0.25">
      <c r="C297" s="46" t="str">
        <f t="shared" si="9"/>
        <v/>
      </c>
      <c r="D297" s="46" t="str">
        <f t="shared" si="10"/>
        <v/>
      </c>
    </row>
    <row r="298" spans="3:4" ht="15.75" x14ac:dyDescent="0.25">
      <c r="C298" s="46" t="str">
        <f t="shared" si="9"/>
        <v/>
      </c>
      <c r="D298" s="46" t="str">
        <f t="shared" si="10"/>
        <v/>
      </c>
    </row>
    <row r="299" spans="3:4" ht="15.75" x14ac:dyDescent="0.25">
      <c r="C299" s="46" t="str">
        <f t="shared" si="9"/>
        <v/>
      </c>
      <c r="D299" s="46" t="str">
        <f t="shared" si="10"/>
        <v/>
      </c>
    </row>
    <row r="300" spans="3:4" ht="15.75" x14ac:dyDescent="0.25">
      <c r="C300" s="46" t="str">
        <f t="shared" si="9"/>
        <v/>
      </c>
      <c r="D300" s="46" t="str">
        <f t="shared" si="10"/>
        <v/>
      </c>
    </row>
    <row r="301" spans="3:4" ht="15.75" x14ac:dyDescent="0.25">
      <c r="C301" s="46" t="str">
        <f t="shared" si="9"/>
        <v/>
      </c>
      <c r="D301" s="46" t="str">
        <f t="shared" si="10"/>
        <v/>
      </c>
    </row>
    <row r="302" spans="3:4" ht="15.75" x14ac:dyDescent="0.25">
      <c r="C302" s="46" t="str">
        <f t="shared" si="9"/>
        <v/>
      </c>
      <c r="D302" s="46" t="str">
        <f t="shared" si="10"/>
        <v/>
      </c>
    </row>
    <row r="303" spans="3:4" ht="15.75" x14ac:dyDescent="0.25">
      <c r="C303" s="46" t="str">
        <f t="shared" si="9"/>
        <v/>
      </c>
      <c r="D303" s="46" t="str">
        <f t="shared" si="10"/>
        <v/>
      </c>
    </row>
    <row r="304" spans="3:4" ht="15.75" x14ac:dyDescent="0.25">
      <c r="C304" s="46" t="str">
        <f t="shared" si="9"/>
        <v/>
      </c>
      <c r="D304" s="46" t="str">
        <f t="shared" si="10"/>
        <v/>
      </c>
    </row>
    <row r="305" spans="3:4" ht="15.75" x14ac:dyDescent="0.25">
      <c r="C305" s="46" t="str">
        <f t="shared" si="9"/>
        <v/>
      </c>
      <c r="D305" s="46" t="str">
        <f t="shared" si="10"/>
        <v/>
      </c>
    </row>
    <row r="306" spans="3:4" ht="15.75" x14ac:dyDescent="0.25">
      <c r="C306" s="46" t="str">
        <f t="shared" si="9"/>
        <v/>
      </c>
      <c r="D306" s="46" t="str">
        <f t="shared" si="10"/>
        <v/>
      </c>
    </row>
    <row r="307" spans="3:4" ht="15.75" x14ac:dyDescent="0.25">
      <c r="C307" s="46" t="str">
        <f t="shared" si="9"/>
        <v/>
      </c>
      <c r="D307" s="46" t="str">
        <f t="shared" si="10"/>
        <v/>
      </c>
    </row>
    <row r="308" spans="3:4" ht="15.75" x14ac:dyDescent="0.25">
      <c r="C308" s="46" t="str">
        <f t="shared" si="9"/>
        <v/>
      </c>
      <c r="D308" s="46" t="str">
        <f t="shared" si="10"/>
        <v/>
      </c>
    </row>
    <row r="309" spans="3:4" ht="15.75" x14ac:dyDescent="0.25">
      <c r="C309" s="46" t="str">
        <f t="shared" si="9"/>
        <v/>
      </c>
      <c r="D309" s="46" t="str">
        <f t="shared" si="10"/>
        <v/>
      </c>
    </row>
    <row r="310" spans="3:4" ht="15.75" x14ac:dyDescent="0.25">
      <c r="C310" s="46" t="str">
        <f t="shared" si="9"/>
        <v/>
      </c>
      <c r="D310" s="46" t="str">
        <f t="shared" si="10"/>
        <v/>
      </c>
    </row>
    <row r="311" spans="3:4" ht="15.75" x14ac:dyDescent="0.25">
      <c r="C311" s="46" t="str">
        <f t="shared" si="9"/>
        <v/>
      </c>
      <c r="D311" s="46" t="str">
        <f t="shared" si="10"/>
        <v/>
      </c>
    </row>
    <row r="312" spans="3:4" ht="15.75" x14ac:dyDescent="0.25">
      <c r="C312" s="46" t="str">
        <f t="shared" si="9"/>
        <v/>
      </c>
      <c r="D312" s="46" t="str">
        <f t="shared" si="10"/>
        <v/>
      </c>
    </row>
    <row r="313" spans="3:4" ht="15.75" x14ac:dyDescent="0.25">
      <c r="C313" s="46" t="str">
        <f t="shared" si="9"/>
        <v/>
      </c>
      <c r="D313" s="46" t="str">
        <f t="shared" si="10"/>
        <v/>
      </c>
    </row>
    <row r="314" spans="3:4" ht="15.75" x14ac:dyDescent="0.25">
      <c r="C314" s="46" t="str">
        <f t="shared" si="9"/>
        <v/>
      </c>
      <c r="D314" s="46" t="str">
        <f t="shared" si="10"/>
        <v/>
      </c>
    </row>
    <row r="315" spans="3:4" ht="15.75" x14ac:dyDescent="0.25">
      <c r="C315" s="46" t="str">
        <f t="shared" si="9"/>
        <v/>
      </c>
      <c r="D315" s="46" t="str">
        <f t="shared" si="10"/>
        <v/>
      </c>
    </row>
    <row r="316" spans="3:4" ht="15.75" x14ac:dyDescent="0.25">
      <c r="C316" s="46" t="str">
        <f t="shared" si="9"/>
        <v/>
      </c>
      <c r="D316" s="46" t="str">
        <f t="shared" si="10"/>
        <v/>
      </c>
    </row>
    <row r="317" spans="3:4" ht="15.75" x14ac:dyDescent="0.25">
      <c r="C317" s="46" t="str">
        <f t="shared" si="9"/>
        <v/>
      </c>
      <c r="D317" s="46" t="str">
        <f t="shared" si="10"/>
        <v/>
      </c>
    </row>
    <row r="318" spans="3:4" ht="15.75" x14ac:dyDescent="0.25">
      <c r="C318" s="46" t="str">
        <f t="shared" si="9"/>
        <v/>
      </c>
      <c r="D318" s="46" t="str">
        <f t="shared" si="10"/>
        <v/>
      </c>
    </row>
    <row r="319" spans="3:4" ht="15.75" x14ac:dyDescent="0.25">
      <c r="C319" s="46" t="str">
        <f t="shared" si="9"/>
        <v/>
      </c>
      <c r="D319" s="46" t="str">
        <f t="shared" si="10"/>
        <v/>
      </c>
    </row>
    <row r="320" spans="3:4" ht="15.75" x14ac:dyDescent="0.25">
      <c r="C320" s="46" t="str">
        <f t="shared" si="9"/>
        <v/>
      </c>
      <c r="D320" s="46" t="str">
        <f t="shared" si="10"/>
        <v/>
      </c>
    </row>
    <row r="321" spans="3:4" ht="15.75" x14ac:dyDescent="0.25">
      <c r="C321" s="46" t="str">
        <f t="shared" si="9"/>
        <v/>
      </c>
      <c r="D321" s="46" t="str">
        <f t="shared" si="10"/>
        <v/>
      </c>
    </row>
    <row r="322" spans="3:4" ht="15.75" x14ac:dyDescent="0.25">
      <c r="C322" s="46" t="str">
        <f t="shared" si="9"/>
        <v/>
      </c>
      <c r="D322" s="46" t="str">
        <f t="shared" si="10"/>
        <v/>
      </c>
    </row>
    <row r="323" spans="3:4" ht="15.75" x14ac:dyDescent="0.25">
      <c r="C323" s="46" t="str">
        <f t="shared" si="9"/>
        <v/>
      </c>
      <c r="D323" s="46" t="str">
        <f t="shared" si="10"/>
        <v/>
      </c>
    </row>
    <row r="324" spans="3:4" ht="15.75" x14ac:dyDescent="0.25">
      <c r="C324" s="46" t="str">
        <f t="shared" si="9"/>
        <v/>
      </c>
      <c r="D324" s="46" t="str">
        <f t="shared" si="10"/>
        <v/>
      </c>
    </row>
    <row r="325" spans="3:4" ht="15.75" x14ac:dyDescent="0.25">
      <c r="C325" s="46" t="str">
        <f t="shared" si="9"/>
        <v/>
      </c>
      <c r="D325" s="46" t="str">
        <f t="shared" si="10"/>
        <v/>
      </c>
    </row>
    <row r="326" spans="3:4" ht="15.75" x14ac:dyDescent="0.25">
      <c r="C326" s="46" t="str">
        <f t="shared" si="9"/>
        <v/>
      </c>
      <c r="D326" s="46" t="str">
        <f>IF(COUNTIF(E326:BA326,"NO")=0,"",COUNTIF(E326:BA326,"NO"))</f>
        <v/>
      </c>
    </row>
    <row r="327" spans="3:4" ht="15.75" x14ac:dyDescent="0.25">
      <c r="C327" s="46" t="str">
        <f t="shared" si="9"/>
        <v/>
      </c>
      <c r="D327" s="46" t="str">
        <f>IF(COUNTIF(E327:BA327,"NO")=0,"",COUNTIF(E327:BA327,"NO"))</f>
        <v/>
      </c>
    </row>
    <row r="328" spans="3:4" ht="15.75" x14ac:dyDescent="0.25">
      <c r="C328" s="46" t="str">
        <f t="shared" si="9"/>
        <v/>
      </c>
      <c r="D328" s="46" t="str">
        <f>IF(COUNTIF(E328:BA328,"NO")=0,"",COUNTIF(E328:BA328,"NO"))</f>
        <v/>
      </c>
    </row>
    <row r="329" spans="3:4" ht="15.75" x14ac:dyDescent="0.25">
      <c r="C329" s="46" t="str">
        <f t="shared" si="9"/>
        <v/>
      </c>
      <c r="D329" s="46" t="str">
        <f>IF(COUNTIF(E329:BA329,"NO")=0,"",COUNTIF(E329:BA329,"NO"))</f>
        <v/>
      </c>
    </row>
  </sheetData>
  <phoneticPr fontId="4" type="noConversion"/>
  <conditionalFormatting sqref="E7:H13 E34:H47 E15:H32">
    <cfRule type="cellIs" dxfId="73" priority="9" stopIfTrue="1" operator="equal">
      <formula>"YES"</formula>
    </cfRule>
    <cfRule type="cellIs" dxfId="72" priority="10" stopIfTrue="1" operator="equal">
      <formula>"NO"</formula>
    </cfRule>
  </conditionalFormatting>
  <conditionalFormatting sqref="E14:H14">
    <cfRule type="cellIs" dxfId="71" priority="7" stopIfTrue="1" operator="equal">
      <formula>"YES"</formula>
    </cfRule>
    <cfRule type="cellIs" dxfId="70" priority="8" stopIfTrue="1" operator="equal">
      <formula>"NO"</formula>
    </cfRule>
  </conditionalFormatting>
  <conditionalFormatting sqref="E33:H33">
    <cfRule type="cellIs" dxfId="69" priority="5" stopIfTrue="1" operator="equal">
      <formula>"YES"</formula>
    </cfRule>
    <cfRule type="cellIs" dxfId="68" priority="6" stopIfTrue="1" operator="equal">
      <formula>"NO"</formula>
    </cfRule>
  </conditionalFormatting>
  <dataValidations count="1">
    <dataValidation type="list" allowBlank="1" showInputMessage="1" showErrorMessage="1" sqref="E7:H47" xr:uid="{00000000-0002-0000-0500-000000000000}">
      <formula1>$D$1:$D$3</formula1>
    </dataValidation>
  </dataValidations>
  <pageMargins left="0.75" right="0.75" top="1" bottom="1" header="0.4921259845" footer="0.4921259845"/>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7"/>
    <pageSetUpPr fitToPage="1"/>
  </sheetPr>
  <dimension ref="A1:H334"/>
  <sheetViews>
    <sheetView zoomScale="85"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9.140625" style="84" customWidth="1"/>
    <col min="2" max="2" width="97.85546875" style="82" customWidth="1"/>
    <col min="3" max="4" width="4.42578125" style="82" bestFit="1" customWidth="1"/>
    <col min="5" max="8" width="6.140625" style="82" customWidth="1"/>
    <col min="9" max="16384" width="9.140625" style="82"/>
  </cols>
  <sheetData>
    <row r="1" spans="1:8" hidden="1" x14ac:dyDescent="0.2">
      <c r="D1" s="82" t="s">
        <v>43</v>
      </c>
    </row>
    <row r="2" spans="1:8" hidden="1" x14ac:dyDescent="0.2">
      <c r="D2" s="82" t="s">
        <v>44</v>
      </c>
    </row>
    <row r="3" spans="1:8" ht="13.5" hidden="1" thickBot="1" x14ac:dyDescent="0.25">
      <c r="D3" s="82" t="s">
        <v>13</v>
      </c>
    </row>
    <row r="4" spans="1:8" ht="88.5" thickTop="1" thickBot="1" x14ac:dyDescent="0.25">
      <c r="A4" s="433" t="s">
        <v>379</v>
      </c>
      <c r="B4" s="434"/>
      <c r="C4" s="87" t="s">
        <v>46</v>
      </c>
      <c r="D4" s="87" t="s">
        <v>47</v>
      </c>
      <c r="E4" s="87" t="s">
        <v>84</v>
      </c>
      <c r="F4" s="87" t="s">
        <v>84</v>
      </c>
      <c r="G4" s="87" t="s">
        <v>84</v>
      </c>
      <c r="H4" s="87" t="s">
        <v>84</v>
      </c>
    </row>
    <row r="5" spans="1:8" ht="24" thickTop="1" x14ac:dyDescent="0.2">
      <c r="A5" s="83"/>
      <c r="B5" s="88" t="s">
        <v>85</v>
      </c>
      <c r="C5" s="89"/>
      <c r="D5" s="89"/>
      <c r="E5" s="89"/>
      <c r="F5" s="89"/>
      <c r="G5" s="89"/>
      <c r="H5" s="89"/>
    </row>
    <row r="6" spans="1:8" ht="15.75" x14ac:dyDescent="0.2">
      <c r="A6" s="432" t="s">
        <v>86</v>
      </c>
      <c r="B6" s="432"/>
      <c r="C6" s="90"/>
      <c r="D6" s="90"/>
      <c r="E6" s="91"/>
      <c r="F6" s="91"/>
      <c r="G6" s="91"/>
      <c r="H6" s="91"/>
    </row>
    <row r="7" spans="1:8" ht="15.75" x14ac:dyDescent="0.2">
      <c r="A7" s="85" t="s">
        <v>49</v>
      </c>
      <c r="B7" s="92" t="s">
        <v>187</v>
      </c>
      <c r="C7" s="90" t="str">
        <f>IF(COUNTIF(E7:BA7,"YES")=0,"",COUNTIF(E7:BA7,"YES"))</f>
        <v/>
      </c>
      <c r="D7" s="90" t="str">
        <f>IF(COUNTIF(E7:BA7,"NO")=0,"",COUNTIF(E7:BA7,"NO"))</f>
        <v/>
      </c>
      <c r="E7" s="93"/>
      <c r="F7" s="93"/>
      <c r="G7" s="93"/>
      <c r="H7" s="93"/>
    </row>
    <row r="8" spans="1:8" ht="38.25" x14ac:dyDescent="0.2">
      <c r="A8" s="85" t="s">
        <v>50</v>
      </c>
      <c r="B8" s="92" t="s">
        <v>188</v>
      </c>
      <c r="C8" s="90" t="str">
        <f>IF(COUNTIF(E8:BA8,"YES")=0,"",COUNTIF(E8:BA8,"YES"))</f>
        <v/>
      </c>
      <c r="D8" s="90" t="str">
        <f>IF(COUNTIF(E8:BA8,"NO")=0,"",COUNTIF(E8:BA8,"NO"))</f>
        <v/>
      </c>
      <c r="E8" s="93"/>
      <c r="F8" s="93"/>
      <c r="G8" s="93"/>
      <c r="H8" s="93"/>
    </row>
    <row r="9" spans="1:8" ht="15.75" x14ac:dyDescent="0.2">
      <c r="A9" s="205" t="s">
        <v>87</v>
      </c>
      <c r="B9" s="94"/>
      <c r="C9" s="90"/>
      <c r="D9" s="90"/>
      <c r="E9" s="91"/>
      <c r="F9" s="91"/>
      <c r="G9" s="91"/>
      <c r="H9" s="91"/>
    </row>
    <row r="10" spans="1:8" ht="15.75" x14ac:dyDescent="0.2">
      <c r="A10" s="85" t="s">
        <v>70</v>
      </c>
      <c r="B10" s="95" t="s">
        <v>545</v>
      </c>
      <c r="C10" s="90" t="str">
        <f>IF(COUNTIF(E10:BA10,"YES")=0,"",COUNTIF(E10:BA10,"YES"))</f>
        <v/>
      </c>
      <c r="D10" s="90" t="str">
        <f>IF(COUNTIF(E10:BA10,"NO")=0,"",COUNTIF(E10:BA10,"NO"))</f>
        <v/>
      </c>
      <c r="E10" s="93"/>
      <c r="F10" s="93"/>
      <c r="G10" s="93"/>
      <c r="H10" s="93"/>
    </row>
    <row r="11" spans="1:8" ht="15.75" x14ac:dyDescent="0.2">
      <c r="A11" s="85" t="s">
        <v>71</v>
      </c>
      <c r="B11" s="95" t="s">
        <v>89</v>
      </c>
      <c r="C11" s="90" t="str">
        <f>IF(COUNTIF(E11:BA11,"YES")=0,"",COUNTIF(E11:BA11,"YES"))</f>
        <v/>
      </c>
      <c r="D11" s="90" t="str">
        <f>IF(COUNTIF(E11:BA11,"NO")=0,"",COUNTIF(E11:BA11,"NO"))</f>
        <v/>
      </c>
      <c r="E11" s="93"/>
      <c r="F11" s="93"/>
      <c r="G11" s="93"/>
      <c r="H11" s="93"/>
    </row>
    <row r="12" spans="1:8" ht="15.75" x14ac:dyDescent="0.2">
      <c r="A12" s="205" t="s">
        <v>90</v>
      </c>
      <c r="B12" s="94"/>
      <c r="C12" s="90"/>
      <c r="D12" s="90"/>
      <c r="E12" s="91"/>
      <c r="F12" s="91"/>
      <c r="G12" s="91"/>
      <c r="H12" s="91"/>
    </row>
    <row r="13" spans="1:8" ht="15.75" x14ac:dyDescent="0.2">
      <c r="A13" s="86" t="s">
        <v>475</v>
      </c>
      <c r="B13" s="95" t="s">
        <v>91</v>
      </c>
      <c r="C13" s="90" t="str">
        <f>IF(COUNTIF(E13:BA13,"YES")=0,"",COUNTIF(E13:BA13,"YES"))</f>
        <v/>
      </c>
      <c r="D13" s="90" t="str">
        <f>IF(COUNTIF(E13:BA13,"NO")=0,"",COUNTIF(E13:BA13,"NO"))</f>
        <v/>
      </c>
      <c r="E13" s="93"/>
      <c r="F13" s="93"/>
      <c r="G13" s="93"/>
      <c r="H13" s="93"/>
    </row>
    <row r="14" spans="1:8" ht="15.75" x14ac:dyDescent="0.2">
      <c r="A14" s="86" t="s">
        <v>72</v>
      </c>
      <c r="B14" s="95" t="s">
        <v>92</v>
      </c>
      <c r="C14" s="90" t="str">
        <f>IF(COUNTIF(E14:BA14,"YES")=0,"",COUNTIF(E14:BA14,"YES"))</f>
        <v/>
      </c>
      <c r="D14" s="90" t="str">
        <f>IF(COUNTIF(E14:BA14,"NO")=0,"",COUNTIF(E14:BA14,"NO"))</f>
        <v/>
      </c>
      <c r="E14" s="93"/>
      <c r="F14" s="93"/>
      <c r="G14" s="93"/>
      <c r="H14" s="93"/>
    </row>
    <row r="15" spans="1:8" ht="23.25" x14ac:dyDescent="0.2">
      <c r="A15" s="83"/>
      <c r="B15" s="88" t="s">
        <v>93</v>
      </c>
      <c r="C15" s="90"/>
      <c r="D15" s="90"/>
      <c r="E15" s="91"/>
      <c r="F15" s="91"/>
      <c r="G15" s="91"/>
      <c r="H15" s="91"/>
    </row>
    <row r="16" spans="1:8" ht="15.75" x14ac:dyDescent="0.2">
      <c r="A16" s="205" t="s">
        <v>94</v>
      </c>
      <c r="B16" s="96"/>
      <c r="C16" s="90"/>
      <c r="D16" s="90"/>
      <c r="E16" s="91"/>
      <c r="F16" s="91"/>
      <c r="G16" s="91"/>
      <c r="H16" s="91"/>
    </row>
    <row r="17" spans="1:8" ht="15.75" x14ac:dyDescent="0.2">
      <c r="A17" s="85" t="s">
        <v>51</v>
      </c>
      <c r="B17" s="92" t="s">
        <v>473</v>
      </c>
      <c r="C17" s="90" t="str">
        <f t="shared" ref="C17:C31" si="0">IF(COUNTIF(E17:BA17,"YES")=0,"",COUNTIF(E17:BA17,"YES"))</f>
        <v/>
      </c>
      <c r="D17" s="90" t="str">
        <f t="shared" ref="D17:D31" si="1">IF(COUNTIF(E17:BA17,"NO")=0,"",COUNTIF(E17:BA17,"NO"))</f>
        <v/>
      </c>
      <c r="E17" s="93"/>
      <c r="F17" s="93"/>
      <c r="G17" s="93"/>
      <c r="H17" s="93"/>
    </row>
    <row r="18" spans="1:8" ht="15.75" x14ac:dyDescent="0.2">
      <c r="A18" s="85" t="s">
        <v>52</v>
      </c>
      <c r="B18" s="92" t="s">
        <v>474</v>
      </c>
      <c r="C18" s="90" t="str">
        <f t="shared" si="0"/>
        <v/>
      </c>
      <c r="D18" s="90" t="str">
        <f t="shared" si="1"/>
        <v/>
      </c>
      <c r="E18" s="93"/>
      <c r="F18" s="93"/>
      <c r="G18" s="93"/>
      <c r="H18" s="93"/>
    </row>
    <row r="19" spans="1:8" ht="15.75" x14ac:dyDescent="0.2">
      <c r="A19" s="85" t="s">
        <v>53</v>
      </c>
      <c r="B19" s="95" t="s">
        <v>95</v>
      </c>
      <c r="C19" s="90" t="str">
        <f t="shared" si="0"/>
        <v/>
      </c>
      <c r="D19" s="90" t="str">
        <f t="shared" si="1"/>
        <v/>
      </c>
      <c r="E19" s="93"/>
      <c r="F19" s="93"/>
      <c r="G19" s="93"/>
      <c r="H19" s="93"/>
    </row>
    <row r="20" spans="1:8" ht="15.75" x14ac:dyDescent="0.2">
      <c r="A20" s="85" t="s">
        <v>73</v>
      </c>
      <c r="B20" s="95" t="s">
        <v>96</v>
      </c>
      <c r="C20" s="90" t="str">
        <f t="shared" si="0"/>
        <v/>
      </c>
      <c r="D20" s="90" t="str">
        <f t="shared" si="1"/>
        <v/>
      </c>
      <c r="E20" s="93"/>
      <c r="F20" s="93"/>
      <c r="G20" s="93"/>
      <c r="H20" s="93"/>
    </row>
    <row r="21" spans="1:8" ht="15.75" x14ac:dyDescent="0.2">
      <c r="A21" s="85" t="s">
        <v>74</v>
      </c>
      <c r="B21" s="95" t="s">
        <v>97</v>
      </c>
      <c r="C21" s="90" t="str">
        <f t="shared" si="0"/>
        <v/>
      </c>
      <c r="D21" s="90" t="str">
        <f t="shared" si="1"/>
        <v/>
      </c>
      <c r="E21" s="93"/>
      <c r="F21" s="93"/>
      <c r="G21" s="93"/>
      <c r="H21" s="93"/>
    </row>
    <row r="22" spans="1:8" ht="15.75" x14ac:dyDescent="0.2">
      <c r="A22" s="85" t="s">
        <v>75</v>
      </c>
      <c r="B22" s="95" t="s">
        <v>98</v>
      </c>
      <c r="C22" s="90" t="str">
        <f t="shared" si="0"/>
        <v/>
      </c>
      <c r="D22" s="90" t="str">
        <f t="shared" si="1"/>
        <v/>
      </c>
      <c r="E22" s="93"/>
      <c r="F22" s="93"/>
      <c r="G22" s="93"/>
      <c r="H22" s="93"/>
    </row>
    <row r="23" spans="1:8" ht="60" customHeight="1" x14ac:dyDescent="0.2">
      <c r="A23" s="85" t="s">
        <v>76</v>
      </c>
      <c r="B23" s="92" t="s">
        <v>205</v>
      </c>
      <c r="C23" s="90" t="str">
        <f t="shared" si="0"/>
        <v/>
      </c>
      <c r="D23" s="90" t="str">
        <f t="shared" si="1"/>
        <v/>
      </c>
      <c r="E23" s="93"/>
      <c r="F23" s="93"/>
      <c r="G23" s="93"/>
      <c r="H23" s="93"/>
    </row>
    <row r="24" spans="1:8" ht="15.75" x14ac:dyDescent="0.2">
      <c r="A24" s="85" t="s">
        <v>77</v>
      </c>
      <c r="B24" s="95" t="s">
        <v>99</v>
      </c>
      <c r="C24" s="90" t="str">
        <f t="shared" si="0"/>
        <v/>
      </c>
      <c r="D24" s="90" t="str">
        <f t="shared" si="1"/>
        <v/>
      </c>
      <c r="E24" s="93"/>
      <c r="F24" s="93"/>
      <c r="G24" s="93"/>
      <c r="H24" s="93"/>
    </row>
    <row r="25" spans="1:8" ht="25.5" x14ac:dyDescent="0.2">
      <c r="A25" s="85" t="s">
        <v>78</v>
      </c>
      <c r="B25" s="95" t="s">
        <v>436</v>
      </c>
      <c r="C25" s="90" t="str">
        <f t="shared" si="0"/>
        <v/>
      </c>
      <c r="D25" s="90" t="str">
        <f t="shared" si="1"/>
        <v/>
      </c>
      <c r="E25" s="93"/>
      <c r="F25" s="93"/>
      <c r="G25" s="93"/>
      <c r="H25" s="93"/>
    </row>
    <row r="26" spans="1:8" ht="15.75" x14ac:dyDescent="0.2">
      <c r="A26" s="85" t="s">
        <v>79</v>
      </c>
      <c r="B26" s="95" t="s">
        <v>100</v>
      </c>
      <c r="C26" s="90" t="str">
        <f t="shared" si="0"/>
        <v/>
      </c>
      <c r="D26" s="90" t="str">
        <f t="shared" si="1"/>
        <v/>
      </c>
      <c r="E26" s="93"/>
      <c r="F26" s="93"/>
      <c r="G26" s="93"/>
      <c r="H26" s="93"/>
    </row>
    <row r="27" spans="1:8" ht="15.75" x14ac:dyDescent="0.2">
      <c r="A27" s="85" t="s">
        <v>80</v>
      </c>
      <c r="B27" s="95" t="s">
        <v>295</v>
      </c>
      <c r="C27" s="90" t="str">
        <f t="shared" si="0"/>
        <v/>
      </c>
      <c r="D27" s="90" t="str">
        <f t="shared" si="1"/>
        <v/>
      </c>
      <c r="E27" s="93"/>
      <c r="F27" s="93"/>
      <c r="G27" s="93"/>
      <c r="H27" s="93"/>
    </row>
    <row r="28" spans="1:8" ht="15.75" x14ac:dyDescent="0.2">
      <c r="A28" s="85" t="s">
        <v>81</v>
      </c>
      <c r="B28" s="54" t="s">
        <v>102</v>
      </c>
      <c r="C28" s="90" t="str">
        <f t="shared" si="0"/>
        <v/>
      </c>
      <c r="D28" s="90" t="str">
        <f t="shared" si="1"/>
        <v/>
      </c>
      <c r="E28" s="93"/>
      <c r="F28" s="93"/>
      <c r="G28" s="93"/>
      <c r="H28" s="93"/>
    </row>
    <row r="29" spans="1:8" ht="15.75" x14ac:dyDescent="0.2">
      <c r="A29" s="85" t="s">
        <v>82</v>
      </c>
      <c r="B29" s="95" t="s">
        <v>105</v>
      </c>
      <c r="C29" s="90" t="str">
        <f t="shared" si="0"/>
        <v/>
      </c>
      <c r="D29" s="90" t="str">
        <f t="shared" si="1"/>
        <v/>
      </c>
      <c r="E29" s="93"/>
      <c r="F29" s="93"/>
      <c r="G29" s="93"/>
      <c r="H29" s="93"/>
    </row>
    <row r="30" spans="1:8" ht="15.75" x14ac:dyDescent="0.2">
      <c r="A30" s="85" t="s">
        <v>101</v>
      </c>
      <c r="B30" s="97" t="s">
        <v>107</v>
      </c>
      <c r="C30" s="90" t="str">
        <f t="shared" si="0"/>
        <v/>
      </c>
      <c r="D30" s="90" t="str">
        <f t="shared" si="1"/>
        <v/>
      </c>
      <c r="E30" s="93"/>
      <c r="F30" s="93"/>
      <c r="G30" s="93"/>
      <c r="H30" s="93"/>
    </row>
    <row r="31" spans="1:8" ht="15.75" x14ac:dyDescent="0.2">
      <c r="A31" s="85" t="s">
        <v>103</v>
      </c>
      <c r="B31" s="97" t="s">
        <v>108</v>
      </c>
      <c r="C31" s="90" t="str">
        <f t="shared" si="0"/>
        <v/>
      </c>
      <c r="D31" s="90" t="str">
        <f t="shared" si="1"/>
        <v/>
      </c>
      <c r="E31" s="93"/>
      <c r="F31" s="93"/>
      <c r="G31" s="93"/>
      <c r="H31" s="93"/>
    </row>
    <row r="32" spans="1:8" ht="15.75" x14ac:dyDescent="0.2">
      <c r="A32" s="85" t="s">
        <v>104</v>
      </c>
      <c r="B32" s="97" t="s">
        <v>186</v>
      </c>
      <c r="C32" s="90" t="str">
        <f>IF(COUNTIF(E32:BA32,"YES")=0,"",COUNTIF(E32:BA32,"YES"))</f>
        <v/>
      </c>
      <c r="D32" s="90" t="str">
        <f>IF(COUNTIF(E32:BA32,"NO")=0,"",COUNTIF(E32:BA32,"NO"))</f>
        <v/>
      </c>
      <c r="E32" s="93"/>
      <c r="F32" s="93"/>
      <c r="G32" s="93"/>
      <c r="H32" s="93"/>
    </row>
    <row r="33" spans="1:8" ht="15.75" x14ac:dyDescent="0.2">
      <c r="A33" s="85" t="s">
        <v>106</v>
      </c>
      <c r="B33" s="157" t="s">
        <v>380</v>
      </c>
      <c r="C33" s="90" t="str">
        <f>IF(COUNTIF(E33:BA33,"YES")=0,"",COUNTIF(E33:BA33,"YES"))</f>
        <v/>
      </c>
      <c r="D33" s="90" t="str">
        <f>IF(COUNTIF(E33:BA33,"NO")=0,"",COUNTIF(E33:BA33,"NO"))</f>
        <v/>
      </c>
      <c r="E33" s="93"/>
      <c r="F33" s="93"/>
      <c r="G33" s="93"/>
      <c r="H33" s="93"/>
    </row>
    <row r="34" spans="1:8" ht="15.75" x14ac:dyDescent="0.2">
      <c r="A34" s="435" t="s">
        <v>109</v>
      </c>
      <c r="B34" s="436"/>
      <c r="C34" s="90"/>
      <c r="D34" s="90"/>
      <c r="E34" s="91"/>
      <c r="F34" s="91"/>
      <c r="G34" s="91"/>
      <c r="H34" s="91"/>
    </row>
    <row r="35" spans="1:8" ht="25.5" x14ac:dyDescent="0.2">
      <c r="A35" s="85" t="s">
        <v>54</v>
      </c>
      <c r="B35" s="95" t="s">
        <v>110</v>
      </c>
      <c r="C35" s="90" t="str">
        <f t="shared" ref="C35:C98" si="2">IF(COUNTIF(E35:BA35,"YES")=0,"",COUNTIF(E35:BA35,"YES"))</f>
        <v/>
      </c>
      <c r="D35" s="90" t="str">
        <f t="shared" ref="D35:D98" si="3">IF(COUNTIF(E35:BA35,"NO")=0,"",COUNTIF(E35:BA35,"NO"))</f>
        <v/>
      </c>
      <c r="E35" s="93"/>
      <c r="F35" s="93"/>
      <c r="G35" s="93"/>
      <c r="H35" s="93"/>
    </row>
    <row r="36" spans="1:8" ht="15.75" x14ac:dyDescent="0.2">
      <c r="A36" s="85" t="s">
        <v>55</v>
      </c>
      <c r="B36" s="97" t="s">
        <v>111</v>
      </c>
      <c r="C36" s="90" t="str">
        <f t="shared" si="2"/>
        <v/>
      </c>
      <c r="D36" s="90" t="str">
        <f t="shared" si="3"/>
        <v/>
      </c>
      <c r="E36" s="93"/>
      <c r="F36" s="93"/>
      <c r="G36" s="93"/>
      <c r="H36" s="93"/>
    </row>
    <row r="37" spans="1:8" ht="15.75" x14ac:dyDescent="0.2">
      <c r="C37" s="98" t="str">
        <f t="shared" si="2"/>
        <v/>
      </c>
      <c r="D37" s="98" t="str">
        <f t="shared" si="3"/>
        <v/>
      </c>
    </row>
    <row r="38" spans="1:8" ht="15.75" x14ac:dyDescent="0.2">
      <c r="C38" s="98" t="str">
        <f t="shared" si="2"/>
        <v/>
      </c>
      <c r="D38" s="98" t="str">
        <f t="shared" si="3"/>
        <v/>
      </c>
    </row>
    <row r="39" spans="1:8" ht="15.75" x14ac:dyDescent="0.2">
      <c r="C39" s="98" t="str">
        <f t="shared" si="2"/>
        <v/>
      </c>
      <c r="D39" s="98" t="str">
        <f t="shared" si="3"/>
        <v/>
      </c>
    </row>
    <row r="40" spans="1:8" ht="15.75" x14ac:dyDescent="0.2">
      <c r="C40" s="98" t="str">
        <f t="shared" si="2"/>
        <v/>
      </c>
      <c r="D40" s="98" t="str">
        <f t="shared" si="3"/>
        <v/>
      </c>
    </row>
    <row r="41" spans="1:8" ht="15.75" x14ac:dyDescent="0.2">
      <c r="C41" s="98" t="str">
        <f t="shared" si="2"/>
        <v/>
      </c>
      <c r="D41" s="98" t="str">
        <f t="shared" si="3"/>
        <v/>
      </c>
    </row>
    <row r="42" spans="1:8" ht="15.75" x14ac:dyDescent="0.2">
      <c r="C42" s="98" t="str">
        <f t="shared" si="2"/>
        <v/>
      </c>
      <c r="D42" s="98" t="str">
        <f t="shared" si="3"/>
        <v/>
      </c>
    </row>
    <row r="43" spans="1:8" ht="15.75" x14ac:dyDescent="0.2">
      <c r="C43" s="98" t="str">
        <f t="shared" si="2"/>
        <v/>
      </c>
      <c r="D43" s="98" t="str">
        <f t="shared" si="3"/>
        <v/>
      </c>
    </row>
    <row r="44" spans="1:8" ht="15.75" x14ac:dyDescent="0.2">
      <c r="C44" s="98" t="str">
        <f t="shared" si="2"/>
        <v/>
      </c>
      <c r="D44" s="98" t="str">
        <f t="shared" si="3"/>
        <v/>
      </c>
    </row>
    <row r="45" spans="1:8" ht="15.75" x14ac:dyDescent="0.2">
      <c r="C45" s="98" t="str">
        <f t="shared" si="2"/>
        <v/>
      </c>
      <c r="D45" s="98" t="str">
        <f t="shared" si="3"/>
        <v/>
      </c>
    </row>
    <row r="46" spans="1:8" ht="15.75" x14ac:dyDescent="0.2">
      <c r="C46" s="98" t="str">
        <f t="shared" si="2"/>
        <v/>
      </c>
      <c r="D46" s="98" t="str">
        <f t="shared" si="3"/>
        <v/>
      </c>
    </row>
    <row r="47" spans="1:8" ht="15.75" x14ac:dyDescent="0.2">
      <c r="C47" s="98" t="str">
        <f t="shared" si="2"/>
        <v/>
      </c>
      <c r="D47" s="98" t="str">
        <f t="shared" si="3"/>
        <v/>
      </c>
    </row>
    <row r="48" spans="1:8" ht="15.75" x14ac:dyDescent="0.2">
      <c r="C48" s="98" t="str">
        <f t="shared" si="2"/>
        <v/>
      </c>
      <c r="D48" s="98" t="str">
        <f t="shared" si="3"/>
        <v/>
      </c>
    </row>
    <row r="49" spans="3:4" ht="15.75" x14ac:dyDescent="0.2">
      <c r="C49" s="98" t="str">
        <f t="shared" si="2"/>
        <v/>
      </c>
      <c r="D49" s="98" t="str">
        <f t="shared" si="3"/>
        <v/>
      </c>
    </row>
    <row r="50" spans="3:4" ht="15.75" x14ac:dyDescent="0.2">
      <c r="C50" s="98" t="str">
        <f t="shared" si="2"/>
        <v/>
      </c>
      <c r="D50" s="98" t="str">
        <f t="shared" si="3"/>
        <v/>
      </c>
    </row>
    <row r="51" spans="3:4" ht="15.75" x14ac:dyDescent="0.2">
      <c r="C51" s="98" t="str">
        <f t="shared" si="2"/>
        <v/>
      </c>
      <c r="D51" s="98" t="str">
        <f t="shared" si="3"/>
        <v/>
      </c>
    </row>
    <row r="52" spans="3:4" ht="15.75" x14ac:dyDescent="0.2">
      <c r="C52" s="98" t="str">
        <f t="shared" si="2"/>
        <v/>
      </c>
      <c r="D52" s="98" t="str">
        <f t="shared" si="3"/>
        <v/>
      </c>
    </row>
    <row r="53" spans="3:4" ht="15.75" x14ac:dyDescent="0.2">
      <c r="C53" s="98" t="str">
        <f t="shared" si="2"/>
        <v/>
      </c>
      <c r="D53" s="98" t="str">
        <f t="shared" si="3"/>
        <v/>
      </c>
    </row>
    <row r="54" spans="3:4" ht="15.75" x14ac:dyDescent="0.2">
      <c r="C54" s="98" t="str">
        <f t="shared" si="2"/>
        <v/>
      </c>
      <c r="D54" s="98" t="str">
        <f t="shared" si="3"/>
        <v/>
      </c>
    </row>
    <row r="55" spans="3:4" ht="15.75" x14ac:dyDescent="0.2">
      <c r="C55" s="98" t="str">
        <f t="shared" si="2"/>
        <v/>
      </c>
      <c r="D55" s="98" t="str">
        <f t="shared" si="3"/>
        <v/>
      </c>
    </row>
    <row r="56" spans="3:4" ht="15.75" x14ac:dyDescent="0.2">
      <c r="C56" s="98" t="str">
        <f t="shared" si="2"/>
        <v/>
      </c>
      <c r="D56" s="98" t="str">
        <f t="shared" si="3"/>
        <v/>
      </c>
    </row>
    <row r="57" spans="3:4" ht="15.75" x14ac:dyDescent="0.2">
      <c r="C57" s="98" t="str">
        <f t="shared" si="2"/>
        <v/>
      </c>
      <c r="D57" s="98" t="str">
        <f t="shared" si="3"/>
        <v/>
      </c>
    </row>
    <row r="58" spans="3:4" ht="15.75" x14ac:dyDescent="0.2">
      <c r="C58" s="98" t="str">
        <f t="shared" si="2"/>
        <v/>
      </c>
      <c r="D58" s="98" t="str">
        <f t="shared" si="3"/>
        <v/>
      </c>
    </row>
    <row r="59" spans="3:4" ht="15.75" x14ac:dyDescent="0.2">
      <c r="C59" s="98" t="str">
        <f t="shared" si="2"/>
        <v/>
      </c>
      <c r="D59" s="98" t="str">
        <f t="shared" si="3"/>
        <v/>
      </c>
    </row>
    <row r="60" spans="3:4" ht="15.75" x14ac:dyDescent="0.2">
      <c r="C60" s="98" t="str">
        <f t="shared" si="2"/>
        <v/>
      </c>
      <c r="D60" s="98" t="str">
        <f t="shared" si="3"/>
        <v/>
      </c>
    </row>
    <row r="61" spans="3:4" ht="15.75" x14ac:dyDescent="0.2">
      <c r="C61" s="98" t="str">
        <f t="shared" si="2"/>
        <v/>
      </c>
      <c r="D61" s="98" t="str">
        <f t="shared" si="3"/>
        <v/>
      </c>
    </row>
    <row r="62" spans="3:4" ht="15.75" x14ac:dyDescent="0.2">
      <c r="C62" s="98" t="str">
        <f t="shared" si="2"/>
        <v/>
      </c>
      <c r="D62" s="98" t="str">
        <f t="shared" si="3"/>
        <v/>
      </c>
    </row>
    <row r="63" spans="3:4" ht="15.75" x14ac:dyDescent="0.2">
      <c r="C63" s="98" t="str">
        <f t="shared" si="2"/>
        <v/>
      </c>
      <c r="D63" s="98" t="str">
        <f t="shared" si="3"/>
        <v/>
      </c>
    </row>
    <row r="64" spans="3:4" ht="15.75" x14ac:dyDescent="0.2">
      <c r="C64" s="98" t="str">
        <f t="shared" si="2"/>
        <v/>
      </c>
      <c r="D64" s="98" t="str">
        <f t="shared" si="3"/>
        <v/>
      </c>
    </row>
    <row r="65" spans="3:4" ht="15.75" x14ac:dyDescent="0.2">
      <c r="C65" s="98" t="str">
        <f t="shared" si="2"/>
        <v/>
      </c>
      <c r="D65" s="98" t="str">
        <f t="shared" si="3"/>
        <v/>
      </c>
    </row>
    <row r="66" spans="3:4" ht="15.75" x14ac:dyDescent="0.2">
      <c r="C66" s="98" t="str">
        <f t="shared" si="2"/>
        <v/>
      </c>
      <c r="D66" s="98" t="str">
        <f t="shared" si="3"/>
        <v/>
      </c>
    </row>
    <row r="67" spans="3:4" ht="15.75" x14ac:dyDescent="0.2">
      <c r="C67" s="98" t="str">
        <f t="shared" si="2"/>
        <v/>
      </c>
      <c r="D67" s="98" t="str">
        <f t="shared" si="3"/>
        <v/>
      </c>
    </row>
    <row r="68" spans="3:4" ht="15.75" x14ac:dyDescent="0.2">
      <c r="C68" s="98" t="str">
        <f t="shared" si="2"/>
        <v/>
      </c>
      <c r="D68" s="98" t="str">
        <f t="shared" si="3"/>
        <v/>
      </c>
    </row>
    <row r="69" spans="3:4" ht="15.75" x14ac:dyDescent="0.2">
      <c r="C69" s="98" t="str">
        <f t="shared" si="2"/>
        <v/>
      </c>
      <c r="D69" s="98" t="str">
        <f t="shared" si="3"/>
        <v/>
      </c>
    </row>
    <row r="70" spans="3:4" ht="15.75" x14ac:dyDescent="0.2">
      <c r="C70" s="98" t="str">
        <f t="shared" si="2"/>
        <v/>
      </c>
      <c r="D70" s="98" t="str">
        <f t="shared" si="3"/>
        <v/>
      </c>
    </row>
    <row r="71" spans="3:4" ht="15.75" x14ac:dyDescent="0.2">
      <c r="C71" s="98" t="str">
        <f t="shared" si="2"/>
        <v/>
      </c>
      <c r="D71" s="98" t="str">
        <f t="shared" si="3"/>
        <v/>
      </c>
    </row>
    <row r="72" spans="3:4" ht="15.75" x14ac:dyDescent="0.2">
      <c r="C72" s="98" t="str">
        <f t="shared" si="2"/>
        <v/>
      </c>
      <c r="D72" s="98" t="str">
        <f t="shared" si="3"/>
        <v/>
      </c>
    </row>
    <row r="73" spans="3:4" ht="15.75" x14ac:dyDescent="0.2">
      <c r="C73" s="98" t="str">
        <f t="shared" si="2"/>
        <v/>
      </c>
      <c r="D73" s="98" t="str">
        <f t="shared" si="3"/>
        <v/>
      </c>
    </row>
    <row r="74" spans="3:4" ht="15.75" x14ac:dyDescent="0.2">
      <c r="C74" s="98" t="str">
        <f t="shared" si="2"/>
        <v/>
      </c>
      <c r="D74" s="98" t="str">
        <f t="shared" si="3"/>
        <v/>
      </c>
    </row>
    <row r="75" spans="3:4" ht="15.75" x14ac:dyDescent="0.2">
      <c r="C75" s="98" t="str">
        <f t="shared" si="2"/>
        <v/>
      </c>
      <c r="D75" s="98" t="str">
        <f t="shared" si="3"/>
        <v/>
      </c>
    </row>
    <row r="76" spans="3:4" ht="15.75" x14ac:dyDescent="0.2">
      <c r="C76" s="98" t="str">
        <f t="shared" si="2"/>
        <v/>
      </c>
      <c r="D76" s="98" t="str">
        <f t="shared" si="3"/>
        <v/>
      </c>
    </row>
    <row r="77" spans="3:4" ht="15.75" x14ac:dyDescent="0.2">
      <c r="C77" s="98" t="str">
        <f t="shared" si="2"/>
        <v/>
      </c>
      <c r="D77" s="98" t="str">
        <f t="shared" si="3"/>
        <v/>
      </c>
    </row>
    <row r="78" spans="3:4" ht="15.75" x14ac:dyDescent="0.2">
      <c r="C78" s="98" t="str">
        <f t="shared" si="2"/>
        <v/>
      </c>
      <c r="D78" s="98" t="str">
        <f t="shared" si="3"/>
        <v/>
      </c>
    </row>
    <row r="79" spans="3:4" ht="15.75" x14ac:dyDescent="0.2">
      <c r="C79" s="98" t="str">
        <f t="shared" si="2"/>
        <v/>
      </c>
      <c r="D79" s="98" t="str">
        <f t="shared" si="3"/>
        <v/>
      </c>
    </row>
    <row r="80" spans="3:4" ht="15.75" x14ac:dyDescent="0.2">
      <c r="C80" s="98" t="str">
        <f t="shared" si="2"/>
        <v/>
      </c>
      <c r="D80" s="98" t="str">
        <f t="shared" si="3"/>
        <v/>
      </c>
    </row>
    <row r="81" spans="3:4" ht="15.75" x14ac:dyDescent="0.2">
      <c r="C81" s="98" t="str">
        <f t="shared" si="2"/>
        <v/>
      </c>
      <c r="D81" s="98" t="str">
        <f t="shared" si="3"/>
        <v/>
      </c>
    </row>
    <row r="82" spans="3:4" ht="15.75" x14ac:dyDescent="0.2">
      <c r="C82" s="98" t="str">
        <f t="shared" si="2"/>
        <v/>
      </c>
      <c r="D82" s="98" t="str">
        <f t="shared" si="3"/>
        <v/>
      </c>
    </row>
    <row r="83" spans="3:4" ht="15.75" x14ac:dyDescent="0.2">
      <c r="C83" s="98" t="str">
        <f t="shared" si="2"/>
        <v/>
      </c>
      <c r="D83" s="98" t="str">
        <f t="shared" si="3"/>
        <v/>
      </c>
    </row>
    <row r="84" spans="3:4" ht="15.75" x14ac:dyDescent="0.2">
      <c r="C84" s="98" t="str">
        <f t="shared" si="2"/>
        <v/>
      </c>
      <c r="D84" s="98" t="str">
        <f t="shared" si="3"/>
        <v/>
      </c>
    </row>
    <row r="85" spans="3:4" ht="15.75" x14ac:dyDescent="0.2">
      <c r="C85" s="98" t="str">
        <f t="shared" si="2"/>
        <v/>
      </c>
      <c r="D85" s="98" t="str">
        <f t="shared" si="3"/>
        <v/>
      </c>
    </row>
    <row r="86" spans="3:4" ht="15.75" x14ac:dyDescent="0.2">
      <c r="C86" s="98" t="str">
        <f t="shared" si="2"/>
        <v/>
      </c>
      <c r="D86" s="98" t="str">
        <f t="shared" si="3"/>
        <v/>
      </c>
    </row>
    <row r="87" spans="3:4" ht="15.75" x14ac:dyDescent="0.2">
      <c r="C87" s="98" t="str">
        <f t="shared" si="2"/>
        <v/>
      </c>
      <c r="D87" s="98" t="str">
        <f t="shared" si="3"/>
        <v/>
      </c>
    </row>
    <row r="88" spans="3:4" ht="15.75" x14ac:dyDescent="0.2">
      <c r="C88" s="98" t="str">
        <f t="shared" si="2"/>
        <v/>
      </c>
      <c r="D88" s="98" t="str">
        <f t="shared" si="3"/>
        <v/>
      </c>
    </row>
    <row r="89" spans="3:4" ht="15.75" x14ac:dyDescent="0.2">
      <c r="C89" s="98" t="str">
        <f t="shared" si="2"/>
        <v/>
      </c>
      <c r="D89" s="98" t="str">
        <f t="shared" si="3"/>
        <v/>
      </c>
    </row>
    <row r="90" spans="3:4" ht="15.75" x14ac:dyDescent="0.2">
      <c r="C90" s="98" t="str">
        <f t="shared" si="2"/>
        <v/>
      </c>
      <c r="D90" s="98" t="str">
        <f t="shared" si="3"/>
        <v/>
      </c>
    </row>
    <row r="91" spans="3:4" ht="15.75" x14ac:dyDescent="0.2">
      <c r="C91" s="98" t="str">
        <f t="shared" si="2"/>
        <v/>
      </c>
      <c r="D91" s="98" t="str">
        <f t="shared" si="3"/>
        <v/>
      </c>
    </row>
    <row r="92" spans="3:4" ht="15.75" x14ac:dyDescent="0.2">
      <c r="C92" s="98" t="str">
        <f t="shared" si="2"/>
        <v/>
      </c>
      <c r="D92" s="98" t="str">
        <f t="shared" si="3"/>
        <v/>
      </c>
    </row>
    <row r="93" spans="3:4" ht="15.75" x14ac:dyDescent="0.2">
      <c r="C93" s="98" t="str">
        <f t="shared" si="2"/>
        <v/>
      </c>
      <c r="D93" s="98" t="str">
        <f t="shared" si="3"/>
        <v/>
      </c>
    </row>
    <row r="94" spans="3:4" ht="15.75" x14ac:dyDescent="0.2">
      <c r="C94" s="98" t="str">
        <f t="shared" si="2"/>
        <v/>
      </c>
      <c r="D94" s="98" t="str">
        <f t="shared" si="3"/>
        <v/>
      </c>
    </row>
    <row r="95" spans="3:4" ht="15.75" x14ac:dyDescent="0.2">
      <c r="C95" s="98" t="str">
        <f t="shared" si="2"/>
        <v/>
      </c>
      <c r="D95" s="98" t="str">
        <f t="shared" si="3"/>
        <v/>
      </c>
    </row>
    <row r="96" spans="3:4" ht="15.75" x14ac:dyDescent="0.2">
      <c r="C96" s="98" t="str">
        <f t="shared" si="2"/>
        <v/>
      </c>
      <c r="D96" s="98" t="str">
        <f t="shared" si="3"/>
        <v/>
      </c>
    </row>
    <row r="97" spans="3:4" ht="15.75" x14ac:dyDescent="0.2">
      <c r="C97" s="98" t="str">
        <f t="shared" si="2"/>
        <v/>
      </c>
      <c r="D97" s="98" t="str">
        <f t="shared" si="3"/>
        <v/>
      </c>
    </row>
    <row r="98" spans="3:4" ht="15.75" x14ac:dyDescent="0.2">
      <c r="C98" s="98" t="str">
        <f t="shared" si="2"/>
        <v/>
      </c>
      <c r="D98" s="98" t="str">
        <f t="shared" si="3"/>
        <v/>
      </c>
    </row>
    <row r="99" spans="3:4" ht="15.75" x14ac:dyDescent="0.2">
      <c r="C99" s="98" t="str">
        <f t="shared" ref="C99:C162" si="4">IF(COUNTIF(E99:BA99,"YES")=0,"",COUNTIF(E99:BA99,"YES"))</f>
        <v/>
      </c>
      <c r="D99" s="98" t="str">
        <f t="shared" ref="D99:D162" si="5">IF(COUNTIF(E99:BA99,"NO")=0,"",COUNTIF(E99:BA99,"NO"))</f>
        <v/>
      </c>
    </row>
    <row r="100" spans="3:4" ht="15.75" x14ac:dyDescent="0.2">
      <c r="C100" s="98" t="str">
        <f t="shared" si="4"/>
        <v/>
      </c>
      <c r="D100" s="98" t="str">
        <f t="shared" si="5"/>
        <v/>
      </c>
    </row>
    <row r="101" spans="3:4" ht="15.75" x14ac:dyDescent="0.2">
      <c r="C101" s="98" t="str">
        <f t="shared" si="4"/>
        <v/>
      </c>
      <c r="D101" s="98" t="str">
        <f t="shared" si="5"/>
        <v/>
      </c>
    </row>
    <row r="102" spans="3:4" ht="15.75" x14ac:dyDescent="0.2">
      <c r="C102" s="98" t="str">
        <f t="shared" si="4"/>
        <v/>
      </c>
      <c r="D102" s="98" t="str">
        <f t="shared" si="5"/>
        <v/>
      </c>
    </row>
    <row r="103" spans="3:4" ht="15.75" x14ac:dyDescent="0.2">
      <c r="C103" s="98" t="str">
        <f t="shared" si="4"/>
        <v/>
      </c>
      <c r="D103" s="98" t="str">
        <f t="shared" si="5"/>
        <v/>
      </c>
    </row>
    <row r="104" spans="3:4" ht="15.75" x14ac:dyDescent="0.2">
      <c r="C104" s="98" t="str">
        <f t="shared" si="4"/>
        <v/>
      </c>
      <c r="D104" s="98" t="str">
        <f t="shared" si="5"/>
        <v/>
      </c>
    </row>
    <row r="105" spans="3:4" ht="15.75" x14ac:dyDescent="0.2">
      <c r="C105" s="98" t="str">
        <f t="shared" si="4"/>
        <v/>
      </c>
      <c r="D105" s="98" t="str">
        <f t="shared" si="5"/>
        <v/>
      </c>
    </row>
    <row r="106" spans="3:4" ht="15.75" x14ac:dyDescent="0.2">
      <c r="C106" s="98" t="str">
        <f t="shared" si="4"/>
        <v/>
      </c>
      <c r="D106" s="98" t="str">
        <f t="shared" si="5"/>
        <v/>
      </c>
    </row>
    <row r="107" spans="3:4" ht="15.75" x14ac:dyDescent="0.2">
      <c r="C107" s="98" t="str">
        <f t="shared" si="4"/>
        <v/>
      </c>
      <c r="D107" s="98" t="str">
        <f t="shared" si="5"/>
        <v/>
      </c>
    </row>
    <row r="108" spans="3:4" ht="15.75" x14ac:dyDescent="0.2">
      <c r="C108" s="98" t="str">
        <f t="shared" si="4"/>
        <v/>
      </c>
      <c r="D108" s="98" t="str">
        <f t="shared" si="5"/>
        <v/>
      </c>
    </row>
    <row r="109" spans="3:4" ht="15.75" x14ac:dyDescent="0.2">
      <c r="C109" s="98" t="str">
        <f t="shared" si="4"/>
        <v/>
      </c>
      <c r="D109" s="98" t="str">
        <f t="shared" si="5"/>
        <v/>
      </c>
    </row>
    <row r="110" spans="3:4" ht="15.75" x14ac:dyDescent="0.2">
      <c r="C110" s="98" t="str">
        <f t="shared" si="4"/>
        <v/>
      </c>
      <c r="D110" s="98" t="str">
        <f t="shared" si="5"/>
        <v/>
      </c>
    </row>
    <row r="111" spans="3:4" ht="15.75" x14ac:dyDescent="0.2">
      <c r="C111" s="98" t="str">
        <f t="shared" si="4"/>
        <v/>
      </c>
      <c r="D111" s="98" t="str">
        <f t="shared" si="5"/>
        <v/>
      </c>
    </row>
    <row r="112" spans="3:4" ht="15.75" x14ac:dyDescent="0.2">
      <c r="C112" s="98" t="str">
        <f t="shared" si="4"/>
        <v/>
      </c>
      <c r="D112" s="98" t="str">
        <f t="shared" si="5"/>
        <v/>
      </c>
    </row>
    <row r="113" spans="3:4" ht="15.75" x14ac:dyDescent="0.2">
      <c r="C113" s="98" t="str">
        <f t="shared" si="4"/>
        <v/>
      </c>
      <c r="D113" s="98" t="str">
        <f t="shared" si="5"/>
        <v/>
      </c>
    </row>
    <row r="114" spans="3:4" ht="15.75" x14ac:dyDescent="0.2">
      <c r="C114" s="98" t="str">
        <f t="shared" si="4"/>
        <v/>
      </c>
      <c r="D114" s="98" t="str">
        <f t="shared" si="5"/>
        <v/>
      </c>
    </row>
    <row r="115" spans="3:4" ht="15.75" x14ac:dyDescent="0.2">
      <c r="C115" s="98" t="str">
        <f t="shared" si="4"/>
        <v/>
      </c>
      <c r="D115" s="98" t="str">
        <f t="shared" si="5"/>
        <v/>
      </c>
    </row>
    <row r="116" spans="3:4" ht="15.75" x14ac:dyDescent="0.2">
      <c r="C116" s="98" t="str">
        <f t="shared" si="4"/>
        <v/>
      </c>
      <c r="D116" s="98" t="str">
        <f t="shared" si="5"/>
        <v/>
      </c>
    </row>
    <row r="117" spans="3:4" ht="15.75" x14ac:dyDescent="0.2">
      <c r="C117" s="98" t="str">
        <f t="shared" si="4"/>
        <v/>
      </c>
      <c r="D117" s="98" t="str">
        <f t="shared" si="5"/>
        <v/>
      </c>
    </row>
    <row r="118" spans="3:4" ht="15.75" x14ac:dyDescent="0.2">
      <c r="C118" s="98" t="str">
        <f t="shared" si="4"/>
        <v/>
      </c>
      <c r="D118" s="98" t="str">
        <f t="shared" si="5"/>
        <v/>
      </c>
    </row>
    <row r="119" spans="3:4" ht="15.75" x14ac:dyDescent="0.2">
      <c r="C119" s="98" t="str">
        <f t="shared" si="4"/>
        <v/>
      </c>
      <c r="D119" s="98" t="str">
        <f t="shared" si="5"/>
        <v/>
      </c>
    </row>
    <row r="120" spans="3:4" ht="15.75" x14ac:dyDescent="0.2">
      <c r="C120" s="98" t="str">
        <f t="shared" si="4"/>
        <v/>
      </c>
      <c r="D120" s="98" t="str">
        <f t="shared" si="5"/>
        <v/>
      </c>
    </row>
    <row r="121" spans="3:4" ht="15.75" x14ac:dyDescent="0.2">
      <c r="C121" s="98" t="str">
        <f t="shared" si="4"/>
        <v/>
      </c>
      <c r="D121" s="98" t="str">
        <f t="shared" si="5"/>
        <v/>
      </c>
    </row>
    <row r="122" spans="3:4" ht="15.75" x14ac:dyDescent="0.2">
      <c r="C122" s="98" t="str">
        <f t="shared" si="4"/>
        <v/>
      </c>
      <c r="D122" s="98" t="str">
        <f t="shared" si="5"/>
        <v/>
      </c>
    </row>
    <row r="123" spans="3:4" ht="15.75" x14ac:dyDescent="0.2">
      <c r="C123" s="98" t="str">
        <f t="shared" si="4"/>
        <v/>
      </c>
      <c r="D123" s="98" t="str">
        <f t="shared" si="5"/>
        <v/>
      </c>
    </row>
    <row r="124" spans="3:4" ht="15.75" x14ac:dyDescent="0.2">
      <c r="C124" s="98" t="str">
        <f t="shared" si="4"/>
        <v/>
      </c>
      <c r="D124" s="98" t="str">
        <f t="shared" si="5"/>
        <v/>
      </c>
    </row>
    <row r="125" spans="3:4" ht="15.75" x14ac:dyDescent="0.2">
      <c r="C125" s="98" t="str">
        <f t="shared" si="4"/>
        <v/>
      </c>
      <c r="D125" s="98" t="str">
        <f t="shared" si="5"/>
        <v/>
      </c>
    </row>
    <row r="126" spans="3:4" ht="15.75" x14ac:dyDescent="0.2">
      <c r="C126" s="98" t="str">
        <f t="shared" si="4"/>
        <v/>
      </c>
      <c r="D126" s="98" t="str">
        <f t="shared" si="5"/>
        <v/>
      </c>
    </row>
    <row r="127" spans="3:4" ht="15.75" x14ac:dyDescent="0.2">
      <c r="C127" s="98" t="str">
        <f t="shared" si="4"/>
        <v/>
      </c>
      <c r="D127" s="98" t="str">
        <f t="shared" si="5"/>
        <v/>
      </c>
    </row>
    <row r="128" spans="3:4" ht="15.75" x14ac:dyDescent="0.2">
      <c r="C128" s="98" t="str">
        <f t="shared" si="4"/>
        <v/>
      </c>
      <c r="D128" s="98" t="str">
        <f t="shared" si="5"/>
        <v/>
      </c>
    </row>
    <row r="129" spans="3:4" ht="15.75" x14ac:dyDescent="0.2">
      <c r="C129" s="98" t="str">
        <f t="shared" si="4"/>
        <v/>
      </c>
      <c r="D129" s="98" t="str">
        <f t="shared" si="5"/>
        <v/>
      </c>
    </row>
    <row r="130" spans="3:4" ht="15.75" x14ac:dyDescent="0.2">
      <c r="C130" s="98" t="str">
        <f t="shared" si="4"/>
        <v/>
      </c>
      <c r="D130" s="98" t="str">
        <f t="shared" si="5"/>
        <v/>
      </c>
    </row>
    <row r="131" spans="3:4" ht="15.75" x14ac:dyDescent="0.2">
      <c r="C131" s="98" t="str">
        <f t="shared" si="4"/>
        <v/>
      </c>
      <c r="D131" s="98" t="str">
        <f t="shared" si="5"/>
        <v/>
      </c>
    </row>
    <row r="132" spans="3:4" ht="15.75" x14ac:dyDescent="0.2">
      <c r="C132" s="98" t="str">
        <f t="shared" si="4"/>
        <v/>
      </c>
      <c r="D132" s="98" t="str">
        <f t="shared" si="5"/>
        <v/>
      </c>
    </row>
    <row r="133" spans="3:4" ht="15.75" x14ac:dyDescent="0.2">
      <c r="C133" s="98" t="str">
        <f t="shared" si="4"/>
        <v/>
      </c>
      <c r="D133" s="98" t="str">
        <f t="shared" si="5"/>
        <v/>
      </c>
    </row>
    <row r="134" spans="3:4" ht="15.75" x14ac:dyDescent="0.2">
      <c r="C134" s="98" t="str">
        <f t="shared" si="4"/>
        <v/>
      </c>
      <c r="D134" s="98" t="str">
        <f t="shared" si="5"/>
        <v/>
      </c>
    </row>
    <row r="135" spans="3:4" ht="15.75" x14ac:dyDescent="0.2">
      <c r="C135" s="98" t="str">
        <f t="shared" si="4"/>
        <v/>
      </c>
      <c r="D135" s="98" t="str">
        <f t="shared" si="5"/>
        <v/>
      </c>
    </row>
    <row r="136" spans="3:4" ht="15.75" x14ac:dyDescent="0.2">
      <c r="C136" s="98" t="str">
        <f t="shared" si="4"/>
        <v/>
      </c>
      <c r="D136" s="98" t="str">
        <f t="shared" si="5"/>
        <v/>
      </c>
    </row>
    <row r="137" spans="3:4" ht="15.75" x14ac:dyDescent="0.2">
      <c r="C137" s="98" t="str">
        <f t="shared" si="4"/>
        <v/>
      </c>
      <c r="D137" s="98" t="str">
        <f t="shared" si="5"/>
        <v/>
      </c>
    </row>
    <row r="138" spans="3:4" ht="15.75" x14ac:dyDescent="0.2">
      <c r="C138" s="98" t="str">
        <f t="shared" si="4"/>
        <v/>
      </c>
      <c r="D138" s="98" t="str">
        <f t="shared" si="5"/>
        <v/>
      </c>
    </row>
    <row r="139" spans="3:4" ht="15.75" x14ac:dyDescent="0.2">
      <c r="C139" s="98" t="str">
        <f t="shared" si="4"/>
        <v/>
      </c>
      <c r="D139" s="98" t="str">
        <f t="shared" si="5"/>
        <v/>
      </c>
    </row>
    <row r="140" spans="3:4" ht="15.75" x14ac:dyDescent="0.2">
      <c r="C140" s="98" t="str">
        <f t="shared" si="4"/>
        <v/>
      </c>
      <c r="D140" s="98" t="str">
        <f t="shared" si="5"/>
        <v/>
      </c>
    </row>
    <row r="141" spans="3:4" ht="15.75" x14ac:dyDescent="0.2">
      <c r="C141" s="98" t="str">
        <f t="shared" si="4"/>
        <v/>
      </c>
      <c r="D141" s="98" t="str">
        <f t="shared" si="5"/>
        <v/>
      </c>
    </row>
    <row r="142" spans="3:4" ht="15.75" x14ac:dyDescent="0.2">
      <c r="C142" s="98" t="str">
        <f t="shared" si="4"/>
        <v/>
      </c>
      <c r="D142" s="98" t="str">
        <f t="shared" si="5"/>
        <v/>
      </c>
    </row>
    <row r="143" spans="3:4" ht="15.75" x14ac:dyDescent="0.2">
      <c r="C143" s="98" t="str">
        <f t="shared" si="4"/>
        <v/>
      </c>
      <c r="D143" s="98" t="str">
        <f t="shared" si="5"/>
        <v/>
      </c>
    </row>
    <row r="144" spans="3:4" ht="15.75" x14ac:dyDescent="0.2">
      <c r="C144" s="98" t="str">
        <f t="shared" si="4"/>
        <v/>
      </c>
      <c r="D144" s="98" t="str">
        <f t="shared" si="5"/>
        <v/>
      </c>
    </row>
    <row r="145" spans="3:4" ht="15.75" x14ac:dyDescent="0.2">
      <c r="C145" s="98" t="str">
        <f t="shared" si="4"/>
        <v/>
      </c>
      <c r="D145" s="98" t="str">
        <f t="shared" si="5"/>
        <v/>
      </c>
    </row>
    <row r="146" spans="3:4" ht="15.75" x14ac:dyDescent="0.2">
      <c r="C146" s="98" t="str">
        <f t="shared" si="4"/>
        <v/>
      </c>
      <c r="D146" s="98" t="str">
        <f t="shared" si="5"/>
        <v/>
      </c>
    </row>
    <row r="147" spans="3:4" ht="15.75" x14ac:dyDescent="0.2">
      <c r="C147" s="98" t="str">
        <f t="shared" si="4"/>
        <v/>
      </c>
      <c r="D147" s="98" t="str">
        <f t="shared" si="5"/>
        <v/>
      </c>
    </row>
    <row r="148" spans="3:4" ht="15.75" x14ac:dyDescent="0.2">
      <c r="C148" s="98" t="str">
        <f t="shared" si="4"/>
        <v/>
      </c>
      <c r="D148" s="98" t="str">
        <f t="shared" si="5"/>
        <v/>
      </c>
    </row>
    <row r="149" spans="3:4" ht="15.75" x14ac:dyDescent="0.2">
      <c r="C149" s="98" t="str">
        <f t="shared" si="4"/>
        <v/>
      </c>
      <c r="D149" s="98" t="str">
        <f t="shared" si="5"/>
        <v/>
      </c>
    </row>
    <row r="150" spans="3:4" ht="15.75" x14ac:dyDescent="0.2">
      <c r="C150" s="98" t="str">
        <f t="shared" si="4"/>
        <v/>
      </c>
      <c r="D150" s="98" t="str">
        <f t="shared" si="5"/>
        <v/>
      </c>
    </row>
    <row r="151" spans="3:4" ht="15.75" x14ac:dyDescent="0.2">
      <c r="C151" s="98" t="str">
        <f t="shared" si="4"/>
        <v/>
      </c>
      <c r="D151" s="98" t="str">
        <f t="shared" si="5"/>
        <v/>
      </c>
    </row>
    <row r="152" spans="3:4" ht="15.75" x14ac:dyDescent="0.2">
      <c r="C152" s="98" t="str">
        <f t="shared" si="4"/>
        <v/>
      </c>
      <c r="D152" s="98" t="str">
        <f t="shared" si="5"/>
        <v/>
      </c>
    </row>
    <row r="153" spans="3:4" ht="15.75" x14ac:dyDescent="0.2">
      <c r="C153" s="98" t="str">
        <f t="shared" si="4"/>
        <v/>
      </c>
      <c r="D153" s="98" t="str">
        <f t="shared" si="5"/>
        <v/>
      </c>
    </row>
    <row r="154" spans="3:4" ht="15.75" x14ac:dyDescent="0.2">
      <c r="C154" s="98" t="str">
        <f t="shared" si="4"/>
        <v/>
      </c>
      <c r="D154" s="98" t="str">
        <f t="shared" si="5"/>
        <v/>
      </c>
    </row>
    <row r="155" spans="3:4" ht="15.75" x14ac:dyDescent="0.2">
      <c r="C155" s="98" t="str">
        <f t="shared" si="4"/>
        <v/>
      </c>
      <c r="D155" s="98" t="str">
        <f t="shared" si="5"/>
        <v/>
      </c>
    </row>
    <row r="156" spans="3:4" ht="15.75" x14ac:dyDescent="0.2">
      <c r="C156" s="98" t="str">
        <f t="shared" si="4"/>
        <v/>
      </c>
      <c r="D156" s="98" t="str">
        <f t="shared" si="5"/>
        <v/>
      </c>
    </row>
    <row r="157" spans="3:4" ht="15.75" x14ac:dyDescent="0.2">
      <c r="C157" s="98" t="str">
        <f t="shared" si="4"/>
        <v/>
      </c>
      <c r="D157" s="98" t="str">
        <f t="shared" si="5"/>
        <v/>
      </c>
    </row>
    <row r="158" spans="3:4" ht="15.75" x14ac:dyDescent="0.2">
      <c r="C158" s="98" t="str">
        <f t="shared" si="4"/>
        <v/>
      </c>
      <c r="D158" s="98" t="str">
        <f t="shared" si="5"/>
        <v/>
      </c>
    </row>
    <row r="159" spans="3:4" ht="15.75" x14ac:dyDescent="0.2">
      <c r="C159" s="98" t="str">
        <f t="shared" si="4"/>
        <v/>
      </c>
      <c r="D159" s="98" t="str">
        <f t="shared" si="5"/>
        <v/>
      </c>
    </row>
    <row r="160" spans="3:4" ht="15.75" x14ac:dyDescent="0.2">
      <c r="C160" s="98" t="str">
        <f t="shared" si="4"/>
        <v/>
      </c>
      <c r="D160" s="98" t="str">
        <f t="shared" si="5"/>
        <v/>
      </c>
    </row>
    <row r="161" spans="3:4" ht="15.75" x14ac:dyDescent="0.2">
      <c r="C161" s="98" t="str">
        <f t="shared" si="4"/>
        <v/>
      </c>
      <c r="D161" s="98" t="str">
        <f t="shared" si="5"/>
        <v/>
      </c>
    </row>
    <row r="162" spans="3:4" ht="15.75" x14ac:dyDescent="0.2">
      <c r="C162" s="98" t="str">
        <f t="shared" si="4"/>
        <v/>
      </c>
      <c r="D162" s="98" t="str">
        <f t="shared" si="5"/>
        <v/>
      </c>
    </row>
    <row r="163" spans="3:4" ht="15.75" x14ac:dyDescent="0.2">
      <c r="C163" s="98" t="str">
        <f t="shared" ref="C163:C226" si="6">IF(COUNTIF(E163:BA163,"YES")=0,"",COUNTIF(E163:BA163,"YES"))</f>
        <v/>
      </c>
      <c r="D163" s="98" t="str">
        <f t="shared" ref="D163:D226" si="7">IF(COUNTIF(E163:BA163,"NO")=0,"",COUNTIF(E163:BA163,"NO"))</f>
        <v/>
      </c>
    </row>
    <row r="164" spans="3:4" ht="15.75" x14ac:dyDescent="0.2">
      <c r="C164" s="98" t="str">
        <f t="shared" si="6"/>
        <v/>
      </c>
      <c r="D164" s="98" t="str">
        <f t="shared" si="7"/>
        <v/>
      </c>
    </row>
    <row r="165" spans="3:4" ht="15.75" x14ac:dyDescent="0.2">
      <c r="C165" s="98" t="str">
        <f t="shared" si="6"/>
        <v/>
      </c>
      <c r="D165" s="98" t="str">
        <f t="shared" si="7"/>
        <v/>
      </c>
    </row>
    <row r="166" spans="3:4" ht="15.75" x14ac:dyDescent="0.2">
      <c r="C166" s="98" t="str">
        <f t="shared" si="6"/>
        <v/>
      </c>
      <c r="D166" s="98" t="str">
        <f t="shared" si="7"/>
        <v/>
      </c>
    </row>
    <row r="167" spans="3:4" ht="15.75" x14ac:dyDescent="0.2">
      <c r="C167" s="98" t="str">
        <f t="shared" si="6"/>
        <v/>
      </c>
      <c r="D167" s="98" t="str">
        <f t="shared" si="7"/>
        <v/>
      </c>
    </row>
    <row r="168" spans="3:4" ht="15.75" x14ac:dyDescent="0.2">
      <c r="C168" s="98" t="str">
        <f t="shared" si="6"/>
        <v/>
      </c>
      <c r="D168" s="98" t="str">
        <f t="shared" si="7"/>
        <v/>
      </c>
    </row>
    <row r="169" spans="3:4" ht="15.75" x14ac:dyDescent="0.2">
      <c r="C169" s="98" t="str">
        <f t="shared" si="6"/>
        <v/>
      </c>
      <c r="D169" s="98" t="str">
        <f t="shared" si="7"/>
        <v/>
      </c>
    </row>
    <row r="170" spans="3:4" ht="15.75" x14ac:dyDescent="0.2">
      <c r="C170" s="98" t="str">
        <f t="shared" si="6"/>
        <v/>
      </c>
      <c r="D170" s="98" t="str">
        <f t="shared" si="7"/>
        <v/>
      </c>
    </row>
    <row r="171" spans="3:4" ht="15.75" x14ac:dyDescent="0.2">
      <c r="C171" s="98" t="str">
        <f t="shared" si="6"/>
        <v/>
      </c>
      <c r="D171" s="98" t="str">
        <f t="shared" si="7"/>
        <v/>
      </c>
    </row>
    <row r="172" spans="3:4" ht="15.75" x14ac:dyDescent="0.2">
      <c r="C172" s="98" t="str">
        <f t="shared" si="6"/>
        <v/>
      </c>
      <c r="D172" s="98" t="str">
        <f t="shared" si="7"/>
        <v/>
      </c>
    </row>
    <row r="173" spans="3:4" ht="15.75" x14ac:dyDescent="0.2">
      <c r="C173" s="98" t="str">
        <f t="shared" si="6"/>
        <v/>
      </c>
      <c r="D173" s="98" t="str">
        <f t="shared" si="7"/>
        <v/>
      </c>
    </row>
    <row r="174" spans="3:4" ht="15.75" x14ac:dyDescent="0.2">
      <c r="C174" s="98" t="str">
        <f t="shared" si="6"/>
        <v/>
      </c>
      <c r="D174" s="98" t="str">
        <f t="shared" si="7"/>
        <v/>
      </c>
    </row>
    <row r="175" spans="3:4" ht="15.75" x14ac:dyDescent="0.2">
      <c r="C175" s="98" t="str">
        <f t="shared" si="6"/>
        <v/>
      </c>
      <c r="D175" s="98" t="str">
        <f t="shared" si="7"/>
        <v/>
      </c>
    </row>
    <row r="176" spans="3:4" ht="15.75" x14ac:dyDescent="0.2">
      <c r="C176" s="98" t="str">
        <f t="shared" si="6"/>
        <v/>
      </c>
      <c r="D176" s="98" t="str">
        <f t="shared" si="7"/>
        <v/>
      </c>
    </row>
    <row r="177" spans="3:4" ht="15.75" x14ac:dyDescent="0.2">
      <c r="C177" s="98" t="str">
        <f t="shared" si="6"/>
        <v/>
      </c>
      <c r="D177" s="98" t="str">
        <f t="shared" si="7"/>
        <v/>
      </c>
    </row>
    <row r="178" spans="3:4" ht="15.75" x14ac:dyDescent="0.2">
      <c r="C178" s="98" t="str">
        <f t="shared" si="6"/>
        <v/>
      </c>
      <c r="D178" s="98" t="str">
        <f t="shared" si="7"/>
        <v/>
      </c>
    </row>
    <row r="179" spans="3:4" ht="15.75" x14ac:dyDescent="0.2">
      <c r="C179" s="98" t="str">
        <f t="shared" si="6"/>
        <v/>
      </c>
      <c r="D179" s="98" t="str">
        <f t="shared" si="7"/>
        <v/>
      </c>
    </row>
    <row r="180" spans="3:4" ht="15.75" x14ac:dyDescent="0.2">
      <c r="C180" s="98" t="str">
        <f t="shared" si="6"/>
        <v/>
      </c>
      <c r="D180" s="98" t="str">
        <f t="shared" si="7"/>
        <v/>
      </c>
    </row>
    <row r="181" spans="3:4" ht="15.75" x14ac:dyDescent="0.2">
      <c r="C181" s="98" t="str">
        <f t="shared" si="6"/>
        <v/>
      </c>
      <c r="D181" s="98" t="str">
        <f t="shared" si="7"/>
        <v/>
      </c>
    </row>
    <row r="182" spans="3:4" ht="15.75" x14ac:dyDescent="0.2">
      <c r="C182" s="98" t="str">
        <f t="shared" si="6"/>
        <v/>
      </c>
      <c r="D182" s="98" t="str">
        <f t="shared" si="7"/>
        <v/>
      </c>
    </row>
    <row r="183" spans="3:4" ht="15.75" x14ac:dyDescent="0.2">
      <c r="C183" s="98" t="str">
        <f t="shared" si="6"/>
        <v/>
      </c>
      <c r="D183" s="98" t="str">
        <f t="shared" si="7"/>
        <v/>
      </c>
    </row>
    <row r="184" spans="3:4" ht="15.75" x14ac:dyDescent="0.2">
      <c r="C184" s="98" t="str">
        <f t="shared" si="6"/>
        <v/>
      </c>
      <c r="D184" s="98" t="str">
        <f t="shared" si="7"/>
        <v/>
      </c>
    </row>
    <row r="185" spans="3:4" ht="15.75" x14ac:dyDescent="0.2">
      <c r="C185" s="98" t="str">
        <f t="shared" si="6"/>
        <v/>
      </c>
      <c r="D185" s="98" t="str">
        <f t="shared" si="7"/>
        <v/>
      </c>
    </row>
    <row r="186" spans="3:4" ht="15.75" x14ac:dyDescent="0.2">
      <c r="C186" s="98" t="str">
        <f t="shared" si="6"/>
        <v/>
      </c>
      <c r="D186" s="98" t="str">
        <f t="shared" si="7"/>
        <v/>
      </c>
    </row>
    <row r="187" spans="3:4" ht="15.75" x14ac:dyDescent="0.2">
      <c r="C187" s="98" t="str">
        <f t="shared" si="6"/>
        <v/>
      </c>
      <c r="D187" s="98" t="str">
        <f t="shared" si="7"/>
        <v/>
      </c>
    </row>
    <row r="188" spans="3:4" ht="15.75" x14ac:dyDescent="0.2">
      <c r="C188" s="98" t="str">
        <f t="shared" si="6"/>
        <v/>
      </c>
      <c r="D188" s="98" t="str">
        <f t="shared" si="7"/>
        <v/>
      </c>
    </row>
    <row r="189" spans="3:4" ht="15.75" x14ac:dyDescent="0.2">
      <c r="C189" s="98" t="str">
        <f t="shared" si="6"/>
        <v/>
      </c>
      <c r="D189" s="98" t="str">
        <f t="shared" si="7"/>
        <v/>
      </c>
    </row>
    <row r="190" spans="3:4" ht="15.75" x14ac:dyDescent="0.2">
      <c r="C190" s="98" t="str">
        <f t="shared" si="6"/>
        <v/>
      </c>
      <c r="D190" s="98" t="str">
        <f t="shared" si="7"/>
        <v/>
      </c>
    </row>
    <row r="191" spans="3:4" ht="15.75" x14ac:dyDescent="0.2">
      <c r="C191" s="98" t="str">
        <f t="shared" si="6"/>
        <v/>
      </c>
      <c r="D191" s="98" t="str">
        <f t="shared" si="7"/>
        <v/>
      </c>
    </row>
    <row r="192" spans="3:4" ht="15.75" x14ac:dyDescent="0.2">
      <c r="C192" s="98" t="str">
        <f t="shared" si="6"/>
        <v/>
      </c>
      <c r="D192" s="98" t="str">
        <f t="shared" si="7"/>
        <v/>
      </c>
    </row>
    <row r="193" spans="3:4" ht="15.75" x14ac:dyDescent="0.2">
      <c r="C193" s="98" t="str">
        <f t="shared" si="6"/>
        <v/>
      </c>
      <c r="D193" s="98" t="str">
        <f t="shared" si="7"/>
        <v/>
      </c>
    </row>
    <row r="194" spans="3:4" ht="15.75" x14ac:dyDescent="0.2">
      <c r="C194" s="98" t="str">
        <f t="shared" si="6"/>
        <v/>
      </c>
      <c r="D194" s="98" t="str">
        <f t="shared" si="7"/>
        <v/>
      </c>
    </row>
    <row r="195" spans="3:4" ht="15.75" x14ac:dyDescent="0.2">
      <c r="C195" s="98" t="str">
        <f t="shared" si="6"/>
        <v/>
      </c>
      <c r="D195" s="98" t="str">
        <f t="shared" si="7"/>
        <v/>
      </c>
    </row>
    <row r="196" spans="3:4" ht="15.75" x14ac:dyDescent="0.2">
      <c r="C196" s="98" t="str">
        <f t="shared" si="6"/>
        <v/>
      </c>
      <c r="D196" s="98" t="str">
        <f t="shared" si="7"/>
        <v/>
      </c>
    </row>
    <row r="197" spans="3:4" ht="15.75" x14ac:dyDescent="0.2">
      <c r="C197" s="98" t="str">
        <f t="shared" si="6"/>
        <v/>
      </c>
      <c r="D197" s="98" t="str">
        <f t="shared" si="7"/>
        <v/>
      </c>
    </row>
    <row r="198" spans="3:4" ht="15.75" x14ac:dyDescent="0.2">
      <c r="C198" s="98" t="str">
        <f t="shared" si="6"/>
        <v/>
      </c>
      <c r="D198" s="98" t="str">
        <f t="shared" si="7"/>
        <v/>
      </c>
    </row>
    <row r="199" spans="3:4" ht="15.75" x14ac:dyDescent="0.2">
      <c r="C199" s="98" t="str">
        <f t="shared" si="6"/>
        <v/>
      </c>
      <c r="D199" s="98" t="str">
        <f t="shared" si="7"/>
        <v/>
      </c>
    </row>
    <row r="200" spans="3:4" ht="15.75" x14ac:dyDescent="0.2">
      <c r="C200" s="98" t="str">
        <f t="shared" si="6"/>
        <v/>
      </c>
      <c r="D200" s="98" t="str">
        <f t="shared" si="7"/>
        <v/>
      </c>
    </row>
    <row r="201" spans="3:4" ht="15.75" x14ac:dyDescent="0.2">
      <c r="C201" s="98" t="str">
        <f t="shared" si="6"/>
        <v/>
      </c>
      <c r="D201" s="98" t="str">
        <f t="shared" si="7"/>
        <v/>
      </c>
    </row>
    <row r="202" spans="3:4" ht="15.75" x14ac:dyDescent="0.2">
      <c r="C202" s="98" t="str">
        <f t="shared" si="6"/>
        <v/>
      </c>
      <c r="D202" s="98" t="str">
        <f t="shared" si="7"/>
        <v/>
      </c>
    </row>
    <row r="203" spans="3:4" ht="15.75" x14ac:dyDescent="0.2">
      <c r="C203" s="98" t="str">
        <f t="shared" si="6"/>
        <v/>
      </c>
      <c r="D203" s="98" t="str">
        <f t="shared" si="7"/>
        <v/>
      </c>
    </row>
    <row r="204" spans="3:4" ht="15.75" x14ac:dyDescent="0.2">
      <c r="C204" s="98" t="str">
        <f t="shared" si="6"/>
        <v/>
      </c>
      <c r="D204" s="98" t="str">
        <f t="shared" si="7"/>
        <v/>
      </c>
    </row>
    <row r="205" spans="3:4" ht="15.75" x14ac:dyDescent="0.2">
      <c r="C205" s="98" t="str">
        <f t="shared" si="6"/>
        <v/>
      </c>
      <c r="D205" s="98" t="str">
        <f t="shared" si="7"/>
        <v/>
      </c>
    </row>
    <row r="206" spans="3:4" ht="15.75" x14ac:dyDescent="0.2">
      <c r="C206" s="98" t="str">
        <f t="shared" si="6"/>
        <v/>
      </c>
      <c r="D206" s="98" t="str">
        <f t="shared" si="7"/>
        <v/>
      </c>
    </row>
    <row r="207" spans="3:4" ht="15.75" x14ac:dyDescent="0.2">
      <c r="C207" s="98" t="str">
        <f t="shared" si="6"/>
        <v/>
      </c>
      <c r="D207" s="98" t="str">
        <f t="shared" si="7"/>
        <v/>
      </c>
    </row>
    <row r="208" spans="3:4" ht="15.75" x14ac:dyDescent="0.2">
      <c r="C208" s="98" t="str">
        <f t="shared" si="6"/>
        <v/>
      </c>
      <c r="D208" s="98" t="str">
        <f t="shared" si="7"/>
        <v/>
      </c>
    </row>
    <row r="209" spans="3:4" ht="15.75" x14ac:dyDescent="0.2">
      <c r="C209" s="98" t="str">
        <f t="shared" si="6"/>
        <v/>
      </c>
      <c r="D209" s="98" t="str">
        <f t="shared" si="7"/>
        <v/>
      </c>
    </row>
    <row r="210" spans="3:4" ht="15.75" x14ac:dyDescent="0.2">
      <c r="C210" s="98" t="str">
        <f t="shared" si="6"/>
        <v/>
      </c>
      <c r="D210" s="98" t="str">
        <f t="shared" si="7"/>
        <v/>
      </c>
    </row>
    <row r="211" spans="3:4" ht="15.75" x14ac:dyDescent="0.2">
      <c r="C211" s="98" t="str">
        <f t="shared" si="6"/>
        <v/>
      </c>
      <c r="D211" s="98" t="str">
        <f t="shared" si="7"/>
        <v/>
      </c>
    </row>
    <row r="212" spans="3:4" ht="15.75" x14ac:dyDescent="0.2">
      <c r="C212" s="98" t="str">
        <f t="shared" si="6"/>
        <v/>
      </c>
      <c r="D212" s="98" t="str">
        <f t="shared" si="7"/>
        <v/>
      </c>
    </row>
    <row r="213" spans="3:4" ht="15.75" x14ac:dyDescent="0.2">
      <c r="C213" s="98" t="str">
        <f t="shared" si="6"/>
        <v/>
      </c>
      <c r="D213" s="98" t="str">
        <f t="shared" si="7"/>
        <v/>
      </c>
    </row>
    <row r="214" spans="3:4" ht="15.75" x14ac:dyDescent="0.2">
      <c r="C214" s="98" t="str">
        <f t="shared" si="6"/>
        <v/>
      </c>
      <c r="D214" s="98" t="str">
        <f t="shared" si="7"/>
        <v/>
      </c>
    </row>
    <row r="215" spans="3:4" ht="15.75" x14ac:dyDescent="0.2">
      <c r="C215" s="98" t="str">
        <f t="shared" si="6"/>
        <v/>
      </c>
      <c r="D215" s="98" t="str">
        <f t="shared" si="7"/>
        <v/>
      </c>
    </row>
    <row r="216" spans="3:4" ht="15.75" x14ac:dyDescent="0.2">
      <c r="C216" s="98" t="str">
        <f t="shared" si="6"/>
        <v/>
      </c>
      <c r="D216" s="98" t="str">
        <f t="shared" si="7"/>
        <v/>
      </c>
    </row>
    <row r="217" spans="3:4" ht="15.75" x14ac:dyDescent="0.2">
      <c r="C217" s="98" t="str">
        <f t="shared" si="6"/>
        <v/>
      </c>
      <c r="D217" s="98" t="str">
        <f t="shared" si="7"/>
        <v/>
      </c>
    </row>
    <row r="218" spans="3:4" ht="15.75" x14ac:dyDescent="0.2">
      <c r="C218" s="98" t="str">
        <f t="shared" si="6"/>
        <v/>
      </c>
      <c r="D218" s="98" t="str">
        <f t="shared" si="7"/>
        <v/>
      </c>
    </row>
    <row r="219" spans="3:4" ht="15.75" x14ac:dyDescent="0.2">
      <c r="C219" s="98" t="str">
        <f t="shared" si="6"/>
        <v/>
      </c>
      <c r="D219" s="98" t="str">
        <f t="shared" si="7"/>
        <v/>
      </c>
    </row>
    <row r="220" spans="3:4" ht="15.75" x14ac:dyDescent="0.2">
      <c r="C220" s="98" t="str">
        <f t="shared" si="6"/>
        <v/>
      </c>
      <c r="D220" s="98" t="str">
        <f t="shared" si="7"/>
        <v/>
      </c>
    </row>
    <row r="221" spans="3:4" ht="15.75" x14ac:dyDescent="0.2">
      <c r="C221" s="98" t="str">
        <f t="shared" si="6"/>
        <v/>
      </c>
      <c r="D221" s="98" t="str">
        <f t="shared" si="7"/>
        <v/>
      </c>
    </row>
    <row r="222" spans="3:4" ht="15.75" x14ac:dyDescent="0.2">
      <c r="C222" s="98" t="str">
        <f t="shared" si="6"/>
        <v/>
      </c>
      <c r="D222" s="98" t="str">
        <f t="shared" si="7"/>
        <v/>
      </c>
    </row>
    <row r="223" spans="3:4" ht="15.75" x14ac:dyDescent="0.2">
      <c r="C223" s="98" t="str">
        <f t="shared" si="6"/>
        <v/>
      </c>
      <c r="D223" s="98" t="str">
        <f t="shared" si="7"/>
        <v/>
      </c>
    </row>
    <row r="224" spans="3:4" ht="15.75" x14ac:dyDescent="0.2">
      <c r="C224" s="98" t="str">
        <f t="shared" si="6"/>
        <v/>
      </c>
      <c r="D224" s="98" t="str">
        <f t="shared" si="7"/>
        <v/>
      </c>
    </row>
    <row r="225" spans="3:4" ht="15.75" x14ac:dyDescent="0.2">
      <c r="C225" s="98" t="str">
        <f t="shared" si="6"/>
        <v/>
      </c>
      <c r="D225" s="98" t="str">
        <f t="shared" si="7"/>
        <v/>
      </c>
    </row>
    <row r="226" spans="3:4" ht="15.75" x14ac:dyDescent="0.2">
      <c r="C226" s="98" t="str">
        <f t="shared" si="6"/>
        <v/>
      </c>
      <c r="D226" s="98" t="str">
        <f t="shared" si="7"/>
        <v/>
      </c>
    </row>
    <row r="227" spans="3:4" ht="15.75" x14ac:dyDescent="0.2">
      <c r="C227" s="98" t="str">
        <f t="shared" ref="C227:C290" si="8">IF(COUNTIF(E227:BA227,"YES")=0,"",COUNTIF(E227:BA227,"YES"))</f>
        <v/>
      </c>
      <c r="D227" s="98" t="str">
        <f t="shared" ref="D227:D290" si="9">IF(COUNTIF(E227:BA227,"NO")=0,"",COUNTIF(E227:BA227,"NO"))</f>
        <v/>
      </c>
    </row>
    <row r="228" spans="3:4" ht="15.75" x14ac:dyDescent="0.2">
      <c r="C228" s="98" t="str">
        <f t="shared" si="8"/>
        <v/>
      </c>
      <c r="D228" s="98" t="str">
        <f t="shared" si="9"/>
        <v/>
      </c>
    </row>
    <row r="229" spans="3:4" ht="15.75" x14ac:dyDescent="0.2">
      <c r="C229" s="98" t="str">
        <f t="shared" si="8"/>
        <v/>
      </c>
      <c r="D229" s="98" t="str">
        <f t="shared" si="9"/>
        <v/>
      </c>
    </row>
    <row r="230" spans="3:4" ht="15.75" x14ac:dyDescent="0.2">
      <c r="C230" s="98" t="str">
        <f t="shared" si="8"/>
        <v/>
      </c>
      <c r="D230" s="98" t="str">
        <f t="shared" si="9"/>
        <v/>
      </c>
    </row>
    <row r="231" spans="3:4" ht="15.75" x14ac:dyDescent="0.2">
      <c r="C231" s="98" t="str">
        <f t="shared" si="8"/>
        <v/>
      </c>
      <c r="D231" s="98" t="str">
        <f t="shared" si="9"/>
        <v/>
      </c>
    </row>
    <row r="232" spans="3:4" ht="15.75" x14ac:dyDescent="0.2">
      <c r="C232" s="98" t="str">
        <f t="shared" si="8"/>
        <v/>
      </c>
      <c r="D232" s="98" t="str">
        <f t="shared" si="9"/>
        <v/>
      </c>
    </row>
    <row r="233" spans="3:4" ht="15.75" x14ac:dyDescent="0.2">
      <c r="C233" s="98" t="str">
        <f t="shared" si="8"/>
        <v/>
      </c>
      <c r="D233" s="98" t="str">
        <f t="shared" si="9"/>
        <v/>
      </c>
    </row>
    <row r="234" spans="3:4" ht="15.75" x14ac:dyDescent="0.2">
      <c r="C234" s="98" t="str">
        <f t="shared" si="8"/>
        <v/>
      </c>
      <c r="D234" s="98" t="str">
        <f t="shared" si="9"/>
        <v/>
      </c>
    </row>
    <row r="235" spans="3:4" ht="15.75" x14ac:dyDescent="0.2">
      <c r="C235" s="98" t="str">
        <f t="shared" si="8"/>
        <v/>
      </c>
      <c r="D235" s="98" t="str">
        <f t="shared" si="9"/>
        <v/>
      </c>
    </row>
    <row r="236" spans="3:4" ht="15.75" x14ac:dyDescent="0.2">
      <c r="C236" s="98" t="str">
        <f t="shared" si="8"/>
        <v/>
      </c>
      <c r="D236" s="98" t="str">
        <f t="shared" si="9"/>
        <v/>
      </c>
    </row>
    <row r="237" spans="3:4" ht="15.75" x14ac:dyDescent="0.2">
      <c r="C237" s="98" t="str">
        <f t="shared" si="8"/>
        <v/>
      </c>
      <c r="D237" s="98" t="str">
        <f t="shared" si="9"/>
        <v/>
      </c>
    </row>
    <row r="238" spans="3:4" ht="15.75" x14ac:dyDescent="0.2">
      <c r="C238" s="98" t="str">
        <f t="shared" si="8"/>
        <v/>
      </c>
      <c r="D238" s="98" t="str">
        <f t="shared" si="9"/>
        <v/>
      </c>
    </row>
    <row r="239" spans="3:4" ht="15.75" x14ac:dyDescent="0.2">
      <c r="C239" s="98" t="str">
        <f t="shared" si="8"/>
        <v/>
      </c>
      <c r="D239" s="98" t="str">
        <f t="shared" si="9"/>
        <v/>
      </c>
    </row>
    <row r="240" spans="3:4" ht="15.75" x14ac:dyDescent="0.2">
      <c r="C240" s="98" t="str">
        <f t="shared" si="8"/>
        <v/>
      </c>
      <c r="D240" s="98" t="str">
        <f t="shared" si="9"/>
        <v/>
      </c>
    </row>
    <row r="241" spans="3:4" ht="15.75" x14ac:dyDescent="0.2">
      <c r="C241" s="98" t="str">
        <f t="shared" si="8"/>
        <v/>
      </c>
      <c r="D241" s="98" t="str">
        <f t="shared" si="9"/>
        <v/>
      </c>
    </row>
    <row r="242" spans="3:4" ht="15.75" x14ac:dyDescent="0.2">
      <c r="C242" s="98" t="str">
        <f t="shared" si="8"/>
        <v/>
      </c>
      <c r="D242" s="98" t="str">
        <f t="shared" si="9"/>
        <v/>
      </c>
    </row>
    <row r="243" spans="3:4" ht="15.75" x14ac:dyDescent="0.2">
      <c r="C243" s="98" t="str">
        <f t="shared" si="8"/>
        <v/>
      </c>
      <c r="D243" s="98" t="str">
        <f t="shared" si="9"/>
        <v/>
      </c>
    </row>
    <row r="244" spans="3:4" ht="15.75" x14ac:dyDescent="0.2">
      <c r="C244" s="98" t="str">
        <f t="shared" si="8"/>
        <v/>
      </c>
      <c r="D244" s="98" t="str">
        <f t="shared" si="9"/>
        <v/>
      </c>
    </row>
    <row r="245" spans="3:4" ht="15.75" x14ac:dyDescent="0.2">
      <c r="C245" s="98" t="str">
        <f t="shared" si="8"/>
        <v/>
      </c>
      <c r="D245" s="98" t="str">
        <f t="shared" si="9"/>
        <v/>
      </c>
    </row>
    <row r="246" spans="3:4" ht="15.75" x14ac:dyDescent="0.2">
      <c r="C246" s="98" t="str">
        <f t="shared" si="8"/>
        <v/>
      </c>
      <c r="D246" s="98" t="str">
        <f t="shared" si="9"/>
        <v/>
      </c>
    </row>
    <row r="247" spans="3:4" ht="15.75" x14ac:dyDescent="0.2">
      <c r="C247" s="98" t="str">
        <f t="shared" si="8"/>
        <v/>
      </c>
      <c r="D247" s="98" t="str">
        <f t="shared" si="9"/>
        <v/>
      </c>
    </row>
    <row r="248" spans="3:4" ht="15.75" x14ac:dyDescent="0.2">
      <c r="C248" s="98" t="str">
        <f t="shared" si="8"/>
        <v/>
      </c>
      <c r="D248" s="98" t="str">
        <f t="shared" si="9"/>
        <v/>
      </c>
    </row>
    <row r="249" spans="3:4" ht="15.75" x14ac:dyDescent="0.2">
      <c r="C249" s="98" t="str">
        <f t="shared" si="8"/>
        <v/>
      </c>
      <c r="D249" s="98" t="str">
        <f t="shared" si="9"/>
        <v/>
      </c>
    </row>
    <row r="250" spans="3:4" ht="15.75" x14ac:dyDescent="0.2">
      <c r="C250" s="98" t="str">
        <f t="shared" si="8"/>
        <v/>
      </c>
      <c r="D250" s="98" t="str">
        <f t="shared" si="9"/>
        <v/>
      </c>
    </row>
    <row r="251" spans="3:4" ht="15.75" x14ac:dyDescent="0.2">
      <c r="C251" s="98" t="str">
        <f t="shared" si="8"/>
        <v/>
      </c>
      <c r="D251" s="98" t="str">
        <f t="shared" si="9"/>
        <v/>
      </c>
    </row>
    <row r="252" spans="3:4" ht="15.75" x14ac:dyDescent="0.2">
      <c r="C252" s="98" t="str">
        <f t="shared" si="8"/>
        <v/>
      </c>
      <c r="D252" s="98" t="str">
        <f t="shared" si="9"/>
        <v/>
      </c>
    </row>
    <row r="253" spans="3:4" ht="15.75" x14ac:dyDescent="0.2">
      <c r="C253" s="98" t="str">
        <f t="shared" si="8"/>
        <v/>
      </c>
      <c r="D253" s="98" t="str">
        <f t="shared" si="9"/>
        <v/>
      </c>
    </row>
    <row r="254" spans="3:4" ht="15.75" x14ac:dyDescent="0.2">
      <c r="C254" s="98" t="str">
        <f t="shared" si="8"/>
        <v/>
      </c>
      <c r="D254" s="98" t="str">
        <f t="shared" si="9"/>
        <v/>
      </c>
    </row>
    <row r="255" spans="3:4" ht="15.75" x14ac:dyDescent="0.2">
      <c r="C255" s="98" t="str">
        <f t="shared" si="8"/>
        <v/>
      </c>
      <c r="D255" s="98" t="str">
        <f t="shared" si="9"/>
        <v/>
      </c>
    </row>
    <row r="256" spans="3:4" ht="15.75" x14ac:dyDescent="0.2">
      <c r="C256" s="98" t="str">
        <f t="shared" si="8"/>
        <v/>
      </c>
      <c r="D256" s="98" t="str">
        <f t="shared" si="9"/>
        <v/>
      </c>
    </row>
    <row r="257" spans="3:4" ht="15.75" x14ac:dyDescent="0.2">
      <c r="C257" s="98" t="str">
        <f t="shared" si="8"/>
        <v/>
      </c>
      <c r="D257" s="98" t="str">
        <f t="shared" si="9"/>
        <v/>
      </c>
    </row>
    <row r="258" spans="3:4" ht="15.75" x14ac:dyDescent="0.2">
      <c r="C258" s="98" t="str">
        <f t="shared" si="8"/>
        <v/>
      </c>
      <c r="D258" s="98" t="str">
        <f t="shared" si="9"/>
        <v/>
      </c>
    </row>
    <row r="259" spans="3:4" ht="15.75" x14ac:dyDescent="0.2">
      <c r="C259" s="98" t="str">
        <f t="shared" si="8"/>
        <v/>
      </c>
      <c r="D259" s="98" t="str">
        <f t="shared" si="9"/>
        <v/>
      </c>
    </row>
    <row r="260" spans="3:4" ht="15.75" x14ac:dyDescent="0.2">
      <c r="C260" s="98" t="str">
        <f t="shared" si="8"/>
        <v/>
      </c>
      <c r="D260" s="98" t="str">
        <f t="shared" si="9"/>
        <v/>
      </c>
    </row>
    <row r="261" spans="3:4" ht="15.75" x14ac:dyDescent="0.2">
      <c r="C261" s="98" t="str">
        <f t="shared" si="8"/>
        <v/>
      </c>
      <c r="D261" s="98" t="str">
        <f t="shared" si="9"/>
        <v/>
      </c>
    </row>
    <row r="262" spans="3:4" ht="15.75" x14ac:dyDescent="0.2">
      <c r="C262" s="98" t="str">
        <f t="shared" si="8"/>
        <v/>
      </c>
      <c r="D262" s="98" t="str">
        <f t="shared" si="9"/>
        <v/>
      </c>
    </row>
    <row r="263" spans="3:4" ht="15.75" x14ac:dyDescent="0.2">
      <c r="C263" s="98" t="str">
        <f t="shared" si="8"/>
        <v/>
      </c>
      <c r="D263" s="98" t="str">
        <f t="shared" si="9"/>
        <v/>
      </c>
    </row>
    <row r="264" spans="3:4" ht="15.75" x14ac:dyDescent="0.2">
      <c r="C264" s="98" t="str">
        <f t="shared" si="8"/>
        <v/>
      </c>
      <c r="D264" s="98" t="str">
        <f t="shared" si="9"/>
        <v/>
      </c>
    </row>
    <row r="265" spans="3:4" ht="15.75" x14ac:dyDescent="0.2">
      <c r="C265" s="98" t="str">
        <f t="shared" si="8"/>
        <v/>
      </c>
      <c r="D265" s="98" t="str">
        <f t="shared" si="9"/>
        <v/>
      </c>
    </row>
    <row r="266" spans="3:4" ht="15.75" x14ac:dyDescent="0.2">
      <c r="C266" s="98" t="str">
        <f t="shared" si="8"/>
        <v/>
      </c>
      <c r="D266" s="98" t="str">
        <f t="shared" si="9"/>
        <v/>
      </c>
    </row>
    <row r="267" spans="3:4" ht="15.75" x14ac:dyDescent="0.2">
      <c r="C267" s="98" t="str">
        <f t="shared" si="8"/>
        <v/>
      </c>
      <c r="D267" s="98" t="str">
        <f t="shared" si="9"/>
        <v/>
      </c>
    </row>
    <row r="268" spans="3:4" ht="15.75" x14ac:dyDescent="0.2">
      <c r="C268" s="98" t="str">
        <f t="shared" si="8"/>
        <v/>
      </c>
      <c r="D268" s="98" t="str">
        <f t="shared" si="9"/>
        <v/>
      </c>
    </row>
    <row r="269" spans="3:4" ht="15.75" x14ac:dyDescent="0.2">
      <c r="C269" s="98" t="str">
        <f t="shared" si="8"/>
        <v/>
      </c>
      <c r="D269" s="98" t="str">
        <f t="shared" si="9"/>
        <v/>
      </c>
    </row>
    <row r="270" spans="3:4" ht="15.75" x14ac:dyDescent="0.2">
      <c r="C270" s="98" t="str">
        <f t="shared" si="8"/>
        <v/>
      </c>
      <c r="D270" s="98" t="str">
        <f t="shared" si="9"/>
        <v/>
      </c>
    </row>
    <row r="271" spans="3:4" ht="15.75" x14ac:dyDescent="0.2">
      <c r="C271" s="98" t="str">
        <f t="shared" si="8"/>
        <v/>
      </c>
      <c r="D271" s="98" t="str">
        <f t="shared" si="9"/>
        <v/>
      </c>
    </row>
    <row r="272" spans="3:4" ht="15.75" x14ac:dyDescent="0.2">
      <c r="C272" s="98" t="str">
        <f t="shared" si="8"/>
        <v/>
      </c>
      <c r="D272" s="98" t="str">
        <f t="shared" si="9"/>
        <v/>
      </c>
    </row>
    <row r="273" spans="3:4" ht="15.75" x14ac:dyDescent="0.2">
      <c r="C273" s="98" t="str">
        <f t="shared" si="8"/>
        <v/>
      </c>
      <c r="D273" s="98" t="str">
        <f t="shared" si="9"/>
        <v/>
      </c>
    </row>
    <row r="274" spans="3:4" ht="15.75" x14ac:dyDescent="0.2">
      <c r="C274" s="98" t="str">
        <f t="shared" si="8"/>
        <v/>
      </c>
      <c r="D274" s="98" t="str">
        <f t="shared" si="9"/>
        <v/>
      </c>
    </row>
    <row r="275" spans="3:4" ht="15.75" x14ac:dyDescent="0.2">
      <c r="C275" s="98" t="str">
        <f t="shared" si="8"/>
        <v/>
      </c>
      <c r="D275" s="98" t="str">
        <f t="shared" si="9"/>
        <v/>
      </c>
    </row>
    <row r="276" spans="3:4" ht="15.75" x14ac:dyDescent="0.2">
      <c r="C276" s="98" t="str">
        <f t="shared" si="8"/>
        <v/>
      </c>
      <c r="D276" s="98" t="str">
        <f t="shared" si="9"/>
        <v/>
      </c>
    </row>
    <row r="277" spans="3:4" ht="15.75" x14ac:dyDescent="0.2">
      <c r="C277" s="98" t="str">
        <f t="shared" si="8"/>
        <v/>
      </c>
      <c r="D277" s="98" t="str">
        <f t="shared" si="9"/>
        <v/>
      </c>
    </row>
    <row r="278" spans="3:4" ht="15.75" x14ac:dyDescent="0.2">
      <c r="C278" s="98" t="str">
        <f t="shared" si="8"/>
        <v/>
      </c>
      <c r="D278" s="98" t="str">
        <f t="shared" si="9"/>
        <v/>
      </c>
    </row>
    <row r="279" spans="3:4" ht="15.75" x14ac:dyDescent="0.2">
      <c r="C279" s="98" t="str">
        <f t="shared" si="8"/>
        <v/>
      </c>
      <c r="D279" s="98" t="str">
        <f t="shared" si="9"/>
        <v/>
      </c>
    </row>
    <row r="280" spans="3:4" ht="15.75" x14ac:dyDescent="0.2">
      <c r="C280" s="98" t="str">
        <f t="shared" si="8"/>
        <v/>
      </c>
      <c r="D280" s="98" t="str">
        <f t="shared" si="9"/>
        <v/>
      </c>
    </row>
    <row r="281" spans="3:4" ht="15.75" x14ac:dyDescent="0.2">
      <c r="C281" s="98" t="str">
        <f t="shared" si="8"/>
        <v/>
      </c>
      <c r="D281" s="98" t="str">
        <f t="shared" si="9"/>
        <v/>
      </c>
    </row>
    <row r="282" spans="3:4" ht="15.75" x14ac:dyDescent="0.2">
      <c r="C282" s="98" t="str">
        <f t="shared" si="8"/>
        <v/>
      </c>
      <c r="D282" s="98" t="str">
        <f t="shared" si="9"/>
        <v/>
      </c>
    </row>
    <row r="283" spans="3:4" ht="15.75" x14ac:dyDescent="0.2">
      <c r="C283" s="98" t="str">
        <f t="shared" si="8"/>
        <v/>
      </c>
      <c r="D283" s="98" t="str">
        <f t="shared" si="9"/>
        <v/>
      </c>
    </row>
    <row r="284" spans="3:4" ht="15.75" x14ac:dyDescent="0.2">
      <c r="C284" s="98" t="str">
        <f t="shared" si="8"/>
        <v/>
      </c>
      <c r="D284" s="98" t="str">
        <f t="shared" si="9"/>
        <v/>
      </c>
    </row>
    <row r="285" spans="3:4" ht="15.75" x14ac:dyDescent="0.2">
      <c r="C285" s="98" t="str">
        <f t="shared" si="8"/>
        <v/>
      </c>
      <c r="D285" s="98" t="str">
        <f t="shared" si="9"/>
        <v/>
      </c>
    </row>
    <row r="286" spans="3:4" ht="15.75" x14ac:dyDescent="0.2">
      <c r="C286" s="98" t="str">
        <f t="shared" si="8"/>
        <v/>
      </c>
      <c r="D286" s="98" t="str">
        <f t="shared" si="9"/>
        <v/>
      </c>
    </row>
    <row r="287" spans="3:4" ht="15.75" x14ac:dyDescent="0.2">
      <c r="C287" s="98" t="str">
        <f t="shared" si="8"/>
        <v/>
      </c>
      <c r="D287" s="98" t="str">
        <f t="shared" si="9"/>
        <v/>
      </c>
    </row>
    <row r="288" spans="3:4" ht="15.75" x14ac:dyDescent="0.2">
      <c r="C288" s="98" t="str">
        <f t="shared" si="8"/>
        <v/>
      </c>
      <c r="D288" s="98" t="str">
        <f t="shared" si="9"/>
        <v/>
      </c>
    </row>
    <row r="289" spans="3:4" ht="15.75" x14ac:dyDescent="0.2">
      <c r="C289" s="98" t="str">
        <f t="shared" si="8"/>
        <v/>
      </c>
      <c r="D289" s="98" t="str">
        <f t="shared" si="9"/>
        <v/>
      </c>
    </row>
    <row r="290" spans="3:4" ht="15.75" x14ac:dyDescent="0.2">
      <c r="C290" s="98" t="str">
        <f t="shared" si="8"/>
        <v/>
      </c>
      <c r="D290" s="98" t="str">
        <f t="shared" si="9"/>
        <v/>
      </c>
    </row>
    <row r="291" spans="3:4" ht="15.75" x14ac:dyDescent="0.2">
      <c r="C291" s="98" t="str">
        <f t="shared" ref="C291:C334" si="10">IF(COUNTIF(E291:BA291,"YES")=0,"",COUNTIF(E291:BA291,"YES"))</f>
        <v/>
      </c>
      <c r="D291" s="98" t="str">
        <f t="shared" ref="D291:D334" si="11">IF(COUNTIF(E291:BA291,"NO")=0,"",COUNTIF(E291:BA291,"NO"))</f>
        <v/>
      </c>
    </row>
    <row r="292" spans="3:4" ht="15.75" x14ac:dyDescent="0.2">
      <c r="C292" s="98" t="str">
        <f t="shared" si="10"/>
        <v/>
      </c>
      <c r="D292" s="98" t="str">
        <f t="shared" si="11"/>
        <v/>
      </c>
    </row>
    <row r="293" spans="3:4" ht="15.75" x14ac:dyDescent="0.2">
      <c r="C293" s="98" t="str">
        <f t="shared" si="10"/>
        <v/>
      </c>
      <c r="D293" s="98" t="str">
        <f t="shared" si="11"/>
        <v/>
      </c>
    </row>
    <row r="294" spans="3:4" ht="15.75" x14ac:dyDescent="0.2">
      <c r="C294" s="98" t="str">
        <f t="shared" si="10"/>
        <v/>
      </c>
      <c r="D294" s="98" t="str">
        <f t="shared" si="11"/>
        <v/>
      </c>
    </row>
    <row r="295" spans="3:4" ht="15.75" x14ac:dyDescent="0.2">
      <c r="C295" s="98" t="str">
        <f t="shared" si="10"/>
        <v/>
      </c>
      <c r="D295" s="98" t="str">
        <f t="shared" si="11"/>
        <v/>
      </c>
    </row>
    <row r="296" spans="3:4" ht="15.75" x14ac:dyDescent="0.2">
      <c r="C296" s="98" t="str">
        <f t="shared" si="10"/>
        <v/>
      </c>
      <c r="D296" s="98" t="str">
        <f t="shared" si="11"/>
        <v/>
      </c>
    </row>
    <row r="297" spans="3:4" ht="15.75" x14ac:dyDescent="0.2">
      <c r="C297" s="98" t="str">
        <f t="shared" si="10"/>
        <v/>
      </c>
      <c r="D297" s="98" t="str">
        <f t="shared" si="11"/>
        <v/>
      </c>
    </row>
    <row r="298" spans="3:4" ht="15.75" x14ac:dyDescent="0.2">
      <c r="C298" s="98" t="str">
        <f t="shared" si="10"/>
        <v/>
      </c>
      <c r="D298" s="98" t="str">
        <f t="shared" si="11"/>
        <v/>
      </c>
    </row>
    <row r="299" spans="3:4" ht="15.75" x14ac:dyDescent="0.2">
      <c r="C299" s="98" t="str">
        <f t="shared" si="10"/>
        <v/>
      </c>
      <c r="D299" s="98" t="str">
        <f t="shared" si="11"/>
        <v/>
      </c>
    </row>
    <row r="300" spans="3:4" ht="15.75" x14ac:dyDescent="0.2">
      <c r="C300" s="98" t="str">
        <f t="shared" si="10"/>
        <v/>
      </c>
      <c r="D300" s="98" t="str">
        <f t="shared" si="11"/>
        <v/>
      </c>
    </row>
    <row r="301" spans="3:4" ht="15.75" x14ac:dyDescent="0.2">
      <c r="C301" s="98" t="str">
        <f t="shared" si="10"/>
        <v/>
      </c>
      <c r="D301" s="98" t="str">
        <f t="shared" si="11"/>
        <v/>
      </c>
    </row>
    <row r="302" spans="3:4" ht="15.75" x14ac:dyDescent="0.2">
      <c r="C302" s="98" t="str">
        <f t="shared" si="10"/>
        <v/>
      </c>
      <c r="D302" s="98" t="str">
        <f t="shared" si="11"/>
        <v/>
      </c>
    </row>
    <row r="303" spans="3:4" ht="15.75" x14ac:dyDescent="0.2">
      <c r="C303" s="98" t="str">
        <f t="shared" si="10"/>
        <v/>
      </c>
      <c r="D303" s="98" t="str">
        <f t="shared" si="11"/>
        <v/>
      </c>
    </row>
    <row r="304" spans="3:4" ht="15.75" x14ac:dyDescent="0.2">
      <c r="C304" s="98" t="str">
        <f t="shared" si="10"/>
        <v/>
      </c>
      <c r="D304" s="98" t="str">
        <f t="shared" si="11"/>
        <v/>
      </c>
    </row>
    <row r="305" spans="3:4" ht="15.75" x14ac:dyDescent="0.2">
      <c r="C305" s="98" t="str">
        <f t="shared" si="10"/>
        <v/>
      </c>
      <c r="D305" s="98" t="str">
        <f t="shared" si="11"/>
        <v/>
      </c>
    </row>
    <row r="306" spans="3:4" ht="15.75" x14ac:dyDescent="0.2">
      <c r="C306" s="98" t="str">
        <f t="shared" si="10"/>
        <v/>
      </c>
      <c r="D306" s="98" t="str">
        <f t="shared" si="11"/>
        <v/>
      </c>
    </row>
    <row r="307" spans="3:4" ht="15.75" x14ac:dyDescent="0.2">
      <c r="C307" s="98" t="str">
        <f t="shared" si="10"/>
        <v/>
      </c>
      <c r="D307" s="98" t="str">
        <f t="shared" si="11"/>
        <v/>
      </c>
    </row>
    <row r="308" spans="3:4" ht="15.75" x14ac:dyDescent="0.2">
      <c r="C308" s="98" t="str">
        <f t="shared" si="10"/>
        <v/>
      </c>
      <c r="D308" s="98" t="str">
        <f t="shared" si="11"/>
        <v/>
      </c>
    </row>
    <row r="309" spans="3:4" ht="15.75" x14ac:dyDescent="0.2">
      <c r="C309" s="98" t="str">
        <f t="shared" si="10"/>
        <v/>
      </c>
      <c r="D309" s="98" t="str">
        <f t="shared" si="11"/>
        <v/>
      </c>
    </row>
    <row r="310" spans="3:4" ht="15.75" x14ac:dyDescent="0.2">
      <c r="C310" s="98" t="str">
        <f t="shared" si="10"/>
        <v/>
      </c>
      <c r="D310" s="98" t="str">
        <f t="shared" si="11"/>
        <v/>
      </c>
    </row>
    <row r="311" spans="3:4" ht="15.75" x14ac:dyDescent="0.2">
      <c r="C311" s="98" t="str">
        <f t="shared" si="10"/>
        <v/>
      </c>
      <c r="D311" s="98" t="str">
        <f t="shared" si="11"/>
        <v/>
      </c>
    </row>
    <row r="312" spans="3:4" ht="15.75" x14ac:dyDescent="0.2">
      <c r="C312" s="98" t="str">
        <f t="shared" si="10"/>
        <v/>
      </c>
      <c r="D312" s="98" t="str">
        <f t="shared" si="11"/>
        <v/>
      </c>
    </row>
    <row r="313" spans="3:4" ht="15.75" x14ac:dyDescent="0.2">
      <c r="C313" s="98" t="str">
        <f t="shared" si="10"/>
        <v/>
      </c>
      <c r="D313" s="98" t="str">
        <f t="shared" si="11"/>
        <v/>
      </c>
    </row>
    <row r="314" spans="3:4" ht="15.75" x14ac:dyDescent="0.2">
      <c r="C314" s="98" t="str">
        <f t="shared" si="10"/>
        <v/>
      </c>
      <c r="D314" s="98" t="str">
        <f t="shared" si="11"/>
        <v/>
      </c>
    </row>
    <row r="315" spans="3:4" ht="15.75" x14ac:dyDescent="0.2">
      <c r="C315" s="98" t="str">
        <f t="shared" si="10"/>
        <v/>
      </c>
      <c r="D315" s="98" t="str">
        <f t="shared" si="11"/>
        <v/>
      </c>
    </row>
    <row r="316" spans="3:4" ht="15.75" x14ac:dyDescent="0.2">
      <c r="C316" s="98" t="str">
        <f t="shared" si="10"/>
        <v/>
      </c>
      <c r="D316" s="98" t="str">
        <f t="shared" si="11"/>
        <v/>
      </c>
    </row>
    <row r="317" spans="3:4" ht="15.75" x14ac:dyDescent="0.2">
      <c r="C317" s="98" t="str">
        <f t="shared" si="10"/>
        <v/>
      </c>
      <c r="D317" s="98" t="str">
        <f t="shared" si="11"/>
        <v/>
      </c>
    </row>
    <row r="318" spans="3:4" ht="15.75" x14ac:dyDescent="0.2">
      <c r="C318" s="98" t="str">
        <f t="shared" si="10"/>
        <v/>
      </c>
      <c r="D318" s="98" t="str">
        <f t="shared" si="11"/>
        <v/>
      </c>
    </row>
    <row r="319" spans="3:4" ht="15.75" x14ac:dyDescent="0.2">
      <c r="C319" s="98" t="str">
        <f t="shared" si="10"/>
        <v/>
      </c>
      <c r="D319" s="98" t="str">
        <f t="shared" si="11"/>
        <v/>
      </c>
    </row>
    <row r="320" spans="3:4" ht="15.75" x14ac:dyDescent="0.2">
      <c r="C320" s="98" t="str">
        <f t="shared" si="10"/>
        <v/>
      </c>
      <c r="D320" s="98" t="str">
        <f t="shared" si="11"/>
        <v/>
      </c>
    </row>
    <row r="321" spans="3:4" ht="15.75" x14ac:dyDescent="0.2">
      <c r="C321" s="98" t="str">
        <f t="shared" si="10"/>
        <v/>
      </c>
      <c r="D321" s="98" t="str">
        <f t="shared" si="11"/>
        <v/>
      </c>
    </row>
    <row r="322" spans="3:4" ht="15.75" x14ac:dyDescent="0.2">
      <c r="C322" s="98" t="str">
        <f t="shared" si="10"/>
        <v/>
      </c>
      <c r="D322" s="98" t="str">
        <f t="shared" si="11"/>
        <v/>
      </c>
    </row>
    <row r="323" spans="3:4" ht="15.75" x14ac:dyDescent="0.2">
      <c r="C323" s="98" t="str">
        <f t="shared" si="10"/>
        <v/>
      </c>
      <c r="D323" s="98" t="str">
        <f t="shared" si="11"/>
        <v/>
      </c>
    </row>
    <row r="324" spans="3:4" ht="15.75" x14ac:dyDescent="0.2">
      <c r="C324" s="98" t="str">
        <f t="shared" si="10"/>
        <v/>
      </c>
      <c r="D324" s="98" t="str">
        <f t="shared" si="11"/>
        <v/>
      </c>
    </row>
    <row r="325" spans="3:4" ht="15.75" x14ac:dyDescent="0.2">
      <c r="C325" s="98" t="str">
        <f t="shared" si="10"/>
        <v/>
      </c>
      <c r="D325" s="98" t="str">
        <f t="shared" si="11"/>
        <v/>
      </c>
    </row>
    <row r="326" spans="3:4" ht="15.75" x14ac:dyDescent="0.2">
      <c r="C326" s="98" t="str">
        <f t="shared" si="10"/>
        <v/>
      </c>
      <c r="D326" s="98" t="str">
        <f t="shared" si="11"/>
        <v/>
      </c>
    </row>
    <row r="327" spans="3:4" ht="15.75" x14ac:dyDescent="0.2">
      <c r="C327" s="98" t="str">
        <f t="shared" si="10"/>
        <v/>
      </c>
      <c r="D327" s="98" t="str">
        <f t="shared" si="11"/>
        <v/>
      </c>
    </row>
    <row r="328" spans="3:4" ht="15.75" x14ac:dyDescent="0.2">
      <c r="C328" s="98" t="str">
        <f t="shared" si="10"/>
        <v/>
      </c>
      <c r="D328" s="98" t="str">
        <f t="shared" si="11"/>
        <v/>
      </c>
    </row>
    <row r="329" spans="3:4" ht="15.75" x14ac:dyDescent="0.2">
      <c r="C329" s="98" t="str">
        <f t="shared" si="10"/>
        <v/>
      </c>
      <c r="D329" s="98" t="str">
        <f t="shared" si="11"/>
        <v/>
      </c>
    </row>
    <row r="330" spans="3:4" ht="15.75" x14ac:dyDescent="0.2">
      <c r="C330" s="98" t="str">
        <f t="shared" si="10"/>
        <v/>
      </c>
      <c r="D330" s="98" t="str">
        <f t="shared" si="11"/>
        <v/>
      </c>
    </row>
    <row r="331" spans="3:4" ht="15.75" x14ac:dyDescent="0.2">
      <c r="C331" s="98" t="str">
        <f t="shared" si="10"/>
        <v/>
      </c>
      <c r="D331" s="98" t="str">
        <f t="shared" si="11"/>
        <v/>
      </c>
    </row>
    <row r="332" spans="3:4" ht="15.75" x14ac:dyDescent="0.2">
      <c r="C332" s="98" t="str">
        <f t="shared" si="10"/>
        <v/>
      </c>
      <c r="D332" s="98" t="str">
        <f t="shared" si="11"/>
        <v/>
      </c>
    </row>
    <row r="333" spans="3:4" ht="15.75" x14ac:dyDescent="0.2">
      <c r="C333" s="98" t="str">
        <f t="shared" si="10"/>
        <v/>
      </c>
      <c r="D333" s="98" t="str">
        <f t="shared" si="11"/>
        <v/>
      </c>
    </row>
    <row r="334" spans="3:4" ht="15.75" x14ac:dyDescent="0.2">
      <c r="C334" s="98" t="str">
        <f t="shared" si="10"/>
        <v/>
      </c>
      <c r="D334" s="98" t="str">
        <f t="shared" si="11"/>
        <v/>
      </c>
    </row>
  </sheetData>
  <dataConsolidate/>
  <mergeCells count="3">
    <mergeCell ref="A6:B6"/>
    <mergeCell ref="A4:B4"/>
    <mergeCell ref="A34:B34"/>
  </mergeCells>
  <phoneticPr fontId="4" type="noConversion"/>
  <conditionalFormatting sqref="E34:H36 E7:H32">
    <cfRule type="cellIs" dxfId="67" priority="3" stopIfTrue="1" operator="equal">
      <formula>"YES"</formula>
    </cfRule>
    <cfRule type="cellIs" dxfId="66" priority="4" stopIfTrue="1" operator="equal">
      <formula>"NO"</formula>
    </cfRule>
  </conditionalFormatting>
  <conditionalFormatting sqref="E33:H33">
    <cfRule type="cellIs" dxfId="65" priority="1" stopIfTrue="1" operator="equal">
      <formula>"YES"</formula>
    </cfRule>
    <cfRule type="cellIs" dxfId="64" priority="2" stopIfTrue="1" operator="equal">
      <formula>"NO"</formula>
    </cfRule>
  </conditionalFormatting>
  <dataValidations count="1">
    <dataValidation type="list" allowBlank="1" showInputMessage="1" showErrorMessage="1" sqref="E7:H36" xr:uid="{00000000-0002-0000-0600-000000000000}">
      <formula1>$D$1:$D$3</formula1>
    </dataValidation>
  </dataValidations>
  <pageMargins left="0.75" right="0.75" top="1" bottom="1" header="0.4921259845" footer="0.4921259845"/>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4">
    <tabColor theme="7"/>
    <pageSetUpPr fitToPage="1"/>
  </sheetPr>
  <dimension ref="A1:H330"/>
  <sheetViews>
    <sheetView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 style="40" customWidth="1"/>
    <col min="2" max="2" width="90.85546875" style="57" customWidth="1"/>
    <col min="3" max="4" width="4.42578125" style="40" bestFit="1" customWidth="1"/>
    <col min="5" max="8" width="7" style="40" customWidth="1"/>
    <col min="9" max="16384" width="9.140625" style="40"/>
  </cols>
  <sheetData>
    <row r="1" spans="1:8" ht="0.75" customHeight="1" thickBot="1" x14ac:dyDescent="0.25">
      <c r="D1" s="40" t="s">
        <v>43</v>
      </c>
    </row>
    <row r="2" spans="1:8" ht="13.5" hidden="1" thickBot="1" x14ac:dyDescent="0.25">
      <c r="D2" s="40" t="s">
        <v>44</v>
      </c>
    </row>
    <row r="3" spans="1:8" ht="13.5" hidden="1" thickBot="1" x14ac:dyDescent="0.25">
      <c r="D3" s="40" t="s">
        <v>13</v>
      </c>
    </row>
    <row r="4" spans="1:8" ht="88.5" thickTop="1" thickBot="1" x14ac:dyDescent="0.4">
      <c r="A4" s="58"/>
      <c r="B4" s="47" t="s">
        <v>437</v>
      </c>
      <c r="C4" s="43" t="s">
        <v>46</v>
      </c>
      <c r="D4" s="43" t="s">
        <v>47</v>
      </c>
      <c r="E4" s="43" t="s">
        <v>176</v>
      </c>
      <c r="F4" s="43" t="s">
        <v>176</v>
      </c>
      <c r="G4" s="43" t="s">
        <v>176</v>
      </c>
      <c r="H4" s="43" t="s">
        <v>176</v>
      </c>
    </row>
    <row r="5" spans="1:8" ht="24" thickTop="1" x14ac:dyDescent="0.35">
      <c r="A5" s="248"/>
      <c r="B5" s="186" t="s">
        <v>331</v>
      </c>
      <c r="C5" s="51"/>
      <c r="D5" s="51"/>
      <c r="E5" s="51"/>
      <c r="F5" s="51"/>
      <c r="G5" s="51"/>
      <c r="H5" s="51"/>
    </row>
    <row r="6" spans="1:8" ht="23.25" x14ac:dyDescent="0.35">
      <c r="A6" s="59"/>
      <c r="B6" s="50" t="s">
        <v>85</v>
      </c>
      <c r="C6" s="51"/>
      <c r="D6" s="51"/>
      <c r="E6" s="51"/>
      <c r="F6" s="51"/>
      <c r="G6" s="51"/>
      <c r="H6" s="51"/>
    </row>
    <row r="7" spans="1:8" ht="14.25" customHeight="1" x14ac:dyDescent="0.25">
      <c r="A7" s="69" t="s">
        <v>190</v>
      </c>
      <c r="B7" s="70"/>
      <c r="C7" s="71" t="str">
        <f t="shared" ref="C7:C15" si="0">IF(COUNTIF(E7:BA7,"YES")=0,"",COUNTIF(E7:BA7,"YES"))</f>
        <v/>
      </c>
      <c r="D7" s="71" t="str">
        <f>IF(COUNTIF(E7:BA7,"NO")=0,"",COUNTIF(E7:BA7,"NO"))</f>
        <v/>
      </c>
      <c r="E7" s="72"/>
      <c r="F7" s="72"/>
      <c r="G7" s="72"/>
      <c r="H7" s="72"/>
    </row>
    <row r="8" spans="1:8" ht="25.5" x14ac:dyDescent="0.25">
      <c r="A8" s="60" t="s">
        <v>191</v>
      </c>
      <c r="B8" s="259" t="s">
        <v>478</v>
      </c>
      <c r="C8" s="44" t="str">
        <f t="shared" si="0"/>
        <v/>
      </c>
      <c r="D8" s="44" t="str">
        <f>IF(COUNTIF(E8:BA8,"NO")=0,"",COUNTIF(E8:BA8,"NO"))</f>
        <v/>
      </c>
      <c r="E8" s="41"/>
      <c r="F8" s="41"/>
      <c r="G8" s="41"/>
      <c r="H8" s="41"/>
    </row>
    <row r="9" spans="1:8" ht="15.75" x14ac:dyDescent="0.25">
      <c r="A9" s="60" t="s">
        <v>192</v>
      </c>
      <c r="B9" s="259" t="s">
        <v>543</v>
      </c>
      <c r="C9" s="44" t="str">
        <f t="shared" si="0"/>
        <v/>
      </c>
      <c r="D9" s="44" t="str">
        <f>IF(COUNTIF(E9:BA9,"NO")=0,"",COUNTIF(E9:BA9,"NO"))</f>
        <v/>
      </c>
      <c r="E9" s="41"/>
      <c r="F9" s="41"/>
      <c r="G9" s="41"/>
      <c r="H9" s="41"/>
    </row>
    <row r="10" spans="1:8" ht="51" x14ac:dyDescent="0.25">
      <c r="A10" s="60" t="s">
        <v>193</v>
      </c>
      <c r="B10" s="259" t="s">
        <v>550</v>
      </c>
      <c r="C10" s="44" t="str">
        <f t="shared" si="0"/>
        <v/>
      </c>
      <c r="D10" s="44"/>
      <c r="E10" s="41"/>
      <c r="F10" s="41"/>
      <c r="G10" s="41"/>
      <c r="H10" s="41"/>
    </row>
    <row r="11" spans="1:8" ht="15.75" x14ac:dyDescent="0.25">
      <c r="A11" s="60" t="s">
        <v>194</v>
      </c>
      <c r="B11" s="259" t="s">
        <v>116</v>
      </c>
      <c r="C11" s="44" t="str">
        <f t="shared" si="0"/>
        <v/>
      </c>
      <c r="D11" s="44" t="str">
        <f>IF(COUNTIF(E11:BA11,"NO")=0,"",COUNTIF(E11:BA11,"NO"))</f>
        <v/>
      </c>
      <c r="E11" s="41"/>
      <c r="F11" s="41"/>
      <c r="G11" s="41"/>
      <c r="H11" s="41"/>
    </row>
    <row r="12" spans="1:8" ht="36.75" x14ac:dyDescent="0.25">
      <c r="A12" s="60" t="s">
        <v>195</v>
      </c>
      <c r="B12" s="259" t="s">
        <v>476</v>
      </c>
      <c r="C12" s="44" t="str">
        <f t="shared" si="0"/>
        <v/>
      </c>
      <c r="D12" s="44" t="str">
        <f>IF(COUNTIF(E12:BA12,"NO")=0,"",COUNTIF(E12:BA12,"NO"))</f>
        <v/>
      </c>
      <c r="E12" s="41"/>
      <c r="F12" s="41"/>
      <c r="G12" s="41"/>
      <c r="H12" s="41"/>
    </row>
    <row r="13" spans="1:8" ht="15.75" x14ac:dyDescent="0.25">
      <c r="A13" s="60" t="s">
        <v>196</v>
      </c>
      <c r="B13" s="259" t="s">
        <v>467</v>
      </c>
      <c r="C13" s="44" t="str">
        <f t="shared" si="0"/>
        <v/>
      </c>
      <c r="D13" s="44" t="str">
        <f>IF(COUNTIF(E13:BA13,"NO")=0,"",COUNTIF(E13:BA13,"NO"))</f>
        <v/>
      </c>
      <c r="E13" s="41"/>
      <c r="F13" s="41"/>
      <c r="G13" s="41"/>
      <c r="H13" s="41"/>
    </row>
    <row r="14" spans="1:8" ht="24.75" x14ac:dyDescent="0.25">
      <c r="A14" s="60" t="s">
        <v>197</v>
      </c>
      <c r="B14" s="259" t="s">
        <v>477</v>
      </c>
      <c r="C14" s="44" t="str">
        <f t="shared" si="0"/>
        <v/>
      </c>
      <c r="D14" s="44" t="str">
        <f>IF(COUNTIF(E14:BA14,"NO")=0,"",COUNTIF(E14:BA14,"NO"))</f>
        <v/>
      </c>
      <c r="E14" s="41"/>
      <c r="F14" s="41"/>
      <c r="G14" s="41"/>
      <c r="H14" s="41"/>
    </row>
    <row r="15" spans="1:8" ht="15.75" x14ac:dyDescent="0.25">
      <c r="A15" s="60" t="s">
        <v>198</v>
      </c>
      <c r="B15" s="259" t="s">
        <v>189</v>
      </c>
      <c r="C15" s="44" t="str">
        <f t="shared" si="0"/>
        <v/>
      </c>
      <c r="D15" s="44" t="str">
        <f>IF(COUNTIF(E15:BA15,"NO")=0,"",COUNTIF(E15:BA15,"NO"))</f>
        <v/>
      </c>
      <c r="E15" s="41"/>
      <c r="F15" s="41"/>
      <c r="G15" s="41"/>
      <c r="H15" s="41"/>
    </row>
    <row r="16" spans="1:8" ht="15.75" x14ac:dyDescent="0.25">
      <c r="A16" s="69" t="s">
        <v>202</v>
      </c>
      <c r="B16" s="73"/>
      <c r="C16" s="71"/>
      <c r="D16" s="71"/>
      <c r="E16" s="72"/>
      <c r="F16" s="72"/>
      <c r="G16" s="72"/>
      <c r="H16" s="72"/>
    </row>
    <row r="17" spans="1:8" ht="25.5" x14ac:dyDescent="0.25">
      <c r="A17" s="61" t="s">
        <v>199</v>
      </c>
      <c r="B17" s="259" t="s">
        <v>88</v>
      </c>
      <c r="C17" s="44" t="str">
        <f t="shared" ref="C17:C77" si="1">IF(COUNTIF(E17:BA17,"YES")=0,"",COUNTIF(E17:BA17,"YES"))</f>
        <v/>
      </c>
      <c r="D17" s="44"/>
      <c r="E17" s="41"/>
      <c r="F17" s="41"/>
      <c r="G17" s="41"/>
      <c r="H17" s="41"/>
    </row>
    <row r="18" spans="1:8" ht="15.75" x14ac:dyDescent="0.25">
      <c r="A18" s="61" t="s">
        <v>200</v>
      </c>
      <c r="B18" s="259" t="s">
        <v>120</v>
      </c>
      <c r="C18" s="44" t="str">
        <f t="shared" si="1"/>
        <v/>
      </c>
      <c r="D18" s="44"/>
      <c r="E18" s="41"/>
      <c r="F18" s="41"/>
      <c r="G18" s="41"/>
      <c r="H18" s="41"/>
    </row>
    <row r="19" spans="1:8" ht="23.25" x14ac:dyDescent="0.35">
      <c r="A19" s="59"/>
      <c r="B19" s="74" t="s">
        <v>93</v>
      </c>
      <c r="C19" s="71" t="str">
        <f t="shared" si="1"/>
        <v/>
      </c>
      <c r="D19" s="71"/>
      <c r="E19" s="72"/>
      <c r="F19" s="72"/>
      <c r="G19" s="72"/>
      <c r="H19" s="72"/>
    </row>
    <row r="20" spans="1:8" ht="13.5" customHeight="1" x14ac:dyDescent="0.25">
      <c r="A20" s="69" t="s">
        <v>94</v>
      </c>
      <c r="B20" s="70"/>
      <c r="C20" s="71" t="str">
        <f t="shared" si="1"/>
        <v/>
      </c>
      <c r="D20" s="71" t="str">
        <f t="shared" ref="D20:D83" si="2">IF(COUNTIF(E20:BA20,"NO")=0,"",COUNTIF(E20:BA20,"NO"))</f>
        <v/>
      </c>
      <c r="E20" s="72"/>
      <c r="F20" s="72"/>
      <c r="G20" s="72"/>
      <c r="H20" s="72"/>
    </row>
    <row r="21" spans="1:8" ht="60.75" x14ac:dyDescent="0.25">
      <c r="A21" s="60" t="s">
        <v>51</v>
      </c>
      <c r="B21" s="259" t="s">
        <v>328</v>
      </c>
      <c r="C21" s="44" t="str">
        <f t="shared" si="1"/>
        <v/>
      </c>
      <c r="D21" s="44" t="str">
        <f t="shared" si="2"/>
        <v/>
      </c>
      <c r="E21" s="41"/>
      <c r="F21" s="41"/>
      <c r="G21" s="41"/>
      <c r="H21" s="41"/>
    </row>
    <row r="22" spans="1:8" ht="48.75" x14ac:dyDescent="0.25">
      <c r="A22" s="60" t="s">
        <v>52</v>
      </c>
      <c r="B22" s="259" t="s">
        <v>329</v>
      </c>
      <c r="C22" s="44" t="str">
        <f t="shared" si="1"/>
        <v/>
      </c>
      <c r="D22" s="44" t="str">
        <f t="shared" si="2"/>
        <v/>
      </c>
      <c r="E22" s="41"/>
      <c r="F22" s="41"/>
      <c r="G22" s="41"/>
      <c r="H22" s="41"/>
    </row>
    <row r="23" spans="1:8" ht="48.75" x14ac:dyDescent="0.25">
      <c r="A23" s="60" t="s">
        <v>53</v>
      </c>
      <c r="B23" s="259" t="s">
        <v>330</v>
      </c>
      <c r="C23" s="44" t="str">
        <f t="shared" si="1"/>
        <v/>
      </c>
      <c r="D23" s="44" t="str">
        <f t="shared" si="2"/>
        <v/>
      </c>
      <c r="E23" s="41"/>
      <c r="F23" s="41"/>
      <c r="G23" s="41"/>
      <c r="H23" s="41"/>
    </row>
    <row r="24" spans="1:8" ht="24.75" x14ac:dyDescent="0.25">
      <c r="A24" s="60" t="s">
        <v>73</v>
      </c>
      <c r="B24" s="259" t="s">
        <v>332</v>
      </c>
      <c r="C24" s="44" t="str">
        <f t="shared" si="1"/>
        <v/>
      </c>
      <c r="D24" s="44" t="str">
        <f t="shared" si="2"/>
        <v/>
      </c>
      <c r="E24" s="41"/>
      <c r="F24" s="41"/>
      <c r="G24" s="41"/>
      <c r="H24" s="41"/>
    </row>
    <row r="25" spans="1:8" ht="24.75" x14ac:dyDescent="0.25">
      <c r="A25" s="60" t="s">
        <v>74</v>
      </c>
      <c r="B25" s="259" t="s">
        <v>333</v>
      </c>
      <c r="C25" s="44" t="str">
        <f t="shared" si="1"/>
        <v/>
      </c>
      <c r="D25" s="44" t="str">
        <f t="shared" si="2"/>
        <v/>
      </c>
      <c r="E25" s="41"/>
      <c r="F25" s="41"/>
      <c r="G25" s="41"/>
      <c r="H25" s="41"/>
    </row>
    <row r="26" spans="1:8" ht="15.75" x14ac:dyDescent="0.25">
      <c r="A26" s="55"/>
      <c r="B26" s="53"/>
      <c r="C26" s="44" t="str">
        <f t="shared" si="1"/>
        <v/>
      </c>
      <c r="D26" s="44" t="str">
        <f t="shared" si="2"/>
        <v/>
      </c>
      <c r="E26" s="41"/>
      <c r="F26" s="41"/>
      <c r="G26" s="41"/>
      <c r="H26" s="41"/>
    </row>
    <row r="27" spans="1:8" ht="15.75" x14ac:dyDescent="0.25">
      <c r="A27" s="55"/>
      <c r="B27" s="53"/>
      <c r="C27" s="44" t="str">
        <f t="shared" si="1"/>
        <v/>
      </c>
      <c r="D27" s="44" t="str">
        <f t="shared" si="2"/>
        <v/>
      </c>
      <c r="E27" s="41"/>
      <c r="F27" s="41"/>
      <c r="G27" s="41"/>
      <c r="H27" s="41"/>
    </row>
    <row r="28" spans="1:8" ht="15.75" x14ac:dyDescent="0.25">
      <c r="A28" s="55"/>
      <c r="B28" s="53"/>
      <c r="C28" s="44" t="str">
        <f t="shared" si="1"/>
        <v/>
      </c>
      <c r="D28" s="44" t="str">
        <f t="shared" si="2"/>
        <v/>
      </c>
      <c r="E28" s="41"/>
      <c r="F28" s="41"/>
      <c r="G28" s="41"/>
      <c r="H28" s="41"/>
    </row>
    <row r="29" spans="1:8" ht="15.75" x14ac:dyDescent="0.25">
      <c r="A29" s="55"/>
      <c r="B29" s="53"/>
      <c r="C29" s="44" t="str">
        <f t="shared" si="1"/>
        <v/>
      </c>
      <c r="D29" s="44" t="str">
        <f t="shared" si="2"/>
        <v/>
      </c>
      <c r="E29" s="41"/>
      <c r="F29" s="41"/>
      <c r="G29" s="41"/>
      <c r="H29" s="41"/>
    </row>
    <row r="30" spans="1:8" ht="15.75" x14ac:dyDescent="0.25">
      <c r="A30" s="55"/>
      <c r="B30" s="53"/>
      <c r="C30" s="44" t="str">
        <f t="shared" si="1"/>
        <v/>
      </c>
      <c r="D30" s="44" t="str">
        <f t="shared" si="2"/>
        <v/>
      </c>
      <c r="E30" s="41"/>
      <c r="F30" s="41"/>
      <c r="G30" s="41"/>
      <c r="H30" s="41"/>
    </row>
    <row r="31" spans="1:8" ht="15.75" x14ac:dyDescent="0.25">
      <c r="A31" s="55"/>
      <c r="B31" s="53"/>
      <c r="C31" s="44" t="str">
        <f t="shared" si="1"/>
        <v/>
      </c>
      <c r="D31" s="44" t="str">
        <f t="shared" si="2"/>
        <v/>
      </c>
      <c r="E31" s="41"/>
      <c r="F31" s="41"/>
      <c r="G31" s="41"/>
      <c r="H31" s="41"/>
    </row>
    <row r="32" spans="1:8" ht="15.75" x14ac:dyDescent="0.25">
      <c r="A32" s="55"/>
      <c r="B32" s="53"/>
      <c r="C32" s="44" t="str">
        <f t="shared" si="1"/>
        <v/>
      </c>
      <c r="D32" s="44" t="str">
        <f t="shared" si="2"/>
        <v/>
      </c>
      <c r="E32" s="41"/>
      <c r="F32" s="41"/>
      <c r="G32" s="41"/>
      <c r="H32" s="41"/>
    </row>
    <row r="33" spans="1:8" ht="15.75" x14ac:dyDescent="0.25">
      <c r="A33" s="55"/>
      <c r="B33" s="53"/>
      <c r="C33" s="44" t="str">
        <f t="shared" si="1"/>
        <v/>
      </c>
      <c r="D33" s="44" t="str">
        <f t="shared" si="2"/>
        <v/>
      </c>
      <c r="E33" s="41"/>
      <c r="F33" s="41"/>
      <c r="G33" s="41"/>
      <c r="H33" s="41"/>
    </row>
    <row r="34" spans="1:8" ht="15.75" x14ac:dyDescent="0.25">
      <c r="A34" s="55"/>
      <c r="B34" s="53"/>
      <c r="C34" s="44" t="str">
        <f t="shared" si="1"/>
        <v/>
      </c>
      <c r="D34" s="44" t="str">
        <f t="shared" si="2"/>
        <v/>
      </c>
      <c r="E34" s="41"/>
      <c r="F34" s="41"/>
      <c r="G34" s="41"/>
      <c r="H34" s="41"/>
    </row>
    <row r="35" spans="1:8" ht="15.75" x14ac:dyDescent="0.25">
      <c r="A35" s="55"/>
      <c r="B35" s="53"/>
      <c r="C35" s="44" t="str">
        <f t="shared" si="1"/>
        <v/>
      </c>
      <c r="D35" s="44" t="str">
        <f t="shared" si="2"/>
        <v/>
      </c>
      <c r="E35" s="41"/>
      <c r="F35" s="41"/>
      <c r="G35" s="41"/>
      <c r="H35" s="41"/>
    </row>
    <row r="36" spans="1:8" ht="15.75" x14ac:dyDescent="0.25">
      <c r="A36" s="55"/>
      <c r="B36" s="53"/>
      <c r="C36" s="44" t="str">
        <f t="shared" si="1"/>
        <v/>
      </c>
      <c r="D36" s="44" t="str">
        <f t="shared" si="2"/>
        <v/>
      </c>
      <c r="E36" s="41"/>
      <c r="F36" s="41"/>
      <c r="G36" s="41"/>
      <c r="H36" s="41"/>
    </row>
    <row r="37" spans="1:8" ht="15.75" x14ac:dyDescent="0.25">
      <c r="A37" s="55"/>
      <c r="B37" s="53"/>
      <c r="C37" s="44" t="str">
        <f t="shared" si="1"/>
        <v/>
      </c>
      <c r="D37" s="44" t="str">
        <f t="shared" si="2"/>
        <v/>
      </c>
      <c r="E37" s="41"/>
      <c r="F37" s="41"/>
      <c r="G37" s="41"/>
      <c r="H37" s="41"/>
    </row>
    <row r="38" spans="1:8" ht="15.75" x14ac:dyDescent="0.25">
      <c r="A38" s="55"/>
      <c r="B38" s="53"/>
      <c r="C38" s="44" t="str">
        <f t="shared" si="1"/>
        <v/>
      </c>
      <c r="D38" s="44" t="str">
        <f t="shared" si="2"/>
        <v/>
      </c>
      <c r="E38" s="41"/>
      <c r="F38" s="41"/>
      <c r="G38" s="41"/>
      <c r="H38" s="41"/>
    </row>
    <row r="39" spans="1:8" ht="15.75" x14ac:dyDescent="0.25">
      <c r="A39" s="55"/>
      <c r="B39" s="53"/>
      <c r="C39" s="44" t="str">
        <f t="shared" si="1"/>
        <v/>
      </c>
      <c r="D39" s="44" t="str">
        <f t="shared" si="2"/>
        <v/>
      </c>
      <c r="E39" s="41"/>
      <c r="F39" s="41"/>
      <c r="G39" s="41"/>
      <c r="H39" s="41"/>
    </row>
    <row r="40" spans="1:8" ht="15.75" x14ac:dyDescent="0.25">
      <c r="A40" s="55"/>
      <c r="B40" s="53"/>
      <c r="C40" s="44" t="str">
        <f t="shared" si="1"/>
        <v/>
      </c>
      <c r="D40" s="44" t="str">
        <f t="shared" si="2"/>
        <v/>
      </c>
      <c r="E40" s="41"/>
      <c r="F40" s="41"/>
      <c r="G40" s="41"/>
      <c r="H40" s="41"/>
    </row>
    <row r="41" spans="1:8" ht="15.75" x14ac:dyDescent="0.25">
      <c r="A41" s="55"/>
      <c r="B41" s="53"/>
      <c r="C41" s="44" t="str">
        <f t="shared" si="1"/>
        <v/>
      </c>
      <c r="D41" s="44" t="str">
        <f t="shared" si="2"/>
        <v/>
      </c>
      <c r="E41" s="41"/>
      <c r="F41" s="41"/>
      <c r="G41" s="41"/>
      <c r="H41" s="41"/>
    </row>
    <row r="42" spans="1:8" ht="15.75" x14ac:dyDescent="0.25">
      <c r="C42" s="46" t="str">
        <f t="shared" si="1"/>
        <v/>
      </c>
      <c r="D42" s="46" t="str">
        <f t="shared" si="2"/>
        <v/>
      </c>
    </row>
    <row r="43" spans="1:8" ht="15.75" x14ac:dyDescent="0.25">
      <c r="C43" s="46" t="str">
        <f t="shared" si="1"/>
        <v/>
      </c>
      <c r="D43" s="46" t="str">
        <f t="shared" si="2"/>
        <v/>
      </c>
    </row>
    <row r="44" spans="1:8" ht="15.75" x14ac:dyDescent="0.25">
      <c r="C44" s="46" t="str">
        <f t="shared" si="1"/>
        <v/>
      </c>
      <c r="D44" s="46" t="str">
        <f t="shared" si="2"/>
        <v/>
      </c>
    </row>
    <row r="45" spans="1:8" ht="15.75" x14ac:dyDescent="0.25">
      <c r="C45" s="46" t="str">
        <f t="shared" si="1"/>
        <v/>
      </c>
      <c r="D45" s="46" t="str">
        <f t="shared" si="2"/>
        <v/>
      </c>
    </row>
    <row r="46" spans="1:8" ht="15.75" x14ac:dyDescent="0.25">
      <c r="C46" s="46" t="str">
        <f t="shared" si="1"/>
        <v/>
      </c>
      <c r="D46" s="46" t="str">
        <f t="shared" si="2"/>
        <v/>
      </c>
    </row>
    <row r="47" spans="1:8" ht="15.75" x14ac:dyDescent="0.25">
      <c r="C47" s="46" t="str">
        <f t="shared" si="1"/>
        <v/>
      </c>
      <c r="D47" s="46" t="str">
        <f t="shared" si="2"/>
        <v/>
      </c>
    </row>
    <row r="48" spans="1:8" ht="15.75" x14ac:dyDescent="0.25">
      <c r="C48" s="46" t="str">
        <f t="shared" si="1"/>
        <v/>
      </c>
      <c r="D48" s="46" t="str">
        <f t="shared" si="2"/>
        <v/>
      </c>
    </row>
    <row r="49" spans="3:4" ht="15.75" x14ac:dyDescent="0.25">
      <c r="C49" s="46" t="str">
        <f t="shared" si="1"/>
        <v/>
      </c>
      <c r="D49" s="46" t="str">
        <f t="shared" si="2"/>
        <v/>
      </c>
    </row>
    <row r="50" spans="3:4" ht="15.75" x14ac:dyDescent="0.25">
      <c r="C50" s="46" t="str">
        <f t="shared" si="1"/>
        <v/>
      </c>
      <c r="D50" s="46" t="str">
        <f t="shared" si="2"/>
        <v/>
      </c>
    </row>
    <row r="51" spans="3:4" ht="15.75" x14ac:dyDescent="0.25">
      <c r="C51" s="46" t="str">
        <f t="shared" si="1"/>
        <v/>
      </c>
      <c r="D51" s="46" t="str">
        <f t="shared" si="2"/>
        <v/>
      </c>
    </row>
    <row r="52" spans="3:4" ht="15.75" x14ac:dyDescent="0.25">
      <c r="C52" s="46" t="str">
        <f t="shared" si="1"/>
        <v/>
      </c>
      <c r="D52" s="46" t="str">
        <f t="shared" si="2"/>
        <v/>
      </c>
    </row>
    <row r="53" spans="3:4" ht="15.75" x14ac:dyDescent="0.25">
      <c r="C53" s="46" t="str">
        <f t="shared" si="1"/>
        <v/>
      </c>
      <c r="D53" s="46" t="str">
        <f t="shared" si="2"/>
        <v/>
      </c>
    </row>
    <row r="54" spans="3:4" ht="15.75" x14ac:dyDescent="0.25">
      <c r="C54" s="46" t="str">
        <f t="shared" si="1"/>
        <v/>
      </c>
      <c r="D54" s="46" t="str">
        <f t="shared" si="2"/>
        <v/>
      </c>
    </row>
    <row r="55" spans="3:4" ht="15.75" x14ac:dyDescent="0.25">
      <c r="C55" s="46" t="str">
        <f t="shared" si="1"/>
        <v/>
      </c>
      <c r="D55" s="46" t="str">
        <f t="shared" si="2"/>
        <v/>
      </c>
    </row>
    <row r="56" spans="3:4" ht="15.75" x14ac:dyDescent="0.25">
      <c r="C56" s="46" t="str">
        <f t="shared" si="1"/>
        <v/>
      </c>
      <c r="D56" s="46" t="str">
        <f t="shared" si="2"/>
        <v/>
      </c>
    </row>
    <row r="57" spans="3:4" ht="15.75" x14ac:dyDescent="0.25">
      <c r="C57" s="46" t="str">
        <f t="shared" si="1"/>
        <v/>
      </c>
      <c r="D57" s="46" t="str">
        <f t="shared" si="2"/>
        <v/>
      </c>
    </row>
    <row r="58" spans="3:4" ht="15.75" x14ac:dyDescent="0.25">
      <c r="C58" s="46" t="str">
        <f t="shared" si="1"/>
        <v/>
      </c>
      <c r="D58" s="46" t="str">
        <f t="shared" si="2"/>
        <v/>
      </c>
    </row>
    <row r="59" spans="3:4" ht="15.75" x14ac:dyDescent="0.25">
      <c r="C59" s="46" t="str">
        <f t="shared" si="1"/>
        <v/>
      </c>
      <c r="D59" s="46" t="str">
        <f t="shared" si="2"/>
        <v/>
      </c>
    </row>
    <row r="60" spans="3:4" ht="15.75" x14ac:dyDescent="0.25">
      <c r="C60" s="46" t="str">
        <f t="shared" si="1"/>
        <v/>
      </c>
      <c r="D60" s="46" t="str">
        <f t="shared" si="2"/>
        <v/>
      </c>
    </row>
    <row r="61" spans="3:4" ht="15.75" x14ac:dyDescent="0.25">
      <c r="C61" s="46" t="str">
        <f t="shared" si="1"/>
        <v/>
      </c>
      <c r="D61" s="46" t="str">
        <f t="shared" si="2"/>
        <v/>
      </c>
    </row>
    <row r="62" spans="3:4" ht="15.75" x14ac:dyDescent="0.25">
      <c r="C62" s="46" t="str">
        <f t="shared" si="1"/>
        <v/>
      </c>
      <c r="D62" s="46" t="str">
        <f t="shared" si="2"/>
        <v/>
      </c>
    </row>
    <row r="63" spans="3:4" ht="15.75" x14ac:dyDescent="0.25">
      <c r="C63" s="46" t="str">
        <f t="shared" si="1"/>
        <v/>
      </c>
      <c r="D63" s="46" t="str">
        <f t="shared" si="2"/>
        <v/>
      </c>
    </row>
    <row r="64" spans="3:4" ht="15.75" x14ac:dyDescent="0.25">
      <c r="C64" s="46" t="str">
        <f t="shared" si="1"/>
        <v/>
      </c>
      <c r="D64" s="46" t="str">
        <f t="shared" si="2"/>
        <v/>
      </c>
    </row>
    <row r="65" spans="3:4" ht="15.75" x14ac:dyDescent="0.25">
      <c r="C65" s="46" t="str">
        <f t="shared" si="1"/>
        <v/>
      </c>
      <c r="D65" s="46" t="str">
        <f t="shared" si="2"/>
        <v/>
      </c>
    </row>
    <row r="66" spans="3:4" ht="15.75" x14ac:dyDescent="0.25">
      <c r="C66" s="46" t="str">
        <f t="shared" si="1"/>
        <v/>
      </c>
      <c r="D66" s="46" t="str">
        <f t="shared" si="2"/>
        <v/>
      </c>
    </row>
    <row r="67" spans="3:4" ht="15.75" x14ac:dyDescent="0.25">
      <c r="C67" s="46" t="str">
        <f t="shared" si="1"/>
        <v/>
      </c>
      <c r="D67" s="46" t="str">
        <f t="shared" si="2"/>
        <v/>
      </c>
    </row>
    <row r="68" spans="3:4" ht="15.75" x14ac:dyDescent="0.25">
      <c r="C68" s="46" t="str">
        <f t="shared" si="1"/>
        <v/>
      </c>
      <c r="D68" s="46" t="str">
        <f t="shared" si="2"/>
        <v/>
      </c>
    </row>
    <row r="69" spans="3:4" ht="15.75" x14ac:dyDescent="0.25">
      <c r="C69" s="46" t="str">
        <f t="shared" si="1"/>
        <v/>
      </c>
      <c r="D69" s="46" t="str">
        <f t="shared" si="2"/>
        <v/>
      </c>
    </row>
    <row r="70" spans="3:4" ht="15.75" x14ac:dyDescent="0.25">
      <c r="C70" s="46" t="str">
        <f t="shared" si="1"/>
        <v/>
      </c>
      <c r="D70" s="46" t="str">
        <f t="shared" si="2"/>
        <v/>
      </c>
    </row>
    <row r="71" spans="3:4" ht="15.75" x14ac:dyDescent="0.25">
      <c r="C71" s="46" t="str">
        <f t="shared" si="1"/>
        <v/>
      </c>
      <c r="D71" s="46" t="str">
        <f t="shared" si="2"/>
        <v/>
      </c>
    </row>
    <row r="72" spans="3:4" ht="15.75" x14ac:dyDescent="0.25">
      <c r="C72" s="46" t="str">
        <f t="shared" si="1"/>
        <v/>
      </c>
      <c r="D72" s="46" t="str">
        <f t="shared" si="2"/>
        <v/>
      </c>
    </row>
    <row r="73" spans="3:4" ht="15.75" x14ac:dyDescent="0.25">
      <c r="C73" s="46" t="str">
        <f t="shared" si="1"/>
        <v/>
      </c>
      <c r="D73" s="46" t="str">
        <f t="shared" si="2"/>
        <v/>
      </c>
    </row>
    <row r="74" spans="3:4" ht="15.75" x14ac:dyDescent="0.25">
      <c r="C74" s="46" t="str">
        <f t="shared" si="1"/>
        <v/>
      </c>
      <c r="D74" s="46" t="str">
        <f t="shared" si="2"/>
        <v/>
      </c>
    </row>
    <row r="75" spans="3:4" ht="15.75" x14ac:dyDescent="0.25">
      <c r="C75" s="46" t="str">
        <f t="shared" si="1"/>
        <v/>
      </c>
      <c r="D75" s="46" t="str">
        <f t="shared" si="2"/>
        <v/>
      </c>
    </row>
    <row r="76" spans="3:4" ht="15.75" x14ac:dyDescent="0.25">
      <c r="C76" s="46" t="str">
        <f t="shared" si="1"/>
        <v/>
      </c>
      <c r="D76" s="46" t="str">
        <f t="shared" si="2"/>
        <v/>
      </c>
    </row>
    <row r="77" spans="3:4" ht="15.75" x14ac:dyDescent="0.25">
      <c r="C77" s="46" t="str">
        <f t="shared" si="1"/>
        <v/>
      </c>
      <c r="D77" s="46" t="str">
        <f t="shared" si="2"/>
        <v/>
      </c>
    </row>
    <row r="78" spans="3:4" ht="15.75" x14ac:dyDescent="0.25">
      <c r="C78" s="46" t="str">
        <f t="shared" ref="C78:C141" si="3">IF(COUNTIF(E78:BA78,"YES")=0,"",COUNTIF(E78:BA78,"YES"))</f>
        <v/>
      </c>
      <c r="D78" s="46" t="str">
        <f t="shared" si="2"/>
        <v/>
      </c>
    </row>
    <row r="79" spans="3:4" ht="15.75" x14ac:dyDescent="0.25">
      <c r="C79" s="46" t="str">
        <f t="shared" si="3"/>
        <v/>
      </c>
      <c r="D79" s="46" t="str">
        <f t="shared" si="2"/>
        <v/>
      </c>
    </row>
    <row r="80" spans="3:4" ht="15.75" x14ac:dyDescent="0.25">
      <c r="C80" s="46" t="str">
        <f t="shared" si="3"/>
        <v/>
      </c>
      <c r="D80" s="46" t="str">
        <f t="shared" si="2"/>
        <v/>
      </c>
    </row>
    <row r="81" spans="3:4" ht="15.75" x14ac:dyDescent="0.25">
      <c r="C81" s="46" t="str">
        <f t="shared" si="3"/>
        <v/>
      </c>
      <c r="D81" s="46" t="str">
        <f t="shared" si="2"/>
        <v/>
      </c>
    </row>
    <row r="82" spans="3:4" ht="15.75" x14ac:dyDescent="0.25">
      <c r="C82" s="46" t="str">
        <f t="shared" si="3"/>
        <v/>
      </c>
      <c r="D82" s="46" t="str">
        <f t="shared" si="2"/>
        <v/>
      </c>
    </row>
    <row r="83" spans="3:4" ht="15.75" x14ac:dyDescent="0.25">
      <c r="C83" s="46" t="str">
        <f t="shared" si="3"/>
        <v/>
      </c>
      <c r="D83" s="46" t="str">
        <f t="shared" si="2"/>
        <v/>
      </c>
    </row>
    <row r="84" spans="3:4" ht="15.75" x14ac:dyDescent="0.25">
      <c r="C84" s="46" t="str">
        <f t="shared" si="3"/>
        <v/>
      </c>
      <c r="D84" s="46" t="str">
        <f t="shared" ref="D84:D147" si="4">IF(COUNTIF(E84:BA84,"NO")=0,"",COUNTIF(E84:BA84,"NO"))</f>
        <v/>
      </c>
    </row>
    <row r="85" spans="3:4" ht="15.75" x14ac:dyDescent="0.25">
      <c r="C85" s="46" t="str">
        <f t="shared" si="3"/>
        <v/>
      </c>
      <c r="D85" s="46" t="str">
        <f t="shared" si="4"/>
        <v/>
      </c>
    </row>
    <row r="86" spans="3:4" ht="15.75" x14ac:dyDescent="0.25">
      <c r="C86" s="46" t="str">
        <f t="shared" si="3"/>
        <v/>
      </c>
      <c r="D86" s="46" t="str">
        <f t="shared" si="4"/>
        <v/>
      </c>
    </row>
    <row r="87" spans="3:4" ht="15.75" x14ac:dyDescent="0.25">
      <c r="C87" s="46" t="str">
        <f t="shared" si="3"/>
        <v/>
      </c>
      <c r="D87" s="46" t="str">
        <f t="shared" si="4"/>
        <v/>
      </c>
    </row>
    <row r="88" spans="3:4" ht="15.75" x14ac:dyDescent="0.25">
      <c r="C88" s="46" t="str">
        <f t="shared" si="3"/>
        <v/>
      </c>
      <c r="D88" s="46" t="str">
        <f t="shared" si="4"/>
        <v/>
      </c>
    </row>
    <row r="89" spans="3:4" ht="15.75" x14ac:dyDescent="0.25">
      <c r="C89" s="46" t="str">
        <f t="shared" si="3"/>
        <v/>
      </c>
      <c r="D89" s="46" t="str">
        <f t="shared" si="4"/>
        <v/>
      </c>
    </row>
    <row r="90" spans="3:4" ht="15.75" x14ac:dyDescent="0.25">
      <c r="C90" s="46" t="str">
        <f t="shared" si="3"/>
        <v/>
      </c>
      <c r="D90" s="46" t="str">
        <f t="shared" si="4"/>
        <v/>
      </c>
    </row>
    <row r="91" spans="3:4" ht="15.75" x14ac:dyDescent="0.25">
      <c r="C91" s="46" t="str">
        <f t="shared" si="3"/>
        <v/>
      </c>
      <c r="D91" s="46" t="str">
        <f t="shared" si="4"/>
        <v/>
      </c>
    </row>
    <row r="92" spans="3:4" ht="15.75" x14ac:dyDescent="0.25">
      <c r="C92" s="46" t="str">
        <f t="shared" si="3"/>
        <v/>
      </c>
      <c r="D92" s="46" t="str">
        <f t="shared" si="4"/>
        <v/>
      </c>
    </row>
    <row r="93" spans="3:4" ht="15.75" x14ac:dyDescent="0.25">
      <c r="C93" s="46" t="str">
        <f t="shared" si="3"/>
        <v/>
      </c>
      <c r="D93" s="46" t="str">
        <f t="shared" si="4"/>
        <v/>
      </c>
    </row>
    <row r="94" spans="3:4" ht="15.75" x14ac:dyDescent="0.25">
      <c r="C94" s="46" t="str">
        <f t="shared" si="3"/>
        <v/>
      </c>
      <c r="D94" s="46" t="str">
        <f t="shared" si="4"/>
        <v/>
      </c>
    </row>
    <row r="95" spans="3:4" ht="15.75" x14ac:dyDescent="0.25">
      <c r="C95" s="46" t="str">
        <f t="shared" si="3"/>
        <v/>
      </c>
      <c r="D95" s="46" t="str">
        <f t="shared" si="4"/>
        <v/>
      </c>
    </row>
    <row r="96" spans="3:4" ht="15.75" x14ac:dyDescent="0.25">
      <c r="C96" s="46" t="str">
        <f t="shared" si="3"/>
        <v/>
      </c>
      <c r="D96" s="46" t="str">
        <f t="shared" si="4"/>
        <v/>
      </c>
    </row>
    <row r="97" spans="3:4" ht="15.75" x14ac:dyDescent="0.25">
      <c r="C97" s="46" t="str">
        <f t="shared" si="3"/>
        <v/>
      </c>
      <c r="D97" s="46" t="str">
        <f t="shared" si="4"/>
        <v/>
      </c>
    </row>
    <row r="98" spans="3:4" ht="15.75" x14ac:dyDescent="0.25">
      <c r="C98" s="46" t="str">
        <f t="shared" si="3"/>
        <v/>
      </c>
      <c r="D98" s="46" t="str">
        <f t="shared" si="4"/>
        <v/>
      </c>
    </row>
    <row r="99" spans="3:4" ht="15.75" x14ac:dyDescent="0.25">
      <c r="C99" s="46" t="str">
        <f t="shared" si="3"/>
        <v/>
      </c>
      <c r="D99" s="46" t="str">
        <f t="shared" si="4"/>
        <v/>
      </c>
    </row>
    <row r="100" spans="3:4" ht="15.75" x14ac:dyDescent="0.25">
      <c r="C100" s="46" t="str">
        <f t="shared" si="3"/>
        <v/>
      </c>
      <c r="D100" s="46" t="str">
        <f t="shared" si="4"/>
        <v/>
      </c>
    </row>
    <row r="101" spans="3:4" ht="15.75" x14ac:dyDescent="0.25">
      <c r="C101" s="46" t="str">
        <f t="shared" si="3"/>
        <v/>
      </c>
      <c r="D101" s="46" t="str">
        <f t="shared" si="4"/>
        <v/>
      </c>
    </row>
    <row r="102" spans="3:4" ht="15.75" x14ac:dyDescent="0.25">
      <c r="C102" s="46" t="str">
        <f t="shared" si="3"/>
        <v/>
      </c>
      <c r="D102" s="46" t="str">
        <f t="shared" si="4"/>
        <v/>
      </c>
    </row>
    <row r="103" spans="3:4" ht="15.75" x14ac:dyDescent="0.25">
      <c r="C103" s="46" t="str">
        <f t="shared" si="3"/>
        <v/>
      </c>
      <c r="D103" s="46" t="str">
        <f t="shared" si="4"/>
        <v/>
      </c>
    </row>
    <row r="104" spans="3:4" ht="15.75" x14ac:dyDescent="0.25">
      <c r="C104" s="46" t="str">
        <f t="shared" si="3"/>
        <v/>
      </c>
      <c r="D104" s="46" t="str">
        <f t="shared" si="4"/>
        <v/>
      </c>
    </row>
    <row r="105" spans="3:4" ht="15.75" x14ac:dyDescent="0.25">
      <c r="C105" s="46" t="str">
        <f t="shared" si="3"/>
        <v/>
      </c>
      <c r="D105" s="46" t="str">
        <f t="shared" si="4"/>
        <v/>
      </c>
    </row>
    <row r="106" spans="3:4" ht="15.75" x14ac:dyDescent="0.25">
      <c r="C106" s="46" t="str">
        <f t="shared" si="3"/>
        <v/>
      </c>
      <c r="D106" s="46" t="str">
        <f t="shared" si="4"/>
        <v/>
      </c>
    </row>
    <row r="107" spans="3:4" ht="15.75" x14ac:dyDescent="0.25">
      <c r="C107" s="46" t="str">
        <f t="shared" si="3"/>
        <v/>
      </c>
      <c r="D107" s="46" t="str">
        <f t="shared" si="4"/>
        <v/>
      </c>
    </row>
    <row r="108" spans="3:4" ht="15.75" x14ac:dyDescent="0.25">
      <c r="C108" s="46" t="str">
        <f t="shared" si="3"/>
        <v/>
      </c>
      <c r="D108" s="46" t="str">
        <f t="shared" si="4"/>
        <v/>
      </c>
    </row>
    <row r="109" spans="3:4" ht="15.75" x14ac:dyDescent="0.25">
      <c r="C109" s="46" t="str">
        <f t="shared" si="3"/>
        <v/>
      </c>
      <c r="D109" s="46" t="str">
        <f t="shared" si="4"/>
        <v/>
      </c>
    </row>
    <row r="110" spans="3:4" ht="15.75" x14ac:dyDescent="0.25">
      <c r="C110" s="46" t="str">
        <f t="shared" si="3"/>
        <v/>
      </c>
      <c r="D110" s="46" t="str">
        <f t="shared" si="4"/>
        <v/>
      </c>
    </row>
    <row r="111" spans="3:4" ht="15.75" x14ac:dyDescent="0.25">
      <c r="C111" s="46" t="str">
        <f t="shared" si="3"/>
        <v/>
      </c>
      <c r="D111" s="46" t="str">
        <f t="shared" si="4"/>
        <v/>
      </c>
    </row>
    <row r="112" spans="3:4" ht="15.75" x14ac:dyDescent="0.25">
      <c r="C112" s="46" t="str">
        <f t="shared" si="3"/>
        <v/>
      </c>
      <c r="D112" s="46" t="str">
        <f t="shared" si="4"/>
        <v/>
      </c>
    </row>
    <row r="113" spans="3:4" ht="15.75" x14ac:dyDescent="0.25">
      <c r="C113" s="46" t="str">
        <f t="shared" si="3"/>
        <v/>
      </c>
      <c r="D113" s="46" t="str">
        <f t="shared" si="4"/>
        <v/>
      </c>
    </row>
    <row r="114" spans="3:4" ht="15.75" x14ac:dyDescent="0.25">
      <c r="C114" s="46" t="str">
        <f t="shared" si="3"/>
        <v/>
      </c>
      <c r="D114" s="46" t="str">
        <f t="shared" si="4"/>
        <v/>
      </c>
    </row>
    <row r="115" spans="3:4" ht="15.75" x14ac:dyDescent="0.25">
      <c r="C115" s="46" t="str">
        <f t="shared" si="3"/>
        <v/>
      </c>
      <c r="D115" s="46" t="str">
        <f t="shared" si="4"/>
        <v/>
      </c>
    </row>
    <row r="116" spans="3:4" ht="15.75" x14ac:dyDescent="0.25">
      <c r="C116" s="46" t="str">
        <f t="shared" si="3"/>
        <v/>
      </c>
      <c r="D116" s="46" t="str">
        <f t="shared" si="4"/>
        <v/>
      </c>
    </row>
    <row r="117" spans="3:4" ht="15.75" x14ac:dyDescent="0.25">
      <c r="C117" s="46" t="str">
        <f t="shared" si="3"/>
        <v/>
      </c>
      <c r="D117" s="46" t="str">
        <f t="shared" si="4"/>
        <v/>
      </c>
    </row>
    <row r="118" spans="3:4" ht="15.75" x14ac:dyDescent="0.25">
      <c r="C118" s="46" t="str">
        <f t="shared" si="3"/>
        <v/>
      </c>
      <c r="D118" s="46" t="str">
        <f t="shared" si="4"/>
        <v/>
      </c>
    </row>
    <row r="119" spans="3:4" ht="15.75" x14ac:dyDescent="0.25">
      <c r="C119" s="46" t="str">
        <f t="shared" si="3"/>
        <v/>
      </c>
      <c r="D119" s="46" t="str">
        <f t="shared" si="4"/>
        <v/>
      </c>
    </row>
    <row r="120" spans="3:4" ht="15.75" x14ac:dyDescent="0.25">
      <c r="C120" s="46" t="str">
        <f t="shared" si="3"/>
        <v/>
      </c>
      <c r="D120" s="46" t="str">
        <f t="shared" si="4"/>
        <v/>
      </c>
    </row>
    <row r="121" spans="3:4" ht="15.75" x14ac:dyDescent="0.25">
      <c r="C121" s="46" t="str">
        <f t="shared" si="3"/>
        <v/>
      </c>
      <c r="D121" s="46" t="str">
        <f t="shared" si="4"/>
        <v/>
      </c>
    </row>
    <row r="122" spans="3:4" ht="15.75" x14ac:dyDescent="0.25">
      <c r="C122" s="46" t="str">
        <f t="shared" si="3"/>
        <v/>
      </c>
      <c r="D122" s="46" t="str">
        <f t="shared" si="4"/>
        <v/>
      </c>
    </row>
    <row r="123" spans="3:4" ht="15.75" x14ac:dyDescent="0.25">
      <c r="C123" s="46" t="str">
        <f t="shared" si="3"/>
        <v/>
      </c>
      <c r="D123" s="46" t="str">
        <f t="shared" si="4"/>
        <v/>
      </c>
    </row>
    <row r="124" spans="3:4" ht="15.75" x14ac:dyDescent="0.25">
      <c r="C124" s="46" t="str">
        <f t="shared" si="3"/>
        <v/>
      </c>
      <c r="D124" s="46" t="str">
        <f t="shared" si="4"/>
        <v/>
      </c>
    </row>
    <row r="125" spans="3:4" ht="15.75" x14ac:dyDescent="0.25">
      <c r="C125" s="46" t="str">
        <f t="shared" si="3"/>
        <v/>
      </c>
      <c r="D125" s="46" t="str">
        <f t="shared" si="4"/>
        <v/>
      </c>
    </row>
    <row r="126" spans="3:4" ht="15.75" x14ac:dyDescent="0.25">
      <c r="C126" s="46" t="str">
        <f t="shared" si="3"/>
        <v/>
      </c>
      <c r="D126" s="46" t="str">
        <f t="shared" si="4"/>
        <v/>
      </c>
    </row>
    <row r="127" spans="3:4" ht="15.75" x14ac:dyDescent="0.25">
      <c r="C127" s="46" t="str">
        <f t="shared" si="3"/>
        <v/>
      </c>
      <c r="D127" s="46" t="str">
        <f t="shared" si="4"/>
        <v/>
      </c>
    </row>
    <row r="128" spans="3:4" ht="15.75" x14ac:dyDescent="0.25">
      <c r="C128" s="46" t="str">
        <f t="shared" si="3"/>
        <v/>
      </c>
      <c r="D128" s="46" t="str">
        <f t="shared" si="4"/>
        <v/>
      </c>
    </row>
    <row r="129" spans="3:4" ht="15.75" x14ac:dyDescent="0.25">
      <c r="C129" s="46" t="str">
        <f t="shared" si="3"/>
        <v/>
      </c>
      <c r="D129" s="46" t="str">
        <f t="shared" si="4"/>
        <v/>
      </c>
    </row>
    <row r="130" spans="3:4" ht="15.75" x14ac:dyDescent="0.25">
      <c r="C130" s="46" t="str">
        <f t="shared" si="3"/>
        <v/>
      </c>
      <c r="D130" s="46" t="str">
        <f t="shared" si="4"/>
        <v/>
      </c>
    </row>
    <row r="131" spans="3:4" ht="15.75" x14ac:dyDescent="0.25">
      <c r="C131" s="46" t="str">
        <f t="shared" si="3"/>
        <v/>
      </c>
      <c r="D131" s="46" t="str">
        <f t="shared" si="4"/>
        <v/>
      </c>
    </row>
    <row r="132" spans="3:4" ht="15.75" x14ac:dyDescent="0.25">
      <c r="C132" s="46" t="str">
        <f t="shared" si="3"/>
        <v/>
      </c>
      <c r="D132" s="46" t="str">
        <f t="shared" si="4"/>
        <v/>
      </c>
    </row>
    <row r="133" spans="3:4" ht="15.75" x14ac:dyDescent="0.25">
      <c r="C133" s="46" t="str">
        <f t="shared" si="3"/>
        <v/>
      </c>
      <c r="D133" s="46" t="str">
        <f t="shared" si="4"/>
        <v/>
      </c>
    </row>
    <row r="134" spans="3:4" ht="15.75" x14ac:dyDescent="0.25">
      <c r="C134" s="46" t="str">
        <f t="shared" si="3"/>
        <v/>
      </c>
      <c r="D134" s="46" t="str">
        <f t="shared" si="4"/>
        <v/>
      </c>
    </row>
    <row r="135" spans="3:4" ht="15.75" x14ac:dyDescent="0.25">
      <c r="C135" s="46" t="str">
        <f t="shared" si="3"/>
        <v/>
      </c>
      <c r="D135" s="46" t="str">
        <f t="shared" si="4"/>
        <v/>
      </c>
    </row>
    <row r="136" spans="3:4" ht="15.75" x14ac:dyDescent="0.25">
      <c r="C136" s="46" t="str">
        <f t="shared" si="3"/>
        <v/>
      </c>
      <c r="D136" s="46" t="str">
        <f t="shared" si="4"/>
        <v/>
      </c>
    </row>
    <row r="137" spans="3:4" ht="15.75" x14ac:dyDescent="0.25">
      <c r="C137" s="46" t="str">
        <f t="shared" si="3"/>
        <v/>
      </c>
      <c r="D137" s="46" t="str">
        <f t="shared" si="4"/>
        <v/>
      </c>
    </row>
    <row r="138" spans="3:4" ht="15.75" x14ac:dyDescent="0.25">
      <c r="C138" s="46" t="str">
        <f t="shared" si="3"/>
        <v/>
      </c>
      <c r="D138" s="46" t="str">
        <f t="shared" si="4"/>
        <v/>
      </c>
    </row>
    <row r="139" spans="3:4" ht="15.75" x14ac:dyDescent="0.25">
      <c r="C139" s="46" t="str">
        <f t="shared" si="3"/>
        <v/>
      </c>
      <c r="D139" s="46" t="str">
        <f t="shared" si="4"/>
        <v/>
      </c>
    </row>
    <row r="140" spans="3:4" ht="15.75" x14ac:dyDescent="0.25">
      <c r="C140" s="46" t="str">
        <f t="shared" si="3"/>
        <v/>
      </c>
      <c r="D140" s="46" t="str">
        <f t="shared" si="4"/>
        <v/>
      </c>
    </row>
    <row r="141" spans="3:4" ht="15.75" x14ac:dyDescent="0.25">
      <c r="C141" s="46" t="str">
        <f t="shared" si="3"/>
        <v/>
      </c>
      <c r="D141" s="46" t="str">
        <f t="shared" si="4"/>
        <v/>
      </c>
    </row>
    <row r="142" spans="3:4" ht="15.75" x14ac:dyDescent="0.25">
      <c r="C142" s="46" t="str">
        <f t="shared" ref="C142:C205" si="5">IF(COUNTIF(E142:BA142,"YES")=0,"",COUNTIF(E142:BA142,"YES"))</f>
        <v/>
      </c>
      <c r="D142" s="46" t="str">
        <f t="shared" si="4"/>
        <v/>
      </c>
    </row>
    <row r="143" spans="3:4" ht="15.75" x14ac:dyDescent="0.25">
      <c r="C143" s="46" t="str">
        <f t="shared" si="5"/>
        <v/>
      </c>
      <c r="D143" s="46" t="str">
        <f t="shared" si="4"/>
        <v/>
      </c>
    </row>
    <row r="144" spans="3:4" ht="15.75" x14ac:dyDescent="0.25">
      <c r="C144" s="46" t="str">
        <f t="shared" si="5"/>
        <v/>
      </c>
      <c r="D144" s="46" t="str">
        <f t="shared" si="4"/>
        <v/>
      </c>
    </row>
    <row r="145" spans="3:4" ht="15.75" x14ac:dyDescent="0.25">
      <c r="C145" s="46" t="str">
        <f t="shared" si="5"/>
        <v/>
      </c>
      <c r="D145" s="46" t="str">
        <f t="shared" si="4"/>
        <v/>
      </c>
    </row>
    <row r="146" spans="3:4" ht="15.75" x14ac:dyDescent="0.25">
      <c r="C146" s="46" t="str">
        <f t="shared" si="5"/>
        <v/>
      </c>
      <c r="D146" s="46" t="str">
        <f t="shared" si="4"/>
        <v/>
      </c>
    </row>
    <row r="147" spans="3:4" ht="15.75" x14ac:dyDescent="0.25">
      <c r="C147" s="46" t="str">
        <f t="shared" si="5"/>
        <v/>
      </c>
      <c r="D147" s="46" t="str">
        <f t="shared" si="4"/>
        <v/>
      </c>
    </row>
    <row r="148" spans="3:4" ht="15.75" x14ac:dyDescent="0.25">
      <c r="C148" s="46" t="str">
        <f t="shared" si="5"/>
        <v/>
      </c>
      <c r="D148" s="46" t="str">
        <f t="shared" ref="D148:D211" si="6">IF(COUNTIF(E148:BA148,"NO")=0,"",COUNTIF(E148:BA148,"NO"))</f>
        <v/>
      </c>
    </row>
    <row r="149" spans="3:4" ht="15.75" x14ac:dyDescent="0.25">
      <c r="C149" s="46" t="str">
        <f t="shared" si="5"/>
        <v/>
      </c>
      <c r="D149" s="46" t="str">
        <f t="shared" si="6"/>
        <v/>
      </c>
    </row>
    <row r="150" spans="3:4" ht="15.75" x14ac:dyDescent="0.25">
      <c r="C150" s="46" t="str">
        <f t="shared" si="5"/>
        <v/>
      </c>
      <c r="D150" s="46" t="str">
        <f t="shared" si="6"/>
        <v/>
      </c>
    </row>
    <row r="151" spans="3:4" ht="15.75" x14ac:dyDescent="0.25">
      <c r="C151" s="46" t="str">
        <f t="shared" si="5"/>
        <v/>
      </c>
      <c r="D151" s="46" t="str">
        <f t="shared" si="6"/>
        <v/>
      </c>
    </row>
    <row r="152" spans="3:4" ht="15.75" x14ac:dyDescent="0.25">
      <c r="C152" s="46" t="str">
        <f t="shared" si="5"/>
        <v/>
      </c>
      <c r="D152" s="46" t="str">
        <f t="shared" si="6"/>
        <v/>
      </c>
    </row>
    <row r="153" spans="3:4" ht="15.75" x14ac:dyDescent="0.25">
      <c r="C153" s="46" t="str">
        <f t="shared" si="5"/>
        <v/>
      </c>
      <c r="D153" s="46" t="str">
        <f t="shared" si="6"/>
        <v/>
      </c>
    </row>
    <row r="154" spans="3:4" ht="15.75" x14ac:dyDescent="0.25">
      <c r="C154" s="46" t="str">
        <f t="shared" si="5"/>
        <v/>
      </c>
      <c r="D154" s="46" t="str">
        <f t="shared" si="6"/>
        <v/>
      </c>
    </row>
    <row r="155" spans="3:4" ht="15.75" x14ac:dyDescent="0.25">
      <c r="C155" s="46" t="str">
        <f t="shared" si="5"/>
        <v/>
      </c>
      <c r="D155" s="46" t="str">
        <f t="shared" si="6"/>
        <v/>
      </c>
    </row>
    <row r="156" spans="3:4" ht="15.75" x14ac:dyDescent="0.25">
      <c r="C156" s="46" t="str">
        <f t="shared" si="5"/>
        <v/>
      </c>
      <c r="D156" s="46" t="str">
        <f t="shared" si="6"/>
        <v/>
      </c>
    </row>
    <row r="157" spans="3:4" ht="15.75" x14ac:dyDescent="0.25">
      <c r="C157" s="46" t="str">
        <f t="shared" si="5"/>
        <v/>
      </c>
      <c r="D157" s="46" t="str">
        <f t="shared" si="6"/>
        <v/>
      </c>
    </row>
    <row r="158" spans="3:4" ht="15.75" x14ac:dyDescent="0.25">
      <c r="C158" s="46" t="str">
        <f t="shared" si="5"/>
        <v/>
      </c>
      <c r="D158" s="46" t="str">
        <f t="shared" si="6"/>
        <v/>
      </c>
    </row>
    <row r="159" spans="3:4" ht="15.75" x14ac:dyDescent="0.25">
      <c r="C159" s="46" t="str">
        <f t="shared" si="5"/>
        <v/>
      </c>
      <c r="D159" s="46" t="str">
        <f t="shared" si="6"/>
        <v/>
      </c>
    </row>
    <row r="160" spans="3:4" ht="15.75" x14ac:dyDescent="0.25">
      <c r="C160" s="46" t="str">
        <f t="shared" si="5"/>
        <v/>
      </c>
      <c r="D160" s="46" t="str">
        <f t="shared" si="6"/>
        <v/>
      </c>
    </row>
    <row r="161" spans="3:4" ht="15.75" x14ac:dyDescent="0.25">
      <c r="C161" s="46" t="str">
        <f t="shared" si="5"/>
        <v/>
      </c>
      <c r="D161" s="46" t="str">
        <f t="shared" si="6"/>
        <v/>
      </c>
    </row>
    <row r="162" spans="3:4" ht="15.75" x14ac:dyDescent="0.25">
      <c r="C162" s="46" t="str">
        <f t="shared" si="5"/>
        <v/>
      </c>
      <c r="D162" s="46" t="str">
        <f t="shared" si="6"/>
        <v/>
      </c>
    </row>
    <row r="163" spans="3:4" ht="15.75" x14ac:dyDescent="0.25">
      <c r="C163" s="46" t="str">
        <f t="shared" si="5"/>
        <v/>
      </c>
      <c r="D163" s="46" t="str">
        <f t="shared" si="6"/>
        <v/>
      </c>
    </row>
    <row r="164" spans="3:4" ht="15.75" x14ac:dyDescent="0.25">
      <c r="C164" s="46" t="str">
        <f t="shared" si="5"/>
        <v/>
      </c>
      <c r="D164" s="46" t="str">
        <f t="shared" si="6"/>
        <v/>
      </c>
    </row>
    <row r="165" spans="3:4" ht="15.75" x14ac:dyDescent="0.25">
      <c r="C165" s="46" t="str">
        <f t="shared" si="5"/>
        <v/>
      </c>
      <c r="D165" s="46" t="str">
        <f t="shared" si="6"/>
        <v/>
      </c>
    </row>
    <row r="166" spans="3:4" ht="15.75" x14ac:dyDescent="0.25">
      <c r="C166" s="46" t="str">
        <f t="shared" si="5"/>
        <v/>
      </c>
      <c r="D166" s="46" t="str">
        <f t="shared" si="6"/>
        <v/>
      </c>
    </row>
    <row r="167" spans="3:4" ht="15.75" x14ac:dyDescent="0.25">
      <c r="C167" s="46" t="str">
        <f t="shared" si="5"/>
        <v/>
      </c>
      <c r="D167" s="46" t="str">
        <f t="shared" si="6"/>
        <v/>
      </c>
    </row>
    <row r="168" spans="3:4" ht="15.75" x14ac:dyDescent="0.25">
      <c r="C168" s="46" t="str">
        <f t="shared" si="5"/>
        <v/>
      </c>
      <c r="D168" s="46" t="str">
        <f t="shared" si="6"/>
        <v/>
      </c>
    </row>
    <row r="169" spans="3:4" ht="15.75" x14ac:dyDescent="0.25">
      <c r="C169" s="46" t="str">
        <f t="shared" si="5"/>
        <v/>
      </c>
      <c r="D169" s="46" t="str">
        <f t="shared" si="6"/>
        <v/>
      </c>
    </row>
    <row r="170" spans="3:4" ht="15.75" x14ac:dyDescent="0.25">
      <c r="C170" s="46" t="str">
        <f t="shared" si="5"/>
        <v/>
      </c>
      <c r="D170" s="46" t="str">
        <f t="shared" si="6"/>
        <v/>
      </c>
    </row>
    <row r="171" spans="3:4" ht="15.75" x14ac:dyDescent="0.25">
      <c r="C171" s="46" t="str">
        <f t="shared" si="5"/>
        <v/>
      </c>
      <c r="D171" s="46" t="str">
        <f t="shared" si="6"/>
        <v/>
      </c>
    </row>
    <row r="172" spans="3:4" ht="15.75" x14ac:dyDescent="0.25">
      <c r="C172" s="46" t="str">
        <f t="shared" si="5"/>
        <v/>
      </c>
      <c r="D172" s="46" t="str">
        <f t="shared" si="6"/>
        <v/>
      </c>
    </row>
    <row r="173" spans="3:4" ht="15.75" x14ac:dyDescent="0.25">
      <c r="C173" s="46" t="str">
        <f t="shared" si="5"/>
        <v/>
      </c>
      <c r="D173" s="46" t="str">
        <f t="shared" si="6"/>
        <v/>
      </c>
    </row>
    <row r="174" spans="3:4" ht="15.75" x14ac:dyDescent="0.25">
      <c r="C174" s="46" t="str">
        <f t="shared" si="5"/>
        <v/>
      </c>
      <c r="D174" s="46" t="str">
        <f t="shared" si="6"/>
        <v/>
      </c>
    </row>
    <row r="175" spans="3:4" ht="15.75" x14ac:dyDescent="0.25">
      <c r="C175" s="46" t="str">
        <f t="shared" si="5"/>
        <v/>
      </c>
      <c r="D175" s="46" t="str">
        <f t="shared" si="6"/>
        <v/>
      </c>
    </row>
    <row r="176" spans="3:4" ht="15.75" x14ac:dyDescent="0.25">
      <c r="C176" s="46" t="str">
        <f t="shared" si="5"/>
        <v/>
      </c>
      <c r="D176" s="46" t="str">
        <f t="shared" si="6"/>
        <v/>
      </c>
    </row>
    <row r="177" spans="3:4" ht="15.75" x14ac:dyDescent="0.25">
      <c r="C177" s="46" t="str">
        <f t="shared" si="5"/>
        <v/>
      </c>
      <c r="D177" s="46" t="str">
        <f t="shared" si="6"/>
        <v/>
      </c>
    </row>
    <row r="178" spans="3:4" ht="15.75" x14ac:dyDescent="0.25">
      <c r="C178" s="46" t="str">
        <f t="shared" si="5"/>
        <v/>
      </c>
      <c r="D178" s="46" t="str">
        <f t="shared" si="6"/>
        <v/>
      </c>
    </row>
    <row r="179" spans="3:4" ht="15.75" x14ac:dyDescent="0.25">
      <c r="C179" s="46" t="str">
        <f t="shared" si="5"/>
        <v/>
      </c>
      <c r="D179" s="46" t="str">
        <f t="shared" si="6"/>
        <v/>
      </c>
    </row>
    <row r="180" spans="3:4" ht="15.75" x14ac:dyDescent="0.25">
      <c r="C180" s="46" t="str">
        <f t="shared" si="5"/>
        <v/>
      </c>
      <c r="D180" s="46" t="str">
        <f t="shared" si="6"/>
        <v/>
      </c>
    </row>
    <row r="181" spans="3:4" ht="15.75" x14ac:dyDescent="0.25">
      <c r="C181" s="46" t="str">
        <f t="shared" si="5"/>
        <v/>
      </c>
      <c r="D181" s="46" t="str">
        <f t="shared" si="6"/>
        <v/>
      </c>
    </row>
    <row r="182" spans="3:4" ht="15.75" x14ac:dyDescent="0.25">
      <c r="C182" s="46" t="str">
        <f t="shared" si="5"/>
        <v/>
      </c>
      <c r="D182" s="46" t="str">
        <f t="shared" si="6"/>
        <v/>
      </c>
    </row>
    <row r="183" spans="3:4" ht="15.75" x14ac:dyDescent="0.25">
      <c r="C183" s="46" t="str">
        <f t="shared" si="5"/>
        <v/>
      </c>
      <c r="D183" s="46" t="str">
        <f t="shared" si="6"/>
        <v/>
      </c>
    </row>
    <row r="184" spans="3:4" ht="15.75" x14ac:dyDescent="0.25">
      <c r="C184" s="46" t="str">
        <f t="shared" si="5"/>
        <v/>
      </c>
      <c r="D184" s="46" t="str">
        <f t="shared" si="6"/>
        <v/>
      </c>
    </row>
    <row r="185" spans="3:4" ht="15.75" x14ac:dyDescent="0.25">
      <c r="C185" s="46" t="str">
        <f t="shared" si="5"/>
        <v/>
      </c>
      <c r="D185" s="46" t="str">
        <f t="shared" si="6"/>
        <v/>
      </c>
    </row>
    <row r="186" spans="3:4" ht="15.75" x14ac:dyDescent="0.25">
      <c r="C186" s="46" t="str">
        <f t="shared" si="5"/>
        <v/>
      </c>
      <c r="D186" s="46" t="str">
        <f t="shared" si="6"/>
        <v/>
      </c>
    </row>
    <row r="187" spans="3:4" ht="15.75" x14ac:dyDescent="0.25">
      <c r="C187" s="46" t="str">
        <f t="shared" si="5"/>
        <v/>
      </c>
      <c r="D187" s="46" t="str">
        <f t="shared" si="6"/>
        <v/>
      </c>
    </row>
    <row r="188" spans="3:4" ht="15.75" x14ac:dyDescent="0.25">
      <c r="C188" s="46" t="str">
        <f t="shared" si="5"/>
        <v/>
      </c>
      <c r="D188" s="46" t="str">
        <f t="shared" si="6"/>
        <v/>
      </c>
    </row>
    <row r="189" spans="3:4" ht="15.75" x14ac:dyDescent="0.25">
      <c r="C189" s="46" t="str">
        <f t="shared" si="5"/>
        <v/>
      </c>
      <c r="D189" s="46" t="str">
        <f t="shared" si="6"/>
        <v/>
      </c>
    </row>
    <row r="190" spans="3:4" ht="15.75" x14ac:dyDescent="0.25">
      <c r="C190" s="46" t="str">
        <f t="shared" si="5"/>
        <v/>
      </c>
      <c r="D190" s="46" t="str">
        <f t="shared" si="6"/>
        <v/>
      </c>
    </row>
    <row r="191" spans="3:4" ht="15.75" x14ac:dyDescent="0.25">
      <c r="C191" s="46" t="str">
        <f t="shared" si="5"/>
        <v/>
      </c>
      <c r="D191" s="46" t="str">
        <f t="shared" si="6"/>
        <v/>
      </c>
    </row>
    <row r="192" spans="3:4" ht="15.75" x14ac:dyDescent="0.25">
      <c r="C192" s="46" t="str">
        <f t="shared" si="5"/>
        <v/>
      </c>
      <c r="D192" s="46" t="str">
        <f t="shared" si="6"/>
        <v/>
      </c>
    </row>
    <row r="193" spans="3:4" ht="15.75" x14ac:dyDescent="0.25">
      <c r="C193" s="46" t="str">
        <f t="shared" si="5"/>
        <v/>
      </c>
      <c r="D193" s="46" t="str">
        <f t="shared" si="6"/>
        <v/>
      </c>
    </row>
    <row r="194" spans="3:4" ht="15.75" x14ac:dyDescent="0.25">
      <c r="C194" s="46" t="str">
        <f t="shared" si="5"/>
        <v/>
      </c>
      <c r="D194" s="46" t="str">
        <f t="shared" si="6"/>
        <v/>
      </c>
    </row>
    <row r="195" spans="3:4" ht="15.75" x14ac:dyDescent="0.25">
      <c r="C195" s="46" t="str">
        <f t="shared" si="5"/>
        <v/>
      </c>
      <c r="D195" s="46" t="str">
        <f t="shared" si="6"/>
        <v/>
      </c>
    </row>
    <row r="196" spans="3:4" ht="15.75" x14ac:dyDescent="0.25">
      <c r="C196" s="46" t="str">
        <f t="shared" si="5"/>
        <v/>
      </c>
      <c r="D196" s="46" t="str">
        <f t="shared" si="6"/>
        <v/>
      </c>
    </row>
    <row r="197" spans="3:4" ht="15.75" x14ac:dyDescent="0.25">
      <c r="C197" s="46" t="str">
        <f t="shared" si="5"/>
        <v/>
      </c>
      <c r="D197" s="46" t="str">
        <f t="shared" si="6"/>
        <v/>
      </c>
    </row>
    <row r="198" spans="3:4" ht="15.75" x14ac:dyDescent="0.25">
      <c r="C198" s="46" t="str">
        <f t="shared" si="5"/>
        <v/>
      </c>
      <c r="D198" s="46" t="str">
        <f t="shared" si="6"/>
        <v/>
      </c>
    </row>
    <row r="199" spans="3:4" ht="15.75" x14ac:dyDescent="0.25">
      <c r="C199" s="46" t="str">
        <f t="shared" si="5"/>
        <v/>
      </c>
      <c r="D199" s="46" t="str">
        <f t="shared" si="6"/>
        <v/>
      </c>
    </row>
    <row r="200" spans="3:4" ht="15.75" x14ac:dyDescent="0.25">
      <c r="C200" s="46" t="str">
        <f t="shared" si="5"/>
        <v/>
      </c>
      <c r="D200" s="46" t="str">
        <f t="shared" si="6"/>
        <v/>
      </c>
    </row>
    <row r="201" spans="3:4" ht="15.75" x14ac:dyDescent="0.25">
      <c r="C201" s="46" t="str">
        <f t="shared" si="5"/>
        <v/>
      </c>
      <c r="D201" s="46" t="str">
        <f t="shared" si="6"/>
        <v/>
      </c>
    </row>
    <row r="202" spans="3:4" ht="15.75" x14ac:dyDescent="0.25">
      <c r="C202" s="46" t="str">
        <f t="shared" si="5"/>
        <v/>
      </c>
      <c r="D202" s="46" t="str">
        <f t="shared" si="6"/>
        <v/>
      </c>
    </row>
    <row r="203" spans="3:4" ht="15.75" x14ac:dyDescent="0.25">
      <c r="C203" s="46" t="str">
        <f t="shared" si="5"/>
        <v/>
      </c>
      <c r="D203" s="46" t="str">
        <f t="shared" si="6"/>
        <v/>
      </c>
    </row>
    <row r="204" spans="3:4" ht="15.75" x14ac:dyDescent="0.25">
      <c r="C204" s="46" t="str">
        <f t="shared" si="5"/>
        <v/>
      </c>
      <c r="D204" s="46" t="str">
        <f t="shared" si="6"/>
        <v/>
      </c>
    </row>
    <row r="205" spans="3:4" ht="15.75" x14ac:dyDescent="0.25">
      <c r="C205" s="46" t="str">
        <f t="shared" si="5"/>
        <v/>
      </c>
      <c r="D205" s="46" t="str">
        <f t="shared" si="6"/>
        <v/>
      </c>
    </row>
    <row r="206" spans="3:4" ht="15.75" x14ac:dyDescent="0.25">
      <c r="C206" s="46" t="str">
        <f t="shared" ref="C206:C269" si="7">IF(COUNTIF(E206:BA206,"YES")=0,"",COUNTIF(E206:BA206,"YES"))</f>
        <v/>
      </c>
      <c r="D206" s="46" t="str">
        <f t="shared" si="6"/>
        <v/>
      </c>
    </row>
    <row r="207" spans="3:4" ht="15.75" x14ac:dyDescent="0.25">
      <c r="C207" s="46" t="str">
        <f t="shared" si="7"/>
        <v/>
      </c>
      <c r="D207" s="46" t="str">
        <f t="shared" si="6"/>
        <v/>
      </c>
    </row>
    <row r="208" spans="3:4" ht="15.75" x14ac:dyDescent="0.25">
      <c r="C208" s="46" t="str">
        <f t="shared" si="7"/>
        <v/>
      </c>
      <c r="D208" s="46" t="str">
        <f t="shared" si="6"/>
        <v/>
      </c>
    </row>
    <row r="209" spans="3:4" ht="15.75" x14ac:dyDescent="0.25">
      <c r="C209" s="46" t="str">
        <f t="shared" si="7"/>
        <v/>
      </c>
      <c r="D209" s="46" t="str">
        <f t="shared" si="6"/>
        <v/>
      </c>
    </row>
    <row r="210" spans="3:4" ht="15.75" x14ac:dyDescent="0.25">
      <c r="C210" s="46" t="str">
        <f t="shared" si="7"/>
        <v/>
      </c>
      <c r="D210" s="46" t="str">
        <f t="shared" si="6"/>
        <v/>
      </c>
    </row>
    <row r="211" spans="3:4" ht="15.75" x14ac:dyDescent="0.25">
      <c r="C211" s="46" t="str">
        <f t="shared" si="7"/>
        <v/>
      </c>
      <c r="D211" s="46" t="str">
        <f t="shared" si="6"/>
        <v/>
      </c>
    </row>
    <row r="212" spans="3:4" ht="15.75" x14ac:dyDescent="0.25">
      <c r="C212" s="46" t="str">
        <f t="shared" si="7"/>
        <v/>
      </c>
      <c r="D212" s="46" t="str">
        <f t="shared" ref="D212:D275" si="8">IF(COUNTIF(E212:BA212,"NO")=0,"",COUNTIF(E212:BA212,"NO"))</f>
        <v/>
      </c>
    </row>
    <row r="213" spans="3:4" ht="15.75" x14ac:dyDescent="0.25">
      <c r="C213" s="46" t="str">
        <f t="shared" si="7"/>
        <v/>
      </c>
      <c r="D213" s="46" t="str">
        <f t="shared" si="8"/>
        <v/>
      </c>
    </row>
    <row r="214" spans="3:4" ht="15.75" x14ac:dyDescent="0.25">
      <c r="C214" s="46" t="str">
        <f t="shared" si="7"/>
        <v/>
      </c>
      <c r="D214" s="46" t="str">
        <f t="shared" si="8"/>
        <v/>
      </c>
    </row>
    <row r="215" spans="3:4" ht="15.75" x14ac:dyDescent="0.25">
      <c r="C215" s="46" t="str">
        <f t="shared" si="7"/>
        <v/>
      </c>
      <c r="D215" s="46" t="str">
        <f t="shared" si="8"/>
        <v/>
      </c>
    </row>
    <row r="216" spans="3:4" ht="15.75" x14ac:dyDescent="0.25">
      <c r="C216" s="46" t="str">
        <f t="shared" si="7"/>
        <v/>
      </c>
      <c r="D216" s="46" t="str">
        <f t="shared" si="8"/>
        <v/>
      </c>
    </row>
    <row r="217" spans="3:4" ht="15.75" x14ac:dyDescent="0.25">
      <c r="C217" s="46" t="str">
        <f t="shared" si="7"/>
        <v/>
      </c>
      <c r="D217" s="46" t="str">
        <f t="shared" si="8"/>
        <v/>
      </c>
    </row>
    <row r="218" spans="3:4" ht="15.75" x14ac:dyDescent="0.25">
      <c r="C218" s="46" t="str">
        <f t="shared" si="7"/>
        <v/>
      </c>
      <c r="D218" s="46" t="str">
        <f t="shared" si="8"/>
        <v/>
      </c>
    </row>
    <row r="219" spans="3:4" ht="15.75" x14ac:dyDescent="0.25">
      <c r="C219" s="46" t="str">
        <f t="shared" si="7"/>
        <v/>
      </c>
      <c r="D219" s="46" t="str">
        <f t="shared" si="8"/>
        <v/>
      </c>
    </row>
    <row r="220" spans="3:4" ht="15.75" x14ac:dyDescent="0.25">
      <c r="C220" s="46" t="str">
        <f t="shared" si="7"/>
        <v/>
      </c>
      <c r="D220" s="46" t="str">
        <f t="shared" si="8"/>
        <v/>
      </c>
    </row>
    <row r="221" spans="3:4" ht="15.75" x14ac:dyDescent="0.25">
      <c r="C221" s="46" t="str">
        <f t="shared" si="7"/>
        <v/>
      </c>
      <c r="D221" s="46" t="str">
        <f t="shared" si="8"/>
        <v/>
      </c>
    </row>
    <row r="222" spans="3:4" ht="15.75" x14ac:dyDescent="0.25">
      <c r="C222" s="46" t="str">
        <f t="shared" si="7"/>
        <v/>
      </c>
      <c r="D222" s="46" t="str">
        <f t="shared" si="8"/>
        <v/>
      </c>
    </row>
    <row r="223" spans="3:4" ht="15.75" x14ac:dyDescent="0.25">
      <c r="C223" s="46" t="str">
        <f t="shared" si="7"/>
        <v/>
      </c>
      <c r="D223" s="46" t="str">
        <f t="shared" si="8"/>
        <v/>
      </c>
    </row>
    <row r="224" spans="3:4" ht="15.75" x14ac:dyDescent="0.25">
      <c r="C224" s="46" t="str">
        <f t="shared" si="7"/>
        <v/>
      </c>
      <c r="D224" s="46" t="str">
        <f t="shared" si="8"/>
        <v/>
      </c>
    </row>
    <row r="225" spans="3:4" ht="15.75" x14ac:dyDescent="0.25">
      <c r="C225" s="46" t="str">
        <f t="shared" si="7"/>
        <v/>
      </c>
      <c r="D225" s="46" t="str">
        <f t="shared" si="8"/>
        <v/>
      </c>
    </row>
    <row r="226" spans="3:4" ht="15.75" x14ac:dyDescent="0.25">
      <c r="C226" s="46" t="str">
        <f t="shared" si="7"/>
        <v/>
      </c>
      <c r="D226" s="46" t="str">
        <f t="shared" si="8"/>
        <v/>
      </c>
    </row>
    <row r="227" spans="3:4" ht="15.75" x14ac:dyDescent="0.25">
      <c r="C227" s="46" t="str">
        <f t="shared" si="7"/>
        <v/>
      </c>
      <c r="D227" s="46" t="str">
        <f t="shared" si="8"/>
        <v/>
      </c>
    </row>
    <row r="228" spans="3:4" ht="15.75" x14ac:dyDescent="0.25">
      <c r="C228" s="46" t="str">
        <f t="shared" si="7"/>
        <v/>
      </c>
      <c r="D228" s="46" t="str">
        <f t="shared" si="8"/>
        <v/>
      </c>
    </row>
    <row r="229" spans="3:4" ht="15.75" x14ac:dyDescent="0.25">
      <c r="C229" s="46" t="str">
        <f t="shared" si="7"/>
        <v/>
      </c>
      <c r="D229" s="46" t="str">
        <f t="shared" si="8"/>
        <v/>
      </c>
    </row>
    <row r="230" spans="3:4" ht="15.75" x14ac:dyDescent="0.25">
      <c r="C230" s="46" t="str">
        <f t="shared" si="7"/>
        <v/>
      </c>
      <c r="D230" s="46" t="str">
        <f t="shared" si="8"/>
        <v/>
      </c>
    </row>
    <row r="231" spans="3:4" ht="15.75" x14ac:dyDescent="0.25">
      <c r="C231" s="46" t="str">
        <f t="shared" si="7"/>
        <v/>
      </c>
      <c r="D231" s="46" t="str">
        <f t="shared" si="8"/>
        <v/>
      </c>
    </row>
    <row r="232" spans="3:4" ht="15.75" x14ac:dyDescent="0.25">
      <c r="C232" s="46" t="str">
        <f t="shared" si="7"/>
        <v/>
      </c>
      <c r="D232" s="46" t="str">
        <f t="shared" si="8"/>
        <v/>
      </c>
    </row>
    <row r="233" spans="3:4" ht="15.75" x14ac:dyDescent="0.25">
      <c r="C233" s="46" t="str">
        <f t="shared" si="7"/>
        <v/>
      </c>
      <c r="D233" s="46" t="str">
        <f t="shared" si="8"/>
        <v/>
      </c>
    </row>
    <row r="234" spans="3:4" ht="15.75" x14ac:dyDescent="0.25">
      <c r="C234" s="46" t="str">
        <f t="shared" si="7"/>
        <v/>
      </c>
      <c r="D234" s="46" t="str">
        <f t="shared" si="8"/>
        <v/>
      </c>
    </row>
    <row r="235" spans="3:4" ht="15.75" x14ac:dyDescent="0.25">
      <c r="C235" s="46" t="str">
        <f t="shared" si="7"/>
        <v/>
      </c>
      <c r="D235" s="46" t="str">
        <f t="shared" si="8"/>
        <v/>
      </c>
    </row>
    <row r="236" spans="3:4" ht="15.75" x14ac:dyDescent="0.25">
      <c r="C236" s="46" t="str">
        <f t="shared" si="7"/>
        <v/>
      </c>
      <c r="D236" s="46" t="str">
        <f t="shared" si="8"/>
        <v/>
      </c>
    </row>
    <row r="237" spans="3:4" ht="15.75" x14ac:dyDescent="0.25">
      <c r="C237" s="46" t="str">
        <f t="shared" si="7"/>
        <v/>
      </c>
      <c r="D237" s="46" t="str">
        <f t="shared" si="8"/>
        <v/>
      </c>
    </row>
    <row r="238" spans="3:4" ht="15.75" x14ac:dyDescent="0.25">
      <c r="C238" s="46" t="str">
        <f t="shared" si="7"/>
        <v/>
      </c>
      <c r="D238" s="46" t="str">
        <f t="shared" si="8"/>
        <v/>
      </c>
    </row>
    <row r="239" spans="3:4" ht="15.75" x14ac:dyDescent="0.25">
      <c r="C239" s="46" t="str">
        <f t="shared" si="7"/>
        <v/>
      </c>
      <c r="D239" s="46" t="str">
        <f t="shared" si="8"/>
        <v/>
      </c>
    </row>
    <row r="240" spans="3:4" ht="15.75" x14ac:dyDescent="0.25">
      <c r="C240" s="46" t="str">
        <f t="shared" si="7"/>
        <v/>
      </c>
      <c r="D240" s="46" t="str">
        <f t="shared" si="8"/>
        <v/>
      </c>
    </row>
    <row r="241" spans="3:4" ht="15.75" x14ac:dyDescent="0.25">
      <c r="C241" s="46" t="str">
        <f t="shared" si="7"/>
        <v/>
      </c>
      <c r="D241" s="46" t="str">
        <f t="shared" si="8"/>
        <v/>
      </c>
    </row>
    <row r="242" spans="3:4" ht="15.75" x14ac:dyDescent="0.25">
      <c r="C242" s="46" t="str">
        <f t="shared" si="7"/>
        <v/>
      </c>
      <c r="D242" s="46" t="str">
        <f t="shared" si="8"/>
        <v/>
      </c>
    </row>
    <row r="243" spans="3:4" ht="15.75" x14ac:dyDescent="0.25">
      <c r="C243" s="46" t="str">
        <f t="shared" si="7"/>
        <v/>
      </c>
      <c r="D243" s="46" t="str">
        <f t="shared" si="8"/>
        <v/>
      </c>
    </row>
    <row r="244" spans="3:4" ht="15.75" x14ac:dyDescent="0.25">
      <c r="C244" s="46" t="str">
        <f t="shared" si="7"/>
        <v/>
      </c>
      <c r="D244" s="46" t="str">
        <f t="shared" si="8"/>
        <v/>
      </c>
    </row>
    <row r="245" spans="3:4" ht="15.75" x14ac:dyDescent="0.25">
      <c r="C245" s="46" t="str">
        <f t="shared" si="7"/>
        <v/>
      </c>
      <c r="D245" s="46" t="str">
        <f t="shared" si="8"/>
        <v/>
      </c>
    </row>
    <row r="246" spans="3:4" ht="15.75" x14ac:dyDescent="0.25">
      <c r="C246" s="46" t="str">
        <f t="shared" si="7"/>
        <v/>
      </c>
      <c r="D246" s="46" t="str">
        <f t="shared" si="8"/>
        <v/>
      </c>
    </row>
    <row r="247" spans="3:4" ht="15.75" x14ac:dyDescent="0.25">
      <c r="C247" s="46" t="str">
        <f t="shared" si="7"/>
        <v/>
      </c>
      <c r="D247" s="46" t="str">
        <f t="shared" si="8"/>
        <v/>
      </c>
    </row>
    <row r="248" spans="3:4" ht="15.75" x14ac:dyDescent="0.25">
      <c r="C248" s="46" t="str">
        <f t="shared" si="7"/>
        <v/>
      </c>
      <c r="D248" s="46" t="str">
        <f t="shared" si="8"/>
        <v/>
      </c>
    </row>
    <row r="249" spans="3:4" ht="15.75" x14ac:dyDescent="0.25">
      <c r="C249" s="46" t="str">
        <f t="shared" si="7"/>
        <v/>
      </c>
      <c r="D249" s="46" t="str">
        <f t="shared" si="8"/>
        <v/>
      </c>
    </row>
    <row r="250" spans="3:4" ht="15.75" x14ac:dyDescent="0.25">
      <c r="C250" s="46" t="str">
        <f t="shared" si="7"/>
        <v/>
      </c>
      <c r="D250" s="46" t="str">
        <f t="shared" si="8"/>
        <v/>
      </c>
    </row>
    <row r="251" spans="3:4" ht="15.75" x14ac:dyDescent="0.25">
      <c r="C251" s="46" t="str">
        <f t="shared" si="7"/>
        <v/>
      </c>
      <c r="D251" s="46" t="str">
        <f t="shared" si="8"/>
        <v/>
      </c>
    </row>
    <row r="252" spans="3:4" ht="15.75" x14ac:dyDescent="0.25">
      <c r="C252" s="46" t="str">
        <f t="shared" si="7"/>
        <v/>
      </c>
      <c r="D252" s="46" t="str">
        <f t="shared" si="8"/>
        <v/>
      </c>
    </row>
    <row r="253" spans="3:4" ht="15.75" x14ac:dyDescent="0.25">
      <c r="C253" s="46" t="str">
        <f t="shared" si="7"/>
        <v/>
      </c>
      <c r="D253" s="46" t="str">
        <f t="shared" si="8"/>
        <v/>
      </c>
    </row>
    <row r="254" spans="3:4" ht="15.75" x14ac:dyDescent="0.25">
      <c r="C254" s="46" t="str">
        <f t="shared" si="7"/>
        <v/>
      </c>
      <c r="D254" s="46" t="str">
        <f t="shared" si="8"/>
        <v/>
      </c>
    </row>
    <row r="255" spans="3:4" ht="15.75" x14ac:dyDescent="0.25">
      <c r="C255" s="46" t="str">
        <f t="shared" si="7"/>
        <v/>
      </c>
      <c r="D255" s="46" t="str">
        <f t="shared" si="8"/>
        <v/>
      </c>
    </row>
    <row r="256" spans="3:4" ht="15.75" x14ac:dyDescent="0.25">
      <c r="C256" s="46" t="str">
        <f t="shared" si="7"/>
        <v/>
      </c>
      <c r="D256" s="46" t="str">
        <f t="shared" si="8"/>
        <v/>
      </c>
    </row>
    <row r="257" spans="3:4" ht="15.75" x14ac:dyDescent="0.25">
      <c r="C257" s="46" t="str">
        <f t="shared" si="7"/>
        <v/>
      </c>
      <c r="D257" s="46" t="str">
        <f t="shared" si="8"/>
        <v/>
      </c>
    </row>
    <row r="258" spans="3:4" ht="15.75" x14ac:dyDescent="0.25">
      <c r="C258" s="46" t="str">
        <f t="shared" si="7"/>
        <v/>
      </c>
      <c r="D258" s="46" t="str">
        <f t="shared" si="8"/>
        <v/>
      </c>
    </row>
    <row r="259" spans="3:4" ht="15.75" x14ac:dyDescent="0.25">
      <c r="C259" s="46" t="str">
        <f t="shared" si="7"/>
        <v/>
      </c>
      <c r="D259" s="46" t="str">
        <f t="shared" si="8"/>
        <v/>
      </c>
    </row>
    <row r="260" spans="3:4" ht="15.75" x14ac:dyDescent="0.25">
      <c r="C260" s="46" t="str">
        <f t="shared" si="7"/>
        <v/>
      </c>
      <c r="D260" s="46" t="str">
        <f t="shared" si="8"/>
        <v/>
      </c>
    </row>
    <row r="261" spans="3:4" ht="15.75" x14ac:dyDescent="0.25">
      <c r="C261" s="46" t="str">
        <f t="shared" si="7"/>
        <v/>
      </c>
      <c r="D261" s="46" t="str">
        <f t="shared" si="8"/>
        <v/>
      </c>
    </row>
    <row r="262" spans="3:4" ht="15.75" x14ac:dyDescent="0.25">
      <c r="C262" s="46" t="str">
        <f t="shared" si="7"/>
        <v/>
      </c>
      <c r="D262" s="46" t="str">
        <f t="shared" si="8"/>
        <v/>
      </c>
    </row>
    <row r="263" spans="3:4" ht="15.75" x14ac:dyDescent="0.25">
      <c r="C263" s="46" t="str">
        <f t="shared" si="7"/>
        <v/>
      </c>
      <c r="D263" s="46" t="str">
        <f t="shared" si="8"/>
        <v/>
      </c>
    </row>
    <row r="264" spans="3:4" ht="15.75" x14ac:dyDescent="0.25">
      <c r="C264" s="46" t="str">
        <f t="shared" si="7"/>
        <v/>
      </c>
      <c r="D264" s="46" t="str">
        <f t="shared" si="8"/>
        <v/>
      </c>
    </row>
    <row r="265" spans="3:4" ht="15.75" x14ac:dyDescent="0.25">
      <c r="C265" s="46" t="str">
        <f t="shared" si="7"/>
        <v/>
      </c>
      <c r="D265" s="46" t="str">
        <f t="shared" si="8"/>
        <v/>
      </c>
    </row>
    <row r="266" spans="3:4" ht="15.75" x14ac:dyDescent="0.25">
      <c r="C266" s="46" t="str">
        <f t="shared" si="7"/>
        <v/>
      </c>
      <c r="D266" s="46" t="str">
        <f t="shared" si="8"/>
        <v/>
      </c>
    </row>
    <row r="267" spans="3:4" ht="15.75" x14ac:dyDescent="0.25">
      <c r="C267" s="46" t="str">
        <f t="shared" si="7"/>
        <v/>
      </c>
      <c r="D267" s="46" t="str">
        <f t="shared" si="8"/>
        <v/>
      </c>
    </row>
    <row r="268" spans="3:4" ht="15.75" x14ac:dyDescent="0.25">
      <c r="C268" s="46" t="str">
        <f t="shared" si="7"/>
        <v/>
      </c>
      <c r="D268" s="46" t="str">
        <f t="shared" si="8"/>
        <v/>
      </c>
    </row>
    <row r="269" spans="3:4" ht="15.75" x14ac:dyDescent="0.25">
      <c r="C269" s="46" t="str">
        <f t="shared" si="7"/>
        <v/>
      </c>
      <c r="D269" s="46" t="str">
        <f t="shared" si="8"/>
        <v/>
      </c>
    </row>
    <row r="270" spans="3:4" ht="15.75" x14ac:dyDescent="0.25">
      <c r="C270" s="46" t="str">
        <f t="shared" ref="C270:C330" si="9">IF(COUNTIF(E270:BA270,"YES")=0,"",COUNTIF(E270:BA270,"YES"))</f>
        <v/>
      </c>
      <c r="D270" s="46" t="str">
        <f t="shared" si="8"/>
        <v/>
      </c>
    </row>
    <row r="271" spans="3:4" ht="15.75" x14ac:dyDescent="0.25">
      <c r="C271" s="46" t="str">
        <f t="shared" si="9"/>
        <v/>
      </c>
      <c r="D271" s="46" t="str">
        <f t="shared" si="8"/>
        <v/>
      </c>
    </row>
    <row r="272" spans="3:4" ht="15.75" x14ac:dyDescent="0.25">
      <c r="C272" s="46" t="str">
        <f t="shared" si="9"/>
        <v/>
      </c>
      <c r="D272" s="46" t="str">
        <f t="shared" si="8"/>
        <v/>
      </c>
    </row>
    <row r="273" spans="3:4" ht="15.75" x14ac:dyDescent="0.25">
      <c r="C273" s="46" t="str">
        <f t="shared" si="9"/>
        <v/>
      </c>
      <c r="D273" s="46" t="str">
        <f t="shared" si="8"/>
        <v/>
      </c>
    </row>
    <row r="274" spans="3:4" ht="15.75" x14ac:dyDescent="0.25">
      <c r="C274" s="46" t="str">
        <f t="shared" si="9"/>
        <v/>
      </c>
      <c r="D274" s="46" t="str">
        <f t="shared" si="8"/>
        <v/>
      </c>
    </row>
    <row r="275" spans="3:4" ht="15.75" x14ac:dyDescent="0.25">
      <c r="C275" s="46" t="str">
        <f t="shared" si="9"/>
        <v/>
      </c>
      <c r="D275" s="46" t="str">
        <f t="shared" si="8"/>
        <v/>
      </c>
    </row>
    <row r="276" spans="3:4" ht="15.75" x14ac:dyDescent="0.25">
      <c r="C276" s="46" t="str">
        <f t="shared" si="9"/>
        <v/>
      </c>
      <c r="D276" s="46" t="str">
        <f t="shared" ref="D276:D330" si="10">IF(COUNTIF(E276:BA276,"NO")=0,"",COUNTIF(E276:BA276,"NO"))</f>
        <v/>
      </c>
    </row>
    <row r="277" spans="3:4" ht="15.75" x14ac:dyDescent="0.25">
      <c r="C277" s="46" t="str">
        <f t="shared" si="9"/>
        <v/>
      </c>
      <c r="D277" s="46" t="str">
        <f t="shared" si="10"/>
        <v/>
      </c>
    </row>
    <row r="278" spans="3:4" ht="15.75" x14ac:dyDescent="0.25">
      <c r="C278" s="46" t="str">
        <f t="shared" si="9"/>
        <v/>
      </c>
      <c r="D278" s="46" t="str">
        <f t="shared" si="10"/>
        <v/>
      </c>
    </row>
    <row r="279" spans="3:4" ht="15.75" x14ac:dyDescent="0.25">
      <c r="C279" s="46" t="str">
        <f t="shared" si="9"/>
        <v/>
      </c>
      <c r="D279" s="46" t="str">
        <f t="shared" si="10"/>
        <v/>
      </c>
    </row>
    <row r="280" spans="3:4" ht="15.75" x14ac:dyDescent="0.25">
      <c r="C280" s="46" t="str">
        <f t="shared" si="9"/>
        <v/>
      </c>
      <c r="D280" s="46" t="str">
        <f t="shared" si="10"/>
        <v/>
      </c>
    </row>
    <row r="281" spans="3:4" ht="15.75" x14ac:dyDescent="0.25">
      <c r="C281" s="46" t="str">
        <f t="shared" si="9"/>
        <v/>
      </c>
      <c r="D281" s="46" t="str">
        <f t="shared" si="10"/>
        <v/>
      </c>
    </row>
    <row r="282" spans="3:4" ht="15.75" x14ac:dyDescent="0.25">
      <c r="C282" s="46" t="str">
        <f t="shared" si="9"/>
        <v/>
      </c>
      <c r="D282" s="46" t="str">
        <f t="shared" si="10"/>
        <v/>
      </c>
    </row>
    <row r="283" spans="3:4" ht="15.75" x14ac:dyDescent="0.25">
      <c r="C283" s="46" t="str">
        <f t="shared" si="9"/>
        <v/>
      </c>
      <c r="D283" s="46" t="str">
        <f t="shared" si="10"/>
        <v/>
      </c>
    </row>
    <row r="284" spans="3:4" ht="15.75" x14ac:dyDescent="0.25">
      <c r="C284" s="46" t="str">
        <f t="shared" si="9"/>
        <v/>
      </c>
      <c r="D284" s="46" t="str">
        <f t="shared" si="10"/>
        <v/>
      </c>
    </row>
    <row r="285" spans="3:4" ht="15.75" x14ac:dyDescent="0.25">
      <c r="C285" s="46" t="str">
        <f t="shared" si="9"/>
        <v/>
      </c>
      <c r="D285" s="46" t="str">
        <f t="shared" si="10"/>
        <v/>
      </c>
    </row>
    <row r="286" spans="3:4" ht="15.75" x14ac:dyDescent="0.25">
      <c r="C286" s="46" t="str">
        <f t="shared" si="9"/>
        <v/>
      </c>
      <c r="D286" s="46" t="str">
        <f t="shared" si="10"/>
        <v/>
      </c>
    </row>
    <row r="287" spans="3:4" ht="15.75" x14ac:dyDescent="0.25">
      <c r="C287" s="46" t="str">
        <f t="shared" si="9"/>
        <v/>
      </c>
      <c r="D287" s="46" t="str">
        <f t="shared" si="10"/>
        <v/>
      </c>
    </row>
    <row r="288" spans="3:4" ht="15.75" x14ac:dyDescent="0.25">
      <c r="C288" s="46" t="str">
        <f t="shared" si="9"/>
        <v/>
      </c>
      <c r="D288" s="46" t="str">
        <f t="shared" si="10"/>
        <v/>
      </c>
    </row>
    <row r="289" spans="3:4" ht="15.75" x14ac:dyDescent="0.25">
      <c r="C289" s="46" t="str">
        <f t="shared" si="9"/>
        <v/>
      </c>
      <c r="D289" s="46" t="str">
        <f t="shared" si="10"/>
        <v/>
      </c>
    </row>
    <row r="290" spans="3:4" ht="15.75" x14ac:dyDescent="0.25">
      <c r="C290" s="46" t="str">
        <f t="shared" si="9"/>
        <v/>
      </c>
      <c r="D290" s="46" t="str">
        <f t="shared" si="10"/>
        <v/>
      </c>
    </row>
    <row r="291" spans="3:4" ht="15.75" x14ac:dyDescent="0.25">
      <c r="C291" s="46" t="str">
        <f t="shared" si="9"/>
        <v/>
      </c>
      <c r="D291" s="46" t="str">
        <f t="shared" si="10"/>
        <v/>
      </c>
    </row>
    <row r="292" spans="3:4" ht="15.75" x14ac:dyDescent="0.25">
      <c r="C292" s="46" t="str">
        <f t="shared" si="9"/>
        <v/>
      </c>
      <c r="D292" s="46" t="str">
        <f t="shared" si="10"/>
        <v/>
      </c>
    </row>
    <row r="293" spans="3:4" ht="15.75" x14ac:dyDescent="0.25">
      <c r="C293" s="46" t="str">
        <f t="shared" si="9"/>
        <v/>
      </c>
      <c r="D293" s="46" t="str">
        <f t="shared" si="10"/>
        <v/>
      </c>
    </row>
    <row r="294" spans="3:4" ht="15.75" x14ac:dyDescent="0.25">
      <c r="C294" s="46" t="str">
        <f t="shared" si="9"/>
        <v/>
      </c>
      <c r="D294" s="46" t="str">
        <f t="shared" si="10"/>
        <v/>
      </c>
    </row>
    <row r="295" spans="3:4" ht="15.75" x14ac:dyDescent="0.25">
      <c r="C295" s="46" t="str">
        <f t="shared" si="9"/>
        <v/>
      </c>
      <c r="D295" s="46" t="str">
        <f t="shared" si="10"/>
        <v/>
      </c>
    </row>
    <row r="296" spans="3:4" ht="15.75" x14ac:dyDescent="0.25">
      <c r="C296" s="46" t="str">
        <f t="shared" si="9"/>
        <v/>
      </c>
      <c r="D296" s="46" t="str">
        <f t="shared" si="10"/>
        <v/>
      </c>
    </row>
    <row r="297" spans="3:4" ht="15.75" x14ac:dyDescent="0.25">
      <c r="C297" s="46" t="str">
        <f t="shared" si="9"/>
        <v/>
      </c>
      <c r="D297" s="46" t="str">
        <f t="shared" si="10"/>
        <v/>
      </c>
    </row>
    <row r="298" spans="3:4" ht="15.75" x14ac:dyDescent="0.25">
      <c r="C298" s="46" t="str">
        <f t="shared" si="9"/>
        <v/>
      </c>
      <c r="D298" s="46" t="str">
        <f t="shared" si="10"/>
        <v/>
      </c>
    </row>
    <row r="299" spans="3:4" ht="15.75" x14ac:dyDescent="0.25">
      <c r="C299" s="46" t="str">
        <f t="shared" si="9"/>
        <v/>
      </c>
      <c r="D299" s="46" t="str">
        <f t="shared" si="10"/>
        <v/>
      </c>
    </row>
    <row r="300" spans="3:4" ht="15.75" x14ac:dyDescent="0.25">
      <c r="C300" s="46" t="str">
        <f t="shared" si="9"/>
        <v/>
      </c>
      <c r="D300" s="46" t="str">
        <f t="shared" si="10"/>
        <v/>
      </c>
    </row>
    <row r="301" spans="3:4" ht="15.75" x14ac:dyDescent="0.25">
      <c r="C301" s="46" t="str">
        <f t="shared" si="9"/>
        <v/>
      </c>
      <c r="D301" s="46" t="str">
        <f t="shared" si="10"/>
        <v/>
      </c>
    </row>
    <row r="302" spans="3:4" ht="15.75" x14ac:dyDescent="0.25">
      <c r="C302" s="46" t="str">
        <f t="shared" si="9"/>
        <v/>
      </c>
      <c r="D302" s="46" t="str">
        <f t="shared" si="10"/>
        <v/>
      </c>
    </row>
    <row r="303" spans="3:4" ht="15.75" x14ac:dyDescent="0.25">
      <c r="C303" s="46" t="str">
        <f t="shared" si="9"/>
        <v/>
      </c>
      <c r="D303" s="46" t="str">
        <f t="shared" si="10"/>
        <v/>
      </c>
    </row>
    <row r="304" spans="3:4" ht="15.75" x14ac:dyDescent="0.25">
      <c r="C304" s="46" t="str">
        <f t="shared" si="9"/>
        <v/>
      </c>
      <c r="D304" s="46" t="str">
        <f t="shared" si="10"/>
        <v/>
      </c>
    </row>
    <row r="305" spans="3:4" ht="15.75" x14ac:dyDescent="0.25">
      <c r="C305" s="46" t="str">
        <f t="shared" si="9"/>
        <v/>
      </c>
      <c r="D305" s="46" t="str">
        <f t="shared" si="10"/>
        <v/>
      </c>
    </row>
    <row r="306" spans="3:4" ht="15.75" x14ac:dyDescent="0.25">
      <c r="C306" s="46" t="str">
        <f t="shared" si="9"/>
        <v/>
      </c>
      <c r="D306" s="46" t="str">
        <f t="shared" si="10"/>
        <v/>
      </c>
    </row>
    <row r="307" spans="3:4" ht="15.75" x14ac:dyDescent="0.25">
      <c r="C307" s="46" t="str">
        <f t="shared" si="9"/>
        <v/>
      </c>
      <c r="D307" s="46" t="str">
        <f t="shared" si="10"/>
        <v/>
      </c>
    </row>
    <row r="308" spans="3:4" ht="15.75" x14ac:dyDescent="0.25">
      <c r="C308" s="46" t="str">
        <f t="shared" si="9"/>
        <v/>
      </c>
      <c r="D308" s="46" t="str">
        <f t="shared" si="10"/>
        <v/>
      </c>
    </row>
    <row r="309" spans="3:4" ht="15.75" x14ac:dyDescent="0.25">
      <c r="C309" s="46" t="str">
        <f t="shared" si="9"/>
        <v/>
      </c>
      <c r="D309" s="46" t="str">
        <f t="shared" si="10"/>
        <v/>
      </c>
    </row>
    <row r="310" spans="3:4" ht="15.75" x14ac:dyDescent="0.25">
      <c r="C310" s="46" t="str">
        <f t="shared" si="9"/>
        <v/>
      </c>
      <c r="D310" s="46" t="str">
        <f t="shared" si="10"/>
        <v/>
      </c>
    </row>
    <row r="311" spans="3:4" ht="15.75" x14ac:dyDescent="0.25">
      <c r="C311" s="46" t="str">
        <f t="shared" si="9"/>
        <v/>
      </c>
      <c r="D311" s="46" t="str">
        <f t="shared" si="10"/>
        <v/>
      </c>
    </row>
    <row r="312" spans="3:4" ht="15.75" x14ac:dyDescent="0.25">
      <c r="C312" s="46" t="str">
        <f t="shared" si="9"/>
        <v/>
      </c>
      <c r="D312" s="46" t="str">
        <f t="shared" si="10"/>
        <v/>
      </c>
    </row>
    <row r="313" spans="3:4" ht="15.75" x14ac:dyDescent="0.25">
      <c r="C313" s="46" t="str">
        <f t="shared" si="9"/>
        <v/>
      </c>
      <c r="D313" s="46" t="str">
        <f t="shared" si="10"/>
        <v/>
      </c>
    </row>
    <row r="314" spans="3:4" ht="15.75" x14ac:dyDescent="0.25">
      <c r="C314" s="46" t="str">
        <f t="shared" si="9"/>
        <v/>
      </c>
      <c r="D314" s="46" t="str">
        <f t="shared" si="10"/>
        <v/>
      </c>
    </row>
    <row r="315" spans="3:4" ht="15.75" x14ac:dyDescent="0.25">
      <c r="C315" s="46" t="str">
        <f t="shared" si="9"/>
        <v/>
      </c>
      <c r="D315" s="46" t="str">
        <f t="shared" si="10"/>
        <v/>
      </c>
    </row>
    <row r="316" spans="3:4" ht="15.75" x14ac:dyDescent="0.25">
      <c r="C316" s="46" t="str">
        <f t="shared" si="9"/>
        <v/>
      </c>
      <c r="D316" s="46" t="str">
        <f t="shared" si="10"/>
        <v/>
      </c>
    </row>
    <row r="317" spans="3:4" ht="15.75" x14ac:dyDescent="0.25">
      <c r="C317" s="46" t="str">
        <f t="shared" si="9"/>
        <v/>
      </c>
      <c r="D317" s="46" t="str">
        <f t="shared" si="10"/>
        <v/>
      </c>
    </row>
    <row r="318" spans="3:4" ht="15.75" x14ac:dyDescent="0.25">
      <c r="C318" s="46" t="str">
        <f t="shared" si="9"/>
        <v/>
      </c>
      <c r="D318" s="46" t="str">
        <f t="shared" si="10"/>
        <v/>
      </c>
    </row>
    <row r="319" spans="3:4" ht="15.75" x14ac:dyDescent="0.25">
      <c r="C319" s="46" t="str">
        <f t="shared" si="9"/>
        <v/>
      </c>
      <c r="D319" s="46" t="str">
        <f t="shared" si="10"/>
        <v/>
      </c>
    </row>
    <row r="320" spans="3:4" ht="15.75" x14ac:dyDescent="0.25">
      <c r="C320" s="46" t="str">
        <f t="shared" si="9"/>
        <v/>
      </c>
      <c r="D320" s="46" t="str">
        <f t="shared" si="10"/>
        <v/>
      </c>
    </row>
    <row r="321" spans="3:4" ht="15.75" x14ac:dyDescent="0.25">
      <c r="C321" s="46" t="str">
        <f t="shared" si="9"/>
        <v/>
      </c>
      <c r="D321" s="46" t="str">
        <f t="shared" si="10"/>
        <v/>
      </c>
    </row>
    <row r="322" spans="3:4" ht="15.75" x14ac:dyDescent="0.25">
      <c r="C322" s="46" t="str">
        <f t="shared" si="9"/>
        <v/>
      </c>
      <c r="D322" s="46" t="str">
        <f t="shared" si="10"/>
        <v/>
      </c>
    </row>
    <row r="323" spans="3:4" ht="15.75" x14ac:dyDescent="0.25">
      <c r="C323" s="46" t="str">
        <f t="shared" si="9"/>
        <v/>
      </c>
      <c r="D323" s="46" t="str">
        <f t="shared" si="10"/>
        <v/>
      </c>
    </row>
    <row r="324" spans="3:4" ht="15.75" x14ac:dyDescent="0.25">
      <c r="C324" s="46" t="str">
        <f t="shared" si="9"/>
        <v/>
      </c>
      <c r="D324" s="46" t="str">
        <f t="shared" si="10"/>
        <v/>
      </c>
    </row>
    <row r="325" spans="3:4" ht="15.75" x14ac:dyDescent="0.25">
      <c r="C325" s="46" t="str">
        <f t="shared" si="9"/>
        <v/>
      </c>
      <c r="D325" s="46" t="str">
        <f t="shared" si="10"/>
        <v/>
      </c>
    </row>
    <row r="326" spans="3:4" ht="15.75" x14ac:dyDescent="0.25">
      <c r="C326" s="46" t="str">
        <f t="shared" si="9"/>
        <v/>
      </c>
      <c r="D326" s="46" t="str">
        <f t="shared" si="10"/>
        <v/>
      </c>
    </row>
    <row r="327" spans="3:4" ht="15.75" x14ac:dyDescent="0.25">
      <c r="C327" s="46" t="str">
        <f t="shared" si="9"/>
        <v/>
      </c>
      <c r="D327" s="46" t="str">
        <f t="shared" si="10"/>
        <v/>
      </c>
    </row>
    <row r="328" spans="3:4" ht="15.75" x14ac:dyDescent="0.25">
      <c r="C328" s="46" t="str">
        <f t="shared" si="9"/>
        <v/>
      </c>
      <c r="D328" s="46" t="str">
        <f t="shared" si="10"/>
        <v/>
      </c>
    </row>
    <row r="329" spans="3:4" ht="15.75" x14ac:dyDescent="0.25">
      <c r="C329" s="46" t="str">
        <f t="shared" si="9"/>
        <v/>
      </c>
      <c r="D329" s="46" t="str">
        <f t="shared" si="10"/>
        <v/>
      </c>
    </row>
    <row r="330" spans="3:4" ht="15.75" x14ac:dyDescent="0.25">
      <c r="C330" s="46" t="str">
        <f t="shared" si="9"/>
        <v/>
      </c>
      <c r="D330" s="46" t="str">
        <f t="shared" si="10"/>
        <v/>
      </c>
    </row>
  </sheetData>
  <conditionalFormatting sqref="E8:H14 E16:H41">
    <cfRule type="cellIs" dxfId="63" priority="3" stopIfTrue="1" operator="equal">
      <formula>"YES"</formula>
    </cfRule>
    <cfRule type="cellIs" dxfId="62" priority="4" stopIfTrue="1" operator="equal">
      <formula>"NO"</formula>
    </cfRule>
  </conditionalFormatting>
  <conditionalFormatting sqref="E15:H15">
    <cfRule type="cellIs" dxfId="61" priority="1" stopIfTrue="1" operator="equal">
      <formula>"YES"</formula>
    </cfRule>
    <cfRule type="cellIs" dxfId="60" priority="2" stopIfTrue="1" operator="equal">
      <formula>"NO"</formula>
    </cfRule>
  </conditionalFormatting>
  <dataValidations count="1">
    <dataValidation type="list" allowBlank="1" showInputMessage="1" showErrorMessage="1" sqref="E8:H41" xr:uid="{00000000-0002-0000-0700-000000000000}">
      <formula1>$D$1:$D$3</formula1>
    </dataValidation>
  </dataValidations>
  <hyperlinks>
    <hyperlink ref="B5" r:id="rId1" display="ALE_2.10n" xr:uid="{00000000-0004-0000-0700-000000000000}"/>
  </hyperlinks>
  <pageMargins left="0.75" right="0.75" top="1" bottom="1" header="0.4921259845" footer="0.4921259845"/>
  <pageSetup paperSize="9" scale="61" fitToHeight="0" orientation="portrait" r:id="rId2"/>
  <headerFooter alignWithMargins="0"/>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9">
    <tabColor theme="7"/>
    <pageSetUpPr fitToPage="1"/>
  </sheetPr>
  <dimension ref="A1:H311"/>
  <sheetViews>
    <sheetView zoomScale="90" zoomScaleNormal="90" workbookViewId="0">
      <pane xSplit="2" ySplit="4" topLeftCell="C17"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42578125" style="40" customWidth="1"/>
    <col min="2" max="2" width="97.85546875" style="57" bestFit="1" customWidth="1"/>
    <col min="3" max="4" width="4.42578125" style="40" bestFit="1" customWidth="1"/>
    <col min="5" max="8" width="6" style="40" customWidth="1"/>
    <col min="9" max="16384" width="9.140625" style="40"/>
  </cols>
  <sheetData>
    <row r="1" spans="1:8" ht="0.75" customHeight="1" thickBot="1" x14ac:dyDescent="0.25">
      <c r="D1" s="40" t="s">
        <v>43</v>
      </c>
    </row>
    <row r="2" spans="1:8" hidden="1" x14ac:dyDescent="0.2">
      <c r="D2" s="40" t="s">
        <v>44</v>
      </c>
    </row>
    <row r="3" spans="1:8" ht="13.5" hidden="1" thickBot="1" x14ac:dyDescent="0.25">
      <c r="D3" s="40" t="s">
        <v>13</v>
      </c>
    </row>
    <row r="4" spans="1:8" ht="88.5" thickTop="1" thickBot="1" x14ac:dyDescent="0.4">
      <c r="A4" s="58"/>
      <c r="B4" s="47" t="s">
        <v>361</v>
      </c>
      <c r="C4" s="43" t="s">
        <v>46</v>
      </c>
      <c r="D4" s="43" t="s">
        <v>47</v>
      </c>
      <c r="E4" s="43" t="s">
        <v>326</v>
      </c>
      <c r="F4" s="43" t="s">
        <v>326</v>
      </c>
      <c r="G4" s="43" t="s">
        <v>326</v>
      </c>
      <c r="H4" s="43" t="s">
        <v>326</v>
      </c>
    </row>
    <row r="5" spans="1:8" ht="16.5" thickTop="1" x14ac:dyDescent="0.25">
      <c r="A5" s="224"/>
      <c r="B5" s="189" t="s">
        <v>359</v>
      </c>
      <c r="C5" s="71" t="str">
        <f t="shared" ref="C5:C50" si="0">IF(COUNTIF(E5:BA5,"YES")=0,"",COUNTIF(E5:BA5,"YES"))</f>
        <v/>
      </c>
      <c r="D5" s="71" t="str">
        <f t="shared" ref="D5:D50" si="1">IF(COUNTIF(E5:BA5,"NO")=0,"",COUNTIF(E5:BA5,"NO"))</f>
        <v/>
      </c>
      <c r="E5" s="79"/>
      <c r="F5" s="79"/>
      <c r="G5" s="79"/>
      <c r="H5" s="79"/>
    </row>
    <row r="6" spans="1:8" ht="14.25" customHeight="1" x14ac:dyDescent="0.25">
      <c r="A6" s="223"/>
      <c r="B6" s="239" t="s">
        <v>85</v>
      </c>
      <c r="C6" s="71" t="str">
        <f t="shared" si="0"/>
        <v/>
      </c>
      <c r="D6" s="71" t="str">
        <f t="shared" si="1"/>
        <v/>
      </c>
      <c r="E6" s="72"/>
      <c r="F6" s="72"/>
      <c r="G6" s="72"/>
      <c r="H6" s="72"/>
    </row>
    <row r="7" spans="1:8" ht="15.75" x14ac:dyDescent="0.25">
      <c r="A7" s="229">
        <v>1</v>
      </c>
      <c r="B7" s="260" t="s">
        <v>343</v>
      </c>
      <c r="C7" s="44" t="str">
        <f t="shared" si="0"/>
        <v/>
      </c>
      <c r="D7" s="44" t="str">
        <f t="shared" si="1"/>
        <v/>
      </c>
      <c r="E7" s="41"/>
      <c r="F7" s="41"/>
      <c r="G7" s="41"/>
      <c r="H7" s="41"/>
    </row>
    <row r="8" spans="1:8" ht="15.75" x14ac:dyDescent="0.25">
      <c r="A8" s="234">
        <v>2</v>
      </c>
      <c r="B8" s="260" t="s">
        <v>344</v>
      </c>
      <c r="C8" s="44" t="str">
        <f t="shared" si="0"/>
        <v/>
      </c>
      <c r="D8" s="44" t="str">
        <f t="shared" si="1"/>
        <v/>
      </c>
      <c r="E8" s="41"/>
      <c r="F8" s="41"/>
      <c r="G8" s="41"/>
      <c r="H8" s="41"/>
    </row>
    <row r="9" spans="1:8" ht="15.75" x14ac:dyDescent="0.25">
      <c r="A9" s="229">
        <v>3</v>
      </c>
      <c r="B9" s="260" t="s">
        <v>115</v>
      </c>
      <c r="C9" s="44" t="str">
        <f t="shared" si="0"/>
        <v/>
      </c>
      <c r="D9" s="44" t="str">
        <f t="shared" si="1"/>
        <v/>
      </c>
      <c r="E9" s="41"/>
      <c r="F9" s="41"/>
      <c r="G9" s="41"/>
      <c r="H9" s="41"/>
    </row>
    <row r="10" spans="1:8" ht="15.75" x14ac:dyDescent="0.25">
      <c r="A10" s="234">
        <v>4</v>
      </c>
      <c r="B10" s="260" t="s">
        <v>345</v>
      </c>
      <c r="C10" s="44" t="str">
        <f t="shared" si="0"/>
        <v/>
      </c>
      <c r="D10" s="44" t="str">
        <f t="shared" si="1"/>
        <v/>
      </c>
      <c r="E10" s="41"/>
      <c r="F10" s="41"/>
      <c r="G10" s="41"/>
      <c r="H10" s="41"/>
    </row>
    <row r="11" spans="1:8" ht="15.75" x14ac:dyDescent="0.25">
      <c r="A11" s="229">
        <v>5</v>
      </c>
      <c r="B11" s="260" t="s">
        <v>346</v>
      </c>
      <c r="C11" s="44" t="str">
        <f t="shared" si="0"/>
        <v/>
      </c>
      <c r="D11" s="44" t="str">
        <f t="shared" si="1"/>
        <v/>
      </c>
      <c r="E11" s="41"/>
      <c r="F11" s="41"/>
      <c r="G11" s="41"/>
      <c r="H11" s="41"/>
    </row>
    <row r="12" spans="1:8" ht="15.75" x14ac:dyDescent="0.25">
      <c r="A12" s="234">
        <v>6</v>
      </c>
      <c r="B12" s="260" t="s">
        <v>347</v>
      </c>
      <c r="C12" s="44" t="str">
        <f t="shared" si="0"/>
        <v/>
      </c>
      <c r="D12" s="44" t="str">
        <f t="shared" si="1"/>
        <v/>
      </c>
      <c r="E12" s="41"/>
      <c r="F12" s="41"/>
      <c r="G12" s="41"/>
      <c r="H12" s="41"/>
    </row>
    <row r="13" spans="1:8" ht="15.75" x14ac:dyDescent="0.25">
      <c r="A13" s="229">
        <v>7</v>
      </c>
      <c r="B13" s="260" t="s">
        <v>348</v>
      </c>
      <c r="C13" s="44" t="str">
        <f t="shared" si="0"/>
        <v/>
      </c>
      <c r="D13" s="44" t="str">
        <f t="shared" si="1"/>
        <v/>
      </c>
      <c r="E13" s="41"/>
      <c r="F13" s="41"/>
      <c r="G13" s="41"/>
      <c r="H13" s="41"/>
    </row>
    <row r="14" spans="1:8" ht="15.75" x14ac:dyDescent="0.25">
      <c r="A14" s="234">
        <v>8</v>
      </c>
      <c r="B14" s="260" t="s">
        <v>349</v>
      </c>
      <c r="C14" s="44" t="str">
        <f t="shared" si="0"/>
        <v/>
      </c>
      <c r="D14" s="44" t="str">
        <f t="shared" si="1"/>
        <v/>
      </c>
      <c r="E14" s="41"/>
      <c r="F14" s="41"/>
      <c r="G14" s="41"/>
      <c r="H14" s="41"/>
    </row>
    <row r="15" spans="1:8" ht="13.5" customHeight="1" x14ac:dyDescent="0.25">
      <c r="A15" s="229">
        <v>9</v>
      </c>
      <c r="B15" s="261" t="s">
        <v>350</v>
      </c>
      <c r="C15" s="71" t="str">
        <f t="shared" si="0"/>
        <v/>
      </c>
      <c r="D15" s="71" t="str">
        <f t="shared" si="1"/>
        <v/>
      </c>
      <c r="E15" s="41"/>
      <c r="F15" s="41"/>
      <c r="G15" s="41"/>
      <c r="H15" s="41"/>
    </row>
    <row r="16" spans="1:8" ht="13.5" customHeight="1" x14ac:dyDescent="0.25">
      <c r="A16" s="235"/>
      <c r="B16" s="239" t="s">
        <v>93</v>
      </c>
      <c r="C16" s="44" t="str">
        <f t="shared" si="0"/>
        <v/>
      </c>
      <c r="D16" s="44" t="str">
        <f t="shared" si="1"/>
        <v/>
      </c>
      <c r="E16" s="72"/>
      <c r="F16" s="72"/>
      <c r="G16" s="72"/>
      <c r="H16" s="72"/>
    </row>
    <row r="17" spans="1:8" ht="13.5" customHeight="1" x14ac:dyDescent="0.25">
      <c r="A17" s="236">
        <v>10</v>
      </c>
      <c r="B17" s="260" t="s">
        <v>351</v>
      </c>
      <c r="C17" s="44" t="str">
        <f t="shared" si="0"/>
        <v/>
      </c>
      <c r="D17" s="44" t="str">
        <f t="shared" si="1"/>
        <v/>
      </c>
      <c r="E17" s="41"/>
      <c r="F17" s="41"/>
      <c r="G17" s="41"/>
      <c r="H17" s="41"/>
    </row>
    <row r="18" spans="1:8" ht="15.75" x14ac:dyDescent="0.25">
      <c r="A18" s="237">
        <v>11</v>
      </c>
      <c r="B18" s="262" t="s">
        <v>352</v>
      </c>
      <c r="C18" s="44" t="str">
        <f t="shared" si="0"/>
        <v/>
      </c>
      <c r="D18" s="44" t="str">
        <f t="shared" si="1"/>
        <v/>
      </c>
      <c r="E18" s="41"/>
      <c r="F18" s="41"/>
      <c r="G18" s="41"/>
      <c r="H18" s="41"/>
    </row>
    <row r="19" spans="1:8" ht="25.5" x14ac:dyDescent="0.25">
      <c r="A19" s="236">
        <v>12</v>
      </c>
      <c r="B19" s="260" t="s">
        <v>150</v>
      </c>
      <c r="C19" s="71" t="str">
        <f t="shared" si="0"/>
        <v/>
      </c>
      <c r="D19" s="71" t="str">
        <f t="shared" si="1"/>
        <v/>
      </c>
      <c r="E19" s="41"/>
      <c r="F19" s="41"/>
      <c r="G19" s="41"/>
      <c r="H19" s="41"/>
    </row>
    <row r="20" spans="1:8" ht="13.5" customHeight="1" x14ac:dyDescent="0.25">
      <c r="A20" s="237">
        <v>13</v>
      </c>
      <c r="B20" s="260" t="s">
        <v>353</v>
      </c>
      <c r="C20" s="71" t="str">
        <f t="shared" si="0"/>
        <v/>
      </c>
      <c r="D20" s="71" t="str">
        <f t="shared" si="1"/>
        <v/>
      </c>
      <c r="E20" s="41"/>
      <c r="F20" s="41"/>
      <c r="G20" s="41"/>
      <c r="H20" s="41"/>
    </row>
    <row r="21" spans="1:8" ht="15.75" x14ac:dyDescent="0.25">
      <c r="A21" s="236">
        <v>14</v>
      </c>
      <c r="B21" s="262" t="s">
        <v>354</v>
      </c>
      <c r="C21" s="44" t="str">
        <f t="shared" si="0"/>
        <v/>
      </c>
      <c r="D21" s="44" t="str">
        <f t="shared" si="1"/>
        <v/>
      </c>
      <c r="E21" s="41"/>
      <c r="F21" s="41"/>
      <c r="G21" s="41"/>
      <c r="H21" s="41"/>
    </row>
    <row r="22" spans="1:8" ht="25.5" x14ac:dyDescent="0.25">
      <c r="A22" s="237">
        <v>15</v>
      </c>
      <c r="B22" s="260" t="s">
        <v>357</v>
      </c>
      <c r="C22" s="44" t="str">
        <f t="shared" si="0"/>
        <v/>
      </c>
      <c r="D22" s="44" t="str">
        <f t="shared" si="1"/>
        <v/>
      </c>
      <c r="E22" s="41"/>
      <c r="F22" s="41"/>
      <c r="G22" s="41"/>
      <c r="H22" s="41"/>
    </row>
    <row r="23" spans="1:8" ht="15.75" x14ac:dyDescent="0.25">
      <c r="A23" s="236">
        <v>16</v>
      </c>
      <c r="B23" s="260" t="s">
        <v>355</v>
      </c>
      <c r="C23" s="44" t="str">
        <f t="shared" si="0"/>
        <v/>
      </c>
      <c r="D23" s="44" t="str">
        <f t="shared" si="1"/>
        <v/>
      </c>
      <c r="E23" s="41"/>
      <c r="F23" s="41"/>
      <c r="G23" s="41"/>
      <c r="H23" s="41"/>
    </row>
    <row r="24" spans="1:8" ht="25.5" x14ac:dyDescent="0.25">
      <c r="A24" s="237">
        <v>17</v>
      </c>
      <c r="B24" s="263" t="s">
        <v>151</v>
      </c>
      <c r="C24" s="44" t="str">
        <f t="shared" si="0"/>
        <v/>
      </c>
      <c r="D24" s="44" t="str">
        <f t="shared" si="1"/>
        <v/>
      </c>
      <c r="E24" s="41"/>
      <c r="F24" s="41"/>
      <c r="G24" s="41"/>
      <c r="H24" s="41"/>
    </row>
    <row r="25" spans="1:8" ht="25.5" x14ac:dyDescent="0.25">
      <c r="A25" s="236">
        <v>18</v>
      </c>
      <c r="B25" s="260" t="s">
        <v>356</v>
      </c>
      <c r="C25" s="44" t="str">
        <f t="shared" si="0"/>
        <v/>
      </c>
      <c r="D25" s="44" t="str">
        <f t="shared" si="1"/>
        <v/>
      </c>
      <c r="E25" s="41"/>
      <c r="F25" s="41"/>
      <c r="G25" s="41"/>
      <c r="H25" s="41"/>
    </row>
    <row r="26" spans="1:8" ht="15.75" x14ac:dyDescent="0.25">
      <c r="A26" s="237">
        <v>19</v>
      </c>
      <c r="B26" s="262" t="s">
        <v>133</v>
      </c>
      <c r="C26" s="44" t="str">
        <f t="shared" si="0"/>
        <v/>
      </c>
      <c r="D26" s="44" t="str">
        <f t="shared" si="1"/>
        <v/>
      </c>
      <c r="E26" s="41"/>
      <c r="F26" s="41"/>
      <c r="G26" s="41"/>
      <c r="H26" s="41"/>
    </row>
    <row r="27" spans="1:8" ht="15.75" x14ac:dyDescent="0.25">
      <c r="A27" s="236">
        <v>20</v>
      </c>
      <c r="B27" s="262" t="s">
        <v>135</v>
      </c>
      <c r="C27" s="71" t="str">
        <f t="shared" si="0"/>
        <v/>
      </c>
      <c r="D27" s="71" t="str">
        <f t="shared" si="1"/>
        <v/>
      </c>
      <c r="E27" s="41"/>
      <c r="F27" s="41"/>
      <c r="G27" s="41"/>
      <c r="H27" s="41"/>
    </row>
    <row r="28" spans="1:8" ht="15.75" x14ac:dyDescent="0.25">
      <c r="A28" s="237">
        <v>21</v>
      </c>
      <c r="B28" s="262" t="s">
        <v>136</v>
      </c>
      <c r="C28" s="44" t="str">
        <f t="shared" si="0"/>
        <v/>
      </c>
      <c r="D28" s="44" t="str">
        <f t="shared" si="1"/>
        <v/>
      </c>
      <c r="E28" s="41"/>
      <c r="F28" s="41"/>
      <c r="G28" s="41"/>
      <c r="H28" s="41"/>
    </row>
    <row r="29" spans="1:8" ht="13.5" customHeight="1" thickBot="1" x14ac:dyDescent="0.3">
      <c r="A29" s="238">
        <v>22</v>
      </c>
      <c r="B29" s="264" t="s">
        <v>152</v>
      </c>
      <c r="C29" s="44" t="str">
        <f t="shared" si="0"/>
        <v/>
      </c>
      <c r="D29" s="44" t="str">
        <f t="shared" si="1"/>
        <v/>
      </c>
      <c r="E29" s="41"/>
      <c r="F29" s="41"/>
      <c r="G29" s="41"/>
      <c r="H29" s="41"/>
    </row>
    <row r="30" spans="1:8" ht="15.75" x14ac:dyDescent="0.25">
      <c r="C30" s="46" t="str">
        <f t="shared" si="0"/>
        <v/>
      </c>
      <c r="D30" s="46" t="str">
        <f t="shared" si="1"/>
        <v/>
      </c>
    </row>
    <row r="31" spans="1:8" ht="15.75" x14ac:dyDescent="0.25">
      <c r="C31" s="46" t="str">
        <f t="shared" si="0"/>
        <v/>
      </c>
      <c r="D31" s="46" t="str">
        <f t="shared" si="1"/>
        <v/>
      </c>
    </row>
    <row r="32" spans="1:8" ht="15.75" x14ac:dyDescent="0.25">
      <c r="C32" s="46" t="str">
        <f t="shared" si="0"/>
        <v/>
      </c>
      <c r="D32" s="46" t="str">
        <f t="shared" si="1"/>
        <v/>
      </c>
    </row>
    <row r="33" spans="3:4" ht="15.75" x14ac:dyDescent="0.25">
      <c r="C33" s="46" t="str">
        <f t="shared" si="0"/>
        <v/>
      </c>
      <c r="D33" s="46" t="str">
        <f t="shared" si="1"/>
        <v/>
      </c>
    </row>
    <row r="34" spans="3:4" ht="15.75" x14ac:dyDescent="0.25">
      <c r="C34" s="46" t="str">
        <f t="shared" si="0"/>
        <v/>
      </c>
      <c r="D34" s="46" t="str">
        <f t="shared" si="1"/>
        <v/>
      </c>
    </row>
    <row r="35" spans="3:4" ht="15.75" x14ac:dyDescent="0.25">
      <c r="C35" s="46" t="str">
        <f t="shared" si="0"/>
        <v/>
      </c>
      <c r="D35" s="46" t="str">
        <f t="shared" si="1"/>
        <v/>
      </c>
    </row>
    <row r="36" spans="3:4" ht="15.75" x14ac:dyDescent="0.25">
      <c r="C36" s="46" t="str">
        <f t="shared" si="0"/>
        <v/>
      </c>
      <c r="D36" s="46" t="str">
        <f t="shared" si="1"/>
        <v/>
      </c>
    </row>
    <row r="37" spans="3:4" ht="15.75" x14ac:dyDescent="0.25">
      <c r="C37" s="46" t="str">
        <f t="shared" si="0"/>
        <v/>
      </c>
      <c r="D37" s="46" t="str">
        <f t="shared" si="1"/>
        <v/>
      </c>
    </row>
    <row r="38" spans="3:4" ht="15.75" x14ac:dyDescent="0.25">
      <c r="C38" s="46" t="str">
        <f t="shared" si="0"/>
        <v/>
      </c>
      <c r="D38" s="46" t="str">
        <f t="shared" si="1"/>
        <v/>
      </c>
    </row>
    <row r="39" spans="3:4" ht="15.75" x14ac:dyDescent="0.25">
      <c r="C39" s="46" t="str">
        <f t="shared" si="0"/>
        <v/>
      </c>
      <c r="D39" s="46" t="str">
        <f t="shared" si="1"/>
        <v/>
      </c>
    </row>
    <row r="40" spans="3:4" ht="15.75" x14ac:dyDescent="0.25">
      <c r="C40" s="46" t="str">
        <f t="shared" si="0"/>
        <v/>
      </c>
      <c r="D40" s="46" t="str">
        <f t="shared" si="1"/>
        <v/>
      </c>
    </row>
    <row r="41" spans="3:4" ht="15.75" x14ac:dyDescent="0.25">
      <c r="C41" s="46" t="str">
        <f t="shared" si="0"/>
        <v/>
      </c>
      <c r="D41" s="46" t="str">
        <f t="shared" si="1"/>
        <v/>
      </c>
    </row>
    <row r="42" spans="3:4" ht="15.75" x14ac:dyDescent="0.25">
      <c r="C42" s="46" t="str">
        <f t="shared" si="0"/>
        <v/>
      </c>
      <c r="D42" s="46" t="str">
        <f t="shared" si="1"/>
        <v/>
      </c>
    </row>
    <row r="43" spans="3:4" ht="15.75" x14ac:dyDescent="0.25">
      <c r="C43" s="46" t="str">
        <f t="shared" si="0"/>
        <v/>
      </c>
      <c r="D43" s="46" t="str">
        <f t="shared" si="1"/>
        <v/>
      </c>
    </row>
    <row r="44" spans="3:4" ht="15.75" x14ac:dyDescent="0.25">
      <c r="C44" s="46" t="str">
        <f t="shared" si="0"/>
        <v/>
      </c>
      <c r="D44" s="46" t="str">
        <f t="shared" si="1"/>
        <v/>
      </c>
    </row>
    <row r="45" spans="3:4" ht="15.75" x14ac:dyDescent="0.25">
      <c r="C45" s="46" t="str">
        <f t="shared" si="0"/>
        <v/>
      </c>
      <c r="D45" s="46" t="str">
        <f t="shared" si="1"/>
        <v/>
      </c>
    </row>
    <row r="46" spans="3:4" ht="15.75" x14ac:dyDescent="0.25">
      <c r="C46" s="46" t="str">
        <f t="shared" si="0"/>
        <v/>
      </c>
      <c r="D46" s="46" t="str">
        <f t="shared" si="1"/>
        <v/>
      </c>
    </row>
    <row r="47" spans="3:4" ht="15.75" x14ac:dyDescent="0.25">
      <c r="C47" s="46" t="str">
        <f t="shared" si="0"/>
        <v/>
      </c>
      <c r="D47" s="46" t="str">
        <f t="shared" si="1"/>
        <v/>
      </c>
    </row>
    <row r="48" spans="3:4" ht="15.75" x14ac:dyDescent="0.25">
      <c r="C48" s="46" t="str">
        <f t="shared" si="0"/>
        <v/>
      </c>
      <c r="D48" s="46" t="str">
        <f t="shared" si="1"/>
        <v/>
      </c>
    </row>
    <row r="49" spans="3:4" ht="15.75" x14ac:dyDescent="0.25">
      <c r="C49" s="46" t="str">
        <f t="shared" si="0"/>
        <v/>
      </c>
      <c r="D49" s="46" t="str">
        <f t="shared" si="1"/>
        <v/>
      </c>
    </row>
    <row r="50" spans="3:4" ht="15.75" x14ac:dyDescent="0.25">
      <c r="C50" s="46" t="str">
        <f t="shared" si="0"/>
        <v/>
      </c>
      <c r="D50" s="46" t="str">
        <f t="shared" si="1"/>
        <v/>
      </c>
    </row>
    <row r="51" spans="3:4" ht="15.75" x14ac:dyDescent="0.25">
      <c r="C51" s="46" t="str">
        <f t="shared" ref="C51:C114" si="2">IF(COUNTIF(E51:BA51,"YES")=0,"",COUNTIF(E51:BA51,"YES"))</f>
        <v/>
      </c>
      <c r="D51" s="46" t="str">
        <f t="shared" ref="D51:D114" si="3">IF(COUNTIF(E51:BA51,"NO")=0,"",COUNTIF(E51:BA51,"NO"))</f>
        <v/>
      </c>
    </row>
    <row r="52" spans="3:4" ht="15.75" x14ac:dyDescent="0.25">
      <c r="C52" s="46" t="str">
        <f t="shared" si="2"/>
        <v/>
      </c>
      <c r="D52" s="46" t="str">
        <f t="shared" si="3"/>
        <v/>
      </c>
    </row>
    <row r="53" spans="3:4" ht="15.75" x14ac:dyDescent="0.25">
      <c r="C53" s="46" t="str">
        <f t="shared" si="2"/>
        <v/>
      </c>
      <c r="D53" s="46" t="str">
        <f t="shared" si="3"/>
        <v/>
      </c>
    </row>
    <row r="54" spans="3:4" ht="15.75" x14ac:dyDescent="0.25">
      <c r="C54" s="46" t="str">
        <f t="shared" si="2"/>
        <v/>
      </c>
      <c r="D54" s="46" t="str">
        <f t="shared" si="3"/>
        <v/>
      </c>
    </row>
    <row r="55" spans="3:4" ht="15.75" x14ac:dyDescent="0.25">
      <c r="C55" s="46" t="str">
        <f t="shared" si="2"/>
        <v/>
      </c>
      <c r="D55" s="46" t="str">
        <f t="shared" si="3"/>
        <v/>
      </c>
    </row>
    <row r="56" spans="3:4" ht="15.75" x14ac:dyDescent="0.25">
      <c r="C56" s="46" t="str">
        <f t="shared" si="2"/>
        <v/>
      </c>
      <c r="D56" s="46" t="str">
        <f t="shared" si="3"/>
        <v/>
      </c>
    </row>
    <row r="57" spans="3:4" ht="15.75" x14ac:dyDescent="0.25">
      <c r="C57" s="46" t="str">
        <f t="shared" si="2"/>
        <v/>
      </c>
      <c r="D57" s="46" t="str">
        <f t="shared" si="3"/>
        <v/>
      </c>
    </row>
    <row r="58" spans="3:4" ht="15.75" x14ac:dyDescent="0.25">
      <c r="C58" s="46" t="str">
        <f t="shared" si="2"/>
        <v/>
      </c>
      <c r="D58" s="46" t="str">
        <f t="shared" si="3"/>
        <v/>
      </c>
    </row>
    <row r="59" spans="3:4" ht="15.75" x14ac:dyDescent="0.25">
      <c r="C59" s="46" t="str">
        <f t="shared" si="2"/>
        <v/>
      </c>
      <c r="D59" s="46" t="str">
        <f t="shared" si="3"/>
        <v/>
      </c>
    </row>
    <row r="60" spans="3:4" ht="15.75" x14ac:dyDescent="0.25">
      <c r="C60" s="46" t="str">
        <f t="shared" si="2"/>
        <v/>
      </c>
      <c r="D60" s="46" t="str">
        <f t="shared" si="3"/>
        <v/>
      </c>
    </row>
    <row r="61" spans="3:4" ht="15.75" x14ac:dyDescent="0.25">
      <c r="C61" s="46" t="str">
        <f t="shared" si="2"/>
        <v/>
      </c>
      <c r="D61" s="46" t="str">
        <f t="shared" si="3"/>
        <v/>
      </c>
    </row>
    <row r="62" spans="3:4" ht="15.75" x14ac:dyDescent="0.25">
      <c r="C62" s="46" t="str">
        <f t="shared" si="2"/>
        <v/>
      </c>
      <c r="D62" s="46" t="str">
        <f t="shared" si="3"/>
        <v/>
      </c>
    </row>
    <row r="63" spans="3:4" ht="15.75" x14ac:dyDescent="0.25">
      <c r="C63" s="46" t="str">
        <f t="shared" si="2"/>
        <v/>
      </c>
      <c r="D63" s="46" t="str">
        <f t="shared" si="3"/>
        <v/>
      </c>
    </row>
    <row r="64" spans="3:4" ht="15.75" x14ac:dyDescent="0.25">
      <c r="C64" s="46" t="str">
        <f t="shared" si="2"/>
        <v/>
      </c>
      <c r="D64" s="46" t="str">
        <f t="shared" si="3"/>
        <v/>
      </c>
    </row>
    <row r="65" spans="3:4" ht="15.75" x14ac:dyDescent="0.25">
      <c r="C65" s="46" t="str">
        <f t="shared" si="2"/>
        <v/>
      </c>
      <c r="D65" s="46" t="str">
        <f t="shared" si="3"/>
        <v/>
      </c>
    </row>
    <row r="66" spans="3:4" ht="15.75" x14ac:dyDescent="0.25">
      <c r="C66" s="46" t="str">
        <f t="shared" si="2"/>
        <v/>
      </c>
      <c r="D66" s="46" t="str">
        <f t="shared" si="3"/>
        <v/>
      </c>
    </row>
    <row r="67" spans="3:4" ht="15.75" x14ac:dyDescent="0.25">
      <c r="C67" s="46" t="str">
        <f t="shared" si="2"/>
        <v/>
      </c>
      <c r="D67" s="46" t="str">
        <f t="shared" si="3"/>
        <v/>
      </c>
    </row>
    <row r="68" spans="3:4" ht="15.75" x14ac:dyDescent="0.25">
      <c r="C68" s="46" t="str">
        <f t="shared" si="2"/>
        <v/>
      </c>
      <c r="D68" s="46" t="str">
        <f t="shared" si="3"/>
        <v/>
      </c>
    </row>
    <row r="69" spans="3:4" ht="15.75" x14ac:dyDescent="0.25">
      <c r="C69" s="46" t="str">
        <f t="shared" si="2"/>
        <v/>
      </c>
      <c r="D69" s="46" t="str">
        <f t="shared" si="3"/>
        <v/>
      </c>
    </row>
    <row r="70" spans="3:4" ht="15.75" x14ac:dyDescent="0.25">
      <c r="C70" s="46" t="str">
        <f t="shared" si="2"/>
        <v/>
      </c>
      <c r="D70" s="46" t="str">
        <f t="shared" si="3"/>
        <v/>
      </c>
    </row>
    <row r="71" spans="3:4" ht="15.75" x14ac:dyDescent="0.25">
      <c r="C71" s="46" t="str">
        <f t="shared" si="2"/>
        <v/>
      </c>
      <c r="D71" s="46" t="str">
        <f t="shared" si="3"/>
        <v/>
      </c>
    </row>
    <row r="72" spans="3:4" ht="15.75" x14ac:dyDescent="0.25">
      <c r="C72" s="46" t="str">
        <f t="shared" si="2"/>
        <v/>
      </c>
      <c r="D72" s="46" t="str">
        <f t="shared" si="3"/>
        <v/>
      </c>
    </row>
    <row r="73" spans="3:4" ht="15.75" x14ac:dyDescent="0.25">
      <c r="C73" s="46" t="str">
        <f t="shared" si="2"/>
        <v/>
      </c>
      <c r="D73" s="46" t="str">
        <f t="shared" si="3"/>
        <v/>
      </c>
    </row>
    <row r="74" spans="3:4" ht="15.75" x14ac:dyDescent="0.25">
      <c r="C74" s="46" t="str">
        <f t="shared" si="2"/>
        <v/>
      </c>
      <c r="D74" s="46" t="str">
        <f t="shared" si="3"/>
        <v/>
      </c>
    </row>
    <row r="75" spans="3:4" ht="15.75" x14ac:dyDescent="0.25">
      <c r="C75" s="46" t="str">
        <f t="shared" si="2"/>
        <v/>
      </c>
      <c r="D75" s="46" t="str">
        <f t="shared" si="3"/>
        <v/>
      </c>
    </row>
    <row r="76" spans="3:4" ht="15.75" x14ac:dyDescent="0.25">
      <c r="C76" s="46" t="str">
        <f t="shared" si="2"/>
        <v/>
      </c>
      <c r="D76" s="46" t="str">
        <f t="shared" si="3"/>
        <v/>
      </c>
    </row>
    <row r="77" spans="3:4" ht="15.75" x14ac:dyDescent="0.25">
      <c r="C77" s="46" t="str">
        <f t="shared" si="2"/>
        <v/>
      </c>
      <c r="D77" s="46" t="str">
        <f t="shared" si="3"/>
        <v/>
      </c>
    </row>
    <row r="78" spans="3:4" ht="15.75" x14ac:dyDescent="0.25">
      <c r="C78" s="46" t="str">
        <f t="shared" si="2"/>
        <v/>
      </c>
      <c r="D78" s="46" t="str">
        <f t="shared" si="3"/>
        <v/>
      </c>
    </row>
    <row r="79" spans="3:4" ht="15.75" x14ac:dyDescent="0.25">
      <c r="C79" s="46" t="str">
        <f t="shared" si="2"/>
        <v/>
      </c>
      <c r="D79" s="46" t="str">
        <f t="shared" si="3"/>
        <v/>
      </c>
    </row>
    <row r="80" spans="3:4" ht="15.75" x14ac:dyDescent="0.25">
      <c r="C80" s="46" t="str">
        <f t="shared" si="2"/>
        <v/>
      </c>
      <c r="D80" s="46" t="str">
        <f t="shared" si="3"/>
        <v/>
      </c>
    </row>
    <row r="81" spans="3:4" ht="15.75" x14ac:dyDescent="0.25">
      <c r="C81" s="46" t="str">
        <f t="shared" si="2"/>
        <v/>
      </c>
      <c r="D81" s="46" t="str">
        <f t="shared" si="3"/>
        <v/>
      </c>
    </row>
    <row r="82" spans="3:4" ht="15.75" x14ac:dyDescent="0.25">
      <c r="C82" s="46" t="str">
        <f t="shared" si="2"/>
        <v/>
      </c>
      <c r="D82" s="46" t="str">
        <f t="shared" si="3"/>
        <v/>
      </c>
    </row>
    <row r="83" spans="3:4" ht="15.75" x14ac:dyDescent="0.25">
      <c r="C83" s="46" t="str">
        <f t="shared" si="2"/>
        <v/>
      </c>
      <c r="D83" s="46" t="str">
        <f t="shared" si="3"/>
        <v/>
      </c>
    </row>
    <row r="84" spans="3:4" ht="15.75" x14ac:dyDescent="0.25">
      <c r="C84" s="46" t="str">
        <f t="shared" si="2"/>
        <v/>
      </c>
      <c r="D84" s="46" t="str">
        <f t="shared" si="3"/>
        <v/>
      </c>
    </row>
    <row r="85" spans="3:4" ht="15.75" x14ac:dyDescent="0.25">
      <c r="C85" s="46" t="str">
        <f t="shared" si="2"/>
        <v/>
      </c>
      <c r="D85" s="46" t="str">
        <f t="shared" si="3"/>
        <v/>
      </c>
    </row>
    <row r="86" spans="3:4" ht="15.75" x14ac:dyDescent="0.25">
      <c r="C86" s="46" t="str">
        <f t="shared" si="2"/>
        <v/>
      </c>
      <c r="D86" s="46" t="str">
        <f t="shared" si="3"/>
        <v/>
      </c>
    </row>
    <row r="87" spans="3:4" ht="15.75" x14ac:dyDescent="0.25">
      <c r="C87" s="46" t="str">
        <f t="shared" si="2"/>
        <v/>
      </c>
      <c r="D87" s="46" t="str">
        <f t="shared" si="3"/>
        <v/>
      </c>
    </row>
    <row r="88" spans="3:4" ht="15.75" x14ac:dyDescent="0.25">
      <c r="C88" s="46" t="str">
        <f t="shared" si="2"/>
        <v/>
      </c>
      <c r="D88" s="46" t="str">
        <f t="shared" si="3"/>
        <v/>
      </c>
    </row>
    <row r="89" spans="3:4" ht="15.75" x14ac:dyDescent="0.25">
      <c r="C89" s="46" t="str">
        <f t="shared" si="2"/>
        <v/>
      </c>
      <c r="D89" s="46" t="str">
        <f t="shared" si="3"/>
        <v/>
      </c>
    </row>
    <row r="90" spans="3:4" ht="15.75" x14ac:dyDescent="0.25">
      <c r="C90" s="46" t="str">
        <f t="shared" si="2"/>
        <v/>
      </c>
      <c r="D90" s="46" t="str">
        <f t="shared" si="3"/>
        <v/>
      </c>
    </row>
    <row r="91" spans="3:4" ht="15.75" x14ac:dyDescent="0.25">
      <c r="C91" s="46" t="str">
        <f t="shared" si="2"/>
        <v/>
      </c>
      <c r="D91" s="46" t="str">
        <f t="shared" si="3"/>
        <v/>
      </c>
    </row>
    <row r="92" spans="3:4" ht="15.75" x14ac:dyDescent="0.25">
      <c r="C92" s="46" t="str">
        <f t="shared" si="2"/>
        <v/>
      </c>
      <c r="D92" s="46" t="str">
        <f t="shared" si="3"/>
        <v/>
      </c>
    </row>
    <row r="93" spans="3:4" ht="15.75" x14ac:dyDescent="0.25">
      <c r="C93" s="46" t="str">
        <f t="shared" si="2"/>
        <v/>
      </c>
      <c r="D93" s="46" t="str">
        <f t="shared" si="3"/>
        <v/>
      </c>
    </row>
    <row r="94" spans="3:4" ht="15.75" x14ac:dyDescent="0.25">
      <c r="C94" s="46" t="str">
        <f t="shared" si="2"/>
        <v/>
      </c>
      <c r="D94" s="46" t="str">
        <f t="shared" si="3"/>
        <v/>
      </c>
    </row>
    <row r="95" spans="3:4" ht="15.75" x14ac:dyDescent="0.25">
      <c r="C95" s="46" t="str">
        <f t="shared" si="2"/>
        <v/>
      </c>
      <c r="D95" s="46" t="str">
        <f t="shared" si="3"/>
        <v/>
      </c>
    </row>
    <row r="96" spans="3:4" ht="15.75" x14ac:dyDescent="0.25">
      <c r="C96" s="46" t="str">
        <f t="shared" si="2"/>
        <v/>
      </c>
      <c r="D96" s="46" t="str">
        <f t="shared" si="3"/>
        <v/>
      </c>
    </row>
    <row r="97" spans="3:4" ht="15.75" x14ac:dyDescent="0.25">
      <c r="C97" s="46" t="str">
        <f t="shared" si="2"/>
        <v/>
      </c>
      <c r="D97" s="46" t="str">
        <f t="shared" si="3"/>
        <v/>
      </c>
    </row>
    <row r="98" spans="3:4" ht="15.75" x14ac:dyDescent="0.25">
      <c r="C98" s="46" t="str">
        <f t="shared" si="2"/>
        <v/>
      </c>
      <c r="D98" s="46" t="str">
        <f t="shared" si="3"/>
        <v/>
      </c>
    </row>
    <row r="99" spans="3:4" ht="15.75" x14ac:dyDescent="0.25">
      <c r="C99" s="46" t="str">
        <f t="shared" si="2"/>
        <v/>
      </c>
      <c r="D99" s="46" t="str">
        <f t="shared" si="3"/>
        <v/>
      </c>
    </row>
    <row r="100" spans="3:4" ht="15.75" x14ac:dyDescent="0.25">
      <c r="C100" s="46" t="str">
        <f t="shared" si="2"/>
        <v/>
      </c>
      <c r="D100" s="46" t="str">
        <f t="shared" si="3"/>
        <v/>
      </c>
    </row>
    <row r="101" spans="3:4" ht="15.75" x14ac:dyDescent="0.25">
      <c r="C101" s="46" t="str">
        <f t="shared" si="2"/>
        <v/>
      </c>
      <c r="D101" s="46" t="str">
        <f t="shared" si="3"/>
        <v/>
      </c>
    </row>
    <row r="102" spans="3:4" ht="15.75" x14ac:dyDescent="0.25">
      <c r="C102" s="46" t="str">
        <f t="shared" si="2"/>
        <v/>
      </c>
      <c r="D102" s="46" t="str">
        <f t="shared" si="3"/>
        <v/>
      </c>
    </row>
    <row r="103" spans="3:4" ht="15.75" x14ac:dyDescent="0.25">
      <c r="C103" s="46" t="str">
        <f t="shared" si="2"/>
        <v/>
      </c>
      <c r="D103" s="46" t="str">
        <f t="shared" si="3"/>
        <v/>
      </c>
    </row>
    <row r="104" spans="3:4" ht="15.75" x14ac:dyDescent="0.25">
      <c r="C104" s="46" t="str">
        <f t="shared" si="2"/>
        <v/>
      </c>
      <c r="D104" s="46" t="str">
        <f t="shared" si="3"/>
        <v/>
      </c>
    </row>
    <row r="105" spans="3:4" ht="15.75" x14ac:dyDescent="0.25">
      <c r="C105" s="46" t="str">
        <f t="shared" si="2"/>
        <v/>
      </c>
      <c r="D105" s="46" t="str">
        <f t="shared" si="3"/>
        <v/>
      </c>
    </row>
    <row r="106" spans="3:4" ht="15.75" x14ac:dyDescent="0.25">
      <c r="C106" s="46" t="str">
        <f t="shared" si="2"/>
        <v/>
      </c>
      <c r="D106" s="46" t="str">
        <f t="shared" si="3"/>
        <v/>
      </c>
    </row>
    <row r="107" spans="3:4" ht="15.75" x14ac:dyDescent="0.25">
      <c r="C107" s="46" t="str">
        <f t="shared" si="2"/>
        <v/>
      </c>
      <c r="D107" s="46" t="str">
        <f t="shared" si="3"/>
        <v/>
      </c>
    </row>
    <row r="108" spans="3:4" ht="15.75" x14ac:dyDescent="0.25">
      <c r="C108" s="46" t="str">
        <f t="shared" si="2"/>
        <v/>
      </c>
      <c r="D108" s="46" t="str">
        <f t="shared" si="3"/>
        <v/>
      </c>
    </row>
    <row r="109" spans="3:4" ht="15.75" x14ac:dyDescent="0.25">
      <c r="C109" s="46" t="str">
        <f t="shared" si="2"/>
        <v/>
      </c>
      <c r="D109" s="46" t="str">
        <f t="shared" si="3"/>
        <v/>
      </c>
    </row>
    <row r="110" spans="3:4" ht="15.75" x14ac:dyDescent="0.25">
      <c r="C110" s="46" t="str">
        <f t="shared" si="2"/>
        <v/>
      </c>
      <c r="D110" s="46" t="str">
        <f t="shared" si="3"/>
        <v/>
      </c>
    </row>
    <row r="111" spans="3:4" ht="15.75" x14ac:dyDescent="0.25">
      <c r="C111" s="46" t="str">
        <f t="shared" si="2"/>
        <v/>
      </c>
      <c r="D111" s="46" t="str">
        <f t="shared" si="3"/>
        <v/>
      </c>
    </row>
    <row r="112" spans="3:4" ht="15.75" x14ac:dyDescent="0.25">
      <c r="C112" s="46" t="str">
        <f t="shared" si="2"/>
        <v/>
      </c>
      <c r="D112" s="46" t="str">
        <f t="shared" si="3"/>
        <v/>
      </c>
    </row>
    <row r="113" spans="3:4" ht="15.75" x14ac:dyDescent="0.25">
      <c r="C113" s="46" t="str">
        <f t="shared" si="2"/>
        <v/>
      </c>
      <c r="D113" s="46" t="str">
        <f t="shared" si="3"/>
        <v/>
      </c>
    </row>
    <row r="114" spans="3:4" ht="15.75" x14ac:dyDescent="0.25">
      <c r="C114" s="46" t="str">
        <f t="shared" si="2"/>
        <v/>
      </c>
      <c r="D114" s="46" t="str">
        <f t="shared" si="3"/>
        <v/>
      </c>
    </row>
    <row r="115" spans="3:4" ht="15.75" x14ac:dyDescent="0.25">
      <c r="C115" s="46" t="str">
        <f t="shared" ref="C115:C178" si="4">IF(COUNTIF(E115:BA115,"YES")=0,"",COUNTIF(E115:BA115,"YES"))</f>
        <v/>
      </c>
      <c r="D115" s="46" t="str">
        <f t="shared" ref="D115:D178" si="5">IF(COUNTIF(E115:BA115,"NO")=0,"",COUNTIF(E115:BA115,"NO"))</f>
        <v/>
      </c>
    </row>
    <row r="116" spans="3:4" ht="15.75" x14ac:dyDescent="0.25">
      <c r="C116" s="46" t="str">
        <f t="shared" si="4"/>
        <v/>
      </c>
      <c r="D116" s="46" t="str">
        <f t="shared" si="5"/>
        <v/>
      </c>
    </row>
    <row r="117" spans="3:4" ht="15.75" x14ac:dyDescent="0.25">
      <c r="C117" s="46" t="str">
        <f t="shared" si="4"/>
        <v/>
      </c>
      <c r="D117" s="46" t="str">
        <f t="shared" si="5"/>
        <v/>
      </c>
    </row>
    <row r="118" spans="3:4" ht="15.75" x14ac:dyDescent="0.25">
      <c r="C118" s="46" t="str">
        <f t="shared" si="4"/>
        <v/>
      </c>
      <c r="D118" s="46" t="str">
        <f t="shared" si="5"/>
        <v/>
      </c>
    </row>
    <row r="119" spans="3:4" ht="15.75" x14ac:dyDescent="0.25">
      <c r="C119" s="46" t="str">
        <f t="shared" si="4"/>
        <v/>
      </c>
      <c r="D119" s="46" t="str">
        <f t="shared" si="5"/>
        <v/>
      </c>
    </row>
    <row r="120" spans="3:4" ht="15.75" x14ac:dyDescent="0.25">
      <c r="C120" s="46" t="str">
        <f t="shared" si="4"/>
        <v/>
      </c>
      <c r="D120" s="46" t="str">
        <f t="shared" si="5"/>
        <v/>
      </c>
    </row>
    <row r="121" spans="3:4" ht="15.75" x14ac:dyDescent="0.25">
      <c r="C121" s="46" t="str">
        <f t="shared" si="4"/>
        <v/>
      </c>
      <c r="D121" s="46" t="str">
        <f t="shared" si="5"/>
        <v/>
      </c>
    </row>
    <row r="122" spans="3:4" ht="15.75" x14ac:dyDescent="0.25">
      <c r="C122" s="46" t="str">
        <f t="shared" si="4"/>
        <v/>
      </c>
      <c r="D122" s="46" t="str">
        <f t="shared" si="5"/>
        <v/>
      </c>
    </row>
    <row r="123" spans="3:4" ht="15.75" x14ac:dyDescent="0.25">
      <c r="C123" s="46" t="str">
        <f t="shared" si="4"/>
        <v/>
      </c>
      <c r="D123" s="46" t="str">
        <f t="shared" si="5"/>
        <v/>
      </c>
    </row>
    <row r="124" spans="3:4" ht="15.75" x14ac:dyDescent="0.25">
      <c r="C124" s="46" t="str">
        <f t="shared" si="4"/>
        <v/>
      </c>
      <c r="D124" s="46" t="str">
        <f t="shared" si="5"/>
        <v/>
      </c>
    </row>
    <row r="125" spans="3:4" ht="15.75" x14ac:dyDescent="0.25">
      <c r="C125" s="46" t="str">
        <f t="shared" si="4"/>
        <v/>
      </c>
      <c r="D125" s="46" t="str">
        <f t="shared" si="5"/>
        <v/>
      </c>
    </row>
    <row r="126" spans="3:4" ht="15.75" x14ac:dyDescent="0.25">
      <c r="C126" s="46" t="str">
        <f t="shared" si="4"/>
        <v/>
      </c>
      <c r="D126" s="46" t="str">
        <f t="shared" si="5"/>
        <v/>
      </c>
    </row>
    <row r="127" spans="3:4" ht="15.75" x14ac:dyDescent="0.25">
      <c r="C127" s="46" t="str">
        <f t="shared" si="4"/>
        <v/>
      </c>
      <c r="D127" s="46" t="str">
        <f t="shared" si="5"/>
        <v/>
      </c>
    </row>
    <row r="128" spans="3:4" ht="15.75" x14ac:dyDescent="0.25">
      <c r="C128" s="46" t="str">
        <f t="shared" si="4"/>
        <v/>
      </c>
      <c r="D128" s="46" t="str">
        <f t="shared" si="5"/>
        <v/>
      </c>
    </row>
    <row r="129" spans="3:4" ht="15.75" x14ac:dyDescent="0.25">
      <c r="C129" s="46" t="str">
        <f t="shared" si="4"/>
        <v/>
      </c>
      <c r="D129" s="46" t="str">
        <f t="shared" si="5"/>
        <v/>
      </c>
    </row>
    <row r="130" spans="3:4" ht="15.75" x14ac:dyDescent="0.25">
      <c r="C130" s="46" t="str">
        <f t="shared" si="4"/>
        <v/>
      </c>
      <c r="D130" s="46" t="str">
        <f t="shared" si="5"/>
        <v/>
      </c>
    </row>
    <row r="131" spans="3:4" ht="15.75" x14ac:dyDescent="0.25">
      <c r="C131" s="46" t="str">
        <f t="shared" si="4"/>
        <v/>
      </c>
      <c r="D131" s="46" t="str">
        <f t="shared" si="5"/>
        <v/>
      </c>
    </row>
    <row r="132" spans="3:4" ht="15.75" x14ac:dyDescent="0.25">
      <c r="C132" s="46" t="str">
        <f t="shared" si="4"/>
        <v/>
      </c>
      <c r="D132" s="46" t="str">
        <f t="shared" si="5"/>
        <v/>
      </c>
    </row>
    <row r="133" spans="3:4" ht="15.75" x14ac:dyDescent="0.25">
      <c r="C133" s="46" t="str">
        <f t="shared" si="4"/>
        <v/>
      </c>
      <c r="D133" s="46" t="str">
        <f t="shared" si="5"/>
        <v/>
      </c>
    </row>
    <row r="134" spans="3:4" ht="15.75" x14ac:dyDescent="0.25">
      <c r="C134" s="46" t="str">
        <f t="shared" si="4"/>
        <v/>
      </c>
      <c r="D134" s="46" t="str">
        <f t="shared" si="5"/>
        <v/>
      </c>
    </row>
    <row r="135" spans="3:4" ht="15.75" x14ac:dyDescent="0.25">
      <c r="C135" s="46" t="str">
        <f t="shared" si="4"/>
        <v/>
      </c>
      <c r="D135" s="46" t="str">
        <f t="shared" si="5"/>
        <v/>
      </c>
    </row>
    <row r="136" spans="3:4" ht="15.75" x14ac:dyDescent="0.25">
      <c r="C136" s="46" t="str">
        <f t="shared" si="4"/>
        <v/>
      </c>
      <c r="D136" s="46" t="str">
        <f t="shared" si="5"/>
        <v/>
      </c>
    </row>
    <row r="137" spans="3:4" ht="15.75" x14ac:dyDescent="0.25">
      <c r="C137" s="46" t="str">
        <f t="shared" si="4"/>
        <v/>
      </c>
      <c r="D137" s="46" t="str">
        <f t="shared" si="5"/>
        <v/>
      </c>
    </row>
    <row r="138" spans="3:4" ht="15.75" x14ac:dyDescent="0.25">
      <c r="C138" s="46" t="str">
        <f t="shared" si="4"/>
        <v/>
      </c>
      <c r="D138" s="46" t="str">
        <f t="shared" si="5"/>
        <v/>
      </c>
    </row>
    <row r="139" spans="3:4" ht="15.75" x14ac:dyDescent="0.25">
      <c r="C139" s="46" t="str">
        <f t="shared" si="4"/>
        <v/>
      </c>
      <c r="D139" s="46" t="str">
        <f t="shared" si="5"/>
        <v/>
      </c>
    </row>
    <row r="140" spans="3:4" ht="15.75" x14ac:dyDescent="0.25">
      <c r="C140" s="46" t="str">
        <f t="shared" si="4"/>
        <v/>
      </c>
      <c r="D140" s="46" t="str">
        <f t="shared" si="5"/>
        <v/>
      </c>
    </row>
    <row r="141" spans="3:4" ht="15.75" x14ac:dyDescent="0.25">
      <c r="C141" s="46" t="str">
        <f t="shared" si="4"/>
        <v/>
      </c>
      <c r="D141" s="46" t="str">
        <f t="shared" si="5"/>
        <v/>
      </c>
    </row>
    <row r="142" spans="3:4" ht="15.75" x14ac:dyDescent="0.25">
      <c r="C142" s="46" t="str">
        <f t="shared" si="4"/>
        <v/>
      </c>
      <c r="D142" s="46" t="str">
        <f t="shared" si="5"/>
        <v/>
      </c>
    </row>
    <row r="143" spans="3:4" ht="15.75" x14ac:dyDescent="0.25">
      <c r="C143" s="46" t="str">
        <f t="shared" si="4"/>
        <v/>
      </c>
      <c r="D143" s="46" t="str">
        <f t="shared" si="5"/>
        <v/>
      </c>
    </row>
    <row r="144" spans="3:4" ht="15.75" x14ac:dyDescent="0.25">
      <c r="C144" s="46" t="str">
        <f t="shared" si="4"/>
        <v/>
      </c>
      <c r="D144" s="46" t="str">
        <f t="shared" si="5"/>
        <v/>
      </c>
    </row>
    <row r="145" spans="3:4" ht="15.75" x14ac:dyDescent="0.25">
      <c r="C145" s="46" t="str">
        <f t="shared" si="4"/>
        <v/>
      </c>
      <c r="D145" s="46" t="str">
        <f t="shared" si="5"/>
        <v/>
      </c>
    </row>
    <row r="146" spans="3:4" ht="15.75" x14ac:dyDescent="0.25">
      <c r="C146" s="46" t="str">
        <f t="shared" si="4"/>
        <v/>
      </c>
      <c r="D146" s="46" t="str">
        <f t="shared" si="5"/>
        <v/>
      </c>
    </row>
    <row r="147" spans="3:4" ht="15.75" x14ac:dyDescent="0.25">
      <c r="C147" s="46" t="str">
        <f t="shared" si="4"/>
        <v/>
      </c>
      <c r="D147" s="46" t="str">
        <f t="shared" si="5"/>
        <v/>
      </c>
    </row>
    <row r="148" spans="3:4" ht="15.75" x14ac:dyDescent="0.25">
      <c r="C148" s="46" t="str">
        <f t="shared" si="4"/>
        <v/>
      </c>
      <c r="D148" s="46" t="str">
        <f t="shared" si="5"/>
        <v/>
      </c>
    </row>
    <row r="149" spans="3:4" ht="15.75" x14ac:dyDescent="0.25">
      <c r="C149" s="46" t="str">
        <f t="shared" si="4"/>
        <v/>
      </c>
      <c r="D149" s="46" t="str">
        <f t="shared" si="5"/>
        <v/>
      </c>
    </row>
    <row r="150" spans="3:4" ht="15.75" x14ac:dyDescent="0.25">
      <c r="C150" s="46" t="str">
        <f t="shared" si="4"/>
        <v/>
      </c>
      <c r="D150" s="46" t="str">
        <f t="shared" si="5"/>
        <v/>
      </c>
    </row>
    <row r="151" spans="3:4" ht="15.75" x14ac:dyDescent="0.25">
      <c r="C151" s="46" t="str">
        <f t="shared" si="4"/>
        <v/>
      </c>
      <c r="D151" s="46" t="str">
        <f t="shared" si="5"/>
        <v/>
      </c>
    </row>
    <row r="152" spans="3:4" ht="15.75" x14ac:dyDescent="0.25">
      <c r="C152" s="46" t="str">
        <f t="shared" si="4"/>
        <v/>
      </c>
      <c r="D152" s="46" t="str">
        <f t="shared" si="5"/>
        <v/>
      </c>
    </row>
    <row r="153" spans="3:4" ht="15.75" x14ac:dyDescent="0.25">
      <c r="C153" s="46" t="str">
        <f t="shared" si="4"/>
        <v/>
      </c>
      <c r="D153" s="46" t="str">
        <f t="shared" si="5"/>
        <v/>
      </c>
    </row>
    <row r="154" spans="3:4" ht="15.75" x14ac:dyDescent="0.25">
      <c r="C154" s="46" t="str">
        <f t="shared" si="4"/>
        <v/>
      </c>
      <c r="D154" s="46" t="str">
        <f t="shared" si="5"/>
        <v/>
      </c>
    </row>
    <row r="155" spans="3:4" ht="15.75" x14ac:dyDescent="0.25">
      <c r="C155" s="46" t="str">
        <f t="shared" si="4"/>
        <v/>
      </c>
      <c r="D155" s="46" t="str">
        <f t="shared" si="5"/>
        <v/>
      </c>
    </row>
    <row r="156" spans="3:4" ht="15.75" x14ac:dyDescent="0.25">
      <c r="C156" s="46" t="str">
        <f t="shared" si="4"/>
        <v/>
      </c>
      <c r="D156" s="46" t="str">
        <f t="shared" si="5"/>
        <v/>
      </c>
    </row>
    <row r="157" spans="3:4" ht="15.75" x14ac:dyDescent="0.25">
      <c r="C157" s="46" t="str">
        <f t="shared" si="4"/>
        <v/>
      </c>
      <c r="D157" s="46" t="str">
        <f t="shared" si="5"/>
        <v/>
      </c>
    </row>
    <row r="158" spans="3:4" ht="15.75" x14ac:dyDescent="0.25">
      <c r="C158" s="46" t="str">
        <f t="shared" si="4"/>
        <v/>
      </c>
      <c r="D158" s="46" t="str">
        <f t="shared" si="5"/>
        <v/>
      </c>
    </row>
    <row r="159" spans="3:4" ht="15.75" x14ac:dyDescent="0.25">
      <c r="C159" s="46" t="str">
        <f t="shared" si="4"/>
        <v/>
      </c>
      <c r="D159" s="46" t="str">
        <f t="shared" si="5"/>
        <v/>
      </c>
    </row>
    <row r="160" spans="3:4" ht="15.75" x14ac:dyDescent="0.25">
      <c r="C160" s="46" t="str">
        <f t="shared" si="4"/>
        <v/>
      </c>
      <c r="D160" s="46" t="str">
        <f t="shared" si="5"/>
        <v/>
      </c>
    </row>
    <row r="161" spans="3:4" ht="15.75" x14ac:dyDescent="0.25">
      <c r="C161" s="46" t="str">
        <f t="shared" si="4"/>
        <v/>
      </c>
      <c r="D161" s="46" t="str">
        <f t="shared" si="5"/>
        <v/>
      </c>
    </row>
    <row r="162" spans="3:4" ht="15.75" x14ac:dyDescent="0.25">
      <c r="C162" s="46" t="str">
        <f t="shared" si="4"/>
        <v/>
      </c>
      <c r="D162" s="46" t="str">
        <f t="shared" si="5"/>
        <v/>
      </c>
    </row>
    <row r="163" spans="3:4" ht="15.75" x14ac:dyDescent="0.25">
      <c r="C163" s="46" t="str">
        <f t="shared" si="4"/>
        <v/>
      </c>
      <c r="D163" s="46" t="str">
        <f t="shared" si="5"/>
        <v/>
      </c>
    </row>
    <row r="164" spans="3:4" ht="15.75" x14ac:dyDescent="0.25">
      <c r="C164" s="46" t="str">
        <f t="shared" si="4"/>
        <v/>
      </c>
      <c r="D164" s="46" t="str">
        <f t="shared" si="5"/>
        <v/>
      </c>
    </row>
    <row r="165" spans="3:4" ht="15.75" x14ac:dyDescent="0.25">
      <c r="C165" s="46" t="str">
        <f t="shared" si="4"/>
        <v/>
      </c>
      <c r="D165" s="46" t="str">
        <f t="shared" si="5"/>
        <v/>
      </c>
    </row>
    <row r="166" spans="3:4" ht="15.75" x14ac:dyDescent="0.25">
      <c r="C166" s="46" t="str">
        <f t="shared" si="4"/>
        <v/>
      </c>
      <c r="D166" s="46" t="str">
        <f t="shared" si="5"/>
        <v/>
      </c>
    </row>
    <row r="167" spans="3:4" ht="15.75" x14ac:dyDescent="0.25">
      <c r="C167" s="46" t="str">
        <f t="shared" si="4"/>
        <v/>
      </c>
      <c r="D167" s="46" t="str">
        <f t="shared" si="5"/>
        <v/>
      </c>
    </row>
    <row r="168" spans="3:4" ht="15.75" x14ac:dyDescent="0.25">
      <c r="C168" s="46" t="str">
        <f t="shared" si="4"/>
        <v/>
      </c>
      <c r="D168" s="46" t="str">
        <f t="shared" si="5"/>
        <v/>
      </c>
    </row>
    <row r="169" spans="3:4" ht="15.75" x14ac:dyDescent="0.25">
      <c r="C169" s="46" t="str">
        <f t="shared" si="4"/>
        <v/>
      </c>
      <c r="D169" s="46" t="str">
        <f t="shared" si="5"/>
        <v/>
      </c>
    </row>
    <row r="170" spans="3:4" ht="15.75" x14ac:dyDescent="0.25">
      <c r="C170" s="46" t="str">
        <f t="shared" si="4"/>
        <v/>
      </c>
      <c r="D170" s="46" t="str">
        <f t="shared" si="5"/>
        <v/>
      </c>
    </row>
    <row r="171" spans="3:4" ht="15.75" x14ac:dyDescent="0.25">
      <c r="C171" s="46" t="str">
        <f t="shared" si="4"/>
        <v/>
      </c>
      <c r="D171" s="46" t="str">
        <f t="shared" si="5"/>
        <v/>
      </c>
    </row>
    <row r="172" spans="3:4" ht="15.75" x14ac:dyDescent="0.25">
      <c r="C172" s="46" t="str">
        <f t="shared" si="4"/>
        <v/>
      </c>
      <c r="D172" s="46" t="str">
        <f t="shared" si="5"/>
        <v/>
      </c>
    </row>
    <row r="173" spans="3:4" ht="15.75" x14ac:dyDescent="0.25">
      <c r="C173" s="46" t="str">
        <f t="shared" si="4"/>
        <v/>
      </c>
      <c r="D173" s="46" t="str">
        <f t="shared" si="5"/>
        <v/>
      </c>
    </row>
    <row r="174" spans="3:4" ht="15.75" x14ac:dyDescent="0.25">
      <c r="C174" s="46" t="str">
        <f t="shared" si="4"/>
        <v/>
      </c>
      <c r="D174" s="46" t="str">
        <f t="shared" si="5"/>
        <v/>
      </c>
    </row>
    <row r="175" spans="3:4" ht="15.75" x14ac:dyDescent="0.25">
      <c r="C175" s="46" t="str">
        <f t="shared" si="4"/>
        <v/>
      </c>
      <c r="D175" s="46" t="str">
        <f t="shared" si="5"/>
        <v/>
      </c>
    </row>
    <row r="176" spans="3:4" ht="15.75" x14ac:dyDescent="0.25">
      <c r="C176" s="46" t="str">
        <f t="shared" si="4"/>
        <v/>
      </c>
      <c r="D176" s="46" t="str">
        <f t="shared" si="5"/>
        <v/>
      </c>
    </row>
    <row r="177" spans="3:4" ht="15.75" x14ac:dyDescent="0.25">
      <c r="C177" s="46" t="str">
        <f t="shared" si="4"/>
        <v/>
      </c>
      <c r="D177" s="46" t="str">
        <f t="shared" si="5"/>
        <v/>
      </c>
    </row>
    <row r="178" spans="3:4" ht="15.75" x14ac:dyDescent="0.25">
      <c r="C178" s="46" t="str">
        <f t="shared" si="4"/>
        <v/>
      </c>
      <c r="D178" s="46" t="str">
        <f t="shared" si="5"/>
        <v/>
      </c>
    </row>
    <row r="179" spans="3:4" ht="15.75" x14ac:dyDescent="0.25">
      <c r="C179" s="46" t="str">
        <f t="shared" ref="C179:C242" si="6">IF(COUNTIF(E179:BA179,"YES")=0,"",COUNTIF(E179:BA179,"YES"))</f>
        <v/>
      </c>
      <c r="D179" s="46" t="str">
        <f t="shared" ref="D179:D242" si="7">IF(COUNTIF(E179:BA179,"NO")=0,"",COUNTIF(E179:BA179,"NO"))</f>
        <v/>
      </c>
    </row>
    <row r="180" spans="3:4" ht="15.75" x14ac:dyDescent="0.25">
      <c r="C180" s="46" t="str">
        <f t="shared" si="6"/>
        <v/>
      </c>
      <c r="D180" s="46" t="str">
        <f t="shared" si="7"/>
        <v/>
      </c>
    </row>
    <row r="181" spans="3:4" ht="15.75" x14ac:dyDescent="0.25">
      <c r="C181" s="46" t="str">
        <f t="shared" si="6"/>
        <v/>
      </c>
      <c r="D181" s="46" t="str">
        <f t="shared" si="7"/>
        <v/>
      </c>
    </row>
    <row r="182" spans="3:4" ht="15.75" x14ac:dyDescent="0.25">
      <c r="C182" s="46" t="str">
        <f t="shared" si="6"/>
        <v/>
      </c>
      <c r="D182" s="46" t="str">
        <f t="shared" si="7"/>
        <v/>
      </c>
    </row>
    <row r="183" spans="3:4" ht="15.75" x14ac:dyDescent="0.25">
      <c r="C183" s="46" t="str">
        <f t="shared" si="6"/>
        <v/>
      </c>
      <c r="D183" s="46" t="str">
        <f t="shared" si="7"/>
        <v/>
      </c>
    </row>
    <row r="184" spans="3:4" ht="15.75" x14ac:dyDescent="0.25">
      <c r="C184" s="46" t="str">
        <f t="shared" si="6"/>
        <v/>
      </c>
      <c r="D184" s="46" t="str">
        <f t="shared" si="7"/>
        <v/>
      </c>
    </row>
    <row r="185" spans="3:4" ht="15.75" x14ac:dyDescent="0.25">
      <c r="C185" s="46" t="str">
        <f t="shared" si="6"/>
        <v/>
      </c>
      <c r="D185" s="46" t="str">
        <f t="shared" si="7"/>
        <v/>
      </c>
    </row>
    <row r="186" spans="3:4" ht="15.75" x14ac:dyDescent="0.25">
      <c r="C186" s="46" t="str">
        <f t="shared" si="6"/>
        <v/>
      </c>
      <c r="D186" s="46" t="str">
        <f t="shared" si="7"/>
        <v/>
      </c>
    </row>
    <row r="187" spans="3:4" ht="15.75" x14ac:dyDescent="0.25">
      <c r="C187" s="46" t="str">
        <f t="shared" si="6"/>
        <v/>
      </c>
      <c r="D187" s="46" t="str">
        <f t="shared" si="7"/>
        <v/>
      </c>
    </row>
    <row r="188" spans="3:4" ht="15.75" x14ac:dyDescent="0.25">
      <c r="C188" s="46" t="str">
        <f t="shared" si="6"/>
        <v/>
      </c>
      <c r="D188" s="46" t="str">
        <f t="shared" si="7"/>
        <v/>
      </c>
    </row>
    <row r="189" spans="3:4" ht="15.75" x14ac:dyDescent="0.25">
      <c r="C189" s="46" t="str">
        <f t="shared" si="6"/>
        <v/>
      </c>
      <c r="D189" s="46" t="str">
        <f t="shared" si="7"/>
        <v/>
      </c>
    </row>
    <row r="190" spans="3:4" ht="15.75" x14ac:dyDescent="0.25">
      <c r="C190" s="46" t="str">
        <f t="shared" si="6"/>
        <v/>
      </c>
      <c r="D190" s="46" t="str">
        <f t="shared" si="7"/>
        <v/>
      </c>
    </row>
    <row r="191" spans="3:4" ht="15.75" x14ac:dyDescent="0.25">
      <c r="C191" s="46" t="str">
        <f t="shared" si="6"/>
        <v/>
      </c>
      <c r="D191" s="46" t="str">
        <f t="shared" si="7"/>
        <v/>
      </c>
    </row>
    <row r="192" spans="3:4" ht="15.75" x14ac:dyDescent="0.25">
      <c r="C192" s="46" t="str">
        <f t="shared" si="6"/>
        <v/>
      </c>
      <c r="D192" s="46" t="str">
        <f t="shared" si="7"/>
        <v/>
      </c>
    </row>
    <row r="193" spans="3:4" ht="15.75" x14ac:dyDescent="0.25">
      <c r="C193" s="46" t="str">
        <f t="shared" si="6"/>
        <v/>
      </c>
      <c r="D193" s="46" t="str">
        <f t="shared" si="7"/>
        <v/>
      </c>
    </row>
    <row r="194" spans="3:4" ht="15.75" x14ac:dyDescent="0.25">
      <c r="C194" s="46" t="str">
        <f t="shared" si="6"/>
        <v/>
      </c>
      <c r="D194" s="46" t="str">
        <f t="shared" si="7"/>
        <v/>
      </c>
    </row>
    <row r="195" spans="3:4" ht="15.75" x14ac:dyDescent="0.25">
      <c r="C195" s="46" t="str">
        <f t="shared" si="6"/>
        <v/>
      </c>
      <c r="D195" s="46" t="str">
        <f t="shared" si="7"/>
        <v/>
      </c>
    </row>
    <row r="196" spans="3:4" ht="15.75" x14ac:dyDescent="0.25">
      <c r="C196" s="46" t="str">
        <f t="shared" si="6"/>
        <v/>
      </c>
      <c r="D196" s="46" t="str">
        <f t="shared" si="7"/>
        <v/>
      </c>
    </row>
    <row r="197" spans="3:4" ht="15.75" x14ac:dyDescent="0.25">
      <c r="C197" s="46" t="str">
        <f t="shared" si="6"/>
        <v/>
      </c>
      <c r="D197" s="46" t="str">
        <f t="shared" si="7"/>
        <v/>
      </c>
    </row>
    <row r="198" spans="3:4" ht="15.75" x14ac:dyDescent="0.25">
      <c r="C198" s="46" t="str">
        <f t="shared" si="6"/>
        <v/>
      </c>
      <c r="D198" s="46" t="str">
        <f t="shared" si="7"/>
        <v/>
      </c>
    </row>
    <row r="199" spans="3:4" ht="15.75" x14ac:dyDescent="0.25">
      <c r="C199" s="46" t="str">
        <f t="shared" si="6"/>
        <v/>
      </c>
      <c r="D199" s="46" t="str">
        <f t="shared" si="7"/>
        <v/>
      </c>
    </row>
    <row r="200" spans="3:4" ht="15.75" x14ac:dyDescent="0.25">
      <c r="C200" s="46" t="str">
        <f t="shared" si="6"/>
        <v/>
      </c>
      <c r="D200" s="46" t="str">
        <f t="shared" si="7"/>
        <v/>
      </c>
    </row>
    <row r="201" spans="3:4" ht="15.75" x14ac:dyDescent="0.25">
      <c r="C201" s="46" t="str">
        <f t="shared" si="6"/>
        <v/>
      </c>
      <c r="D201" s="46" t="str">
        <f t="shared" si="7"/>
        <v/>
      </c>
    </row>
    <row r="202" spans="3:4" ht="15.75" x14ac:dyDescent="0.25">
      <c r="C202" s="46" t="str">
        <f t="shared" si="6"/>
        <v/>
      </c>
      <c r="D202" s="46" t="str">
        <f t="shared" si="7"/>
        <v/>
      </c>
    </row>
    <row r="203" spans="3:4" ht="15.75" x14ac:dyDescent="0.25">
      <c r="C203" s="46" t="str">
        <f t="shared" si="6"/>
        <v/>
      </c>
      <c r="D203" s="46" t="str">
        <f t="shared" si="7"/>
        <v/>
      </c>
    </row>
    <row r="204" spans="3:4" ht="15.75" x14ac:dyDescent="0.25">
      <c r="C204" s="46" t="str">
        <f t="shared" si="6"/>
        <v/>
      </c>
      <c r="D204" s="46" t="str">
        <f t="shared" si="7"/>
        <v/>
      </c>
    </row>
    <row r="205" spans="3:4" ht="15.75" x14ac:dyDescent="0.25">
      <c r="C205" s="46" t="str">
        <f t="shared" si="6"/>
        <v/>
      </c>
      <c r="D205" s="46" t="str">
        <f t="shared" si="7"/>
        <v/>
      </c>
    </row>
    <row r="206" spans="3:4" ht="15.75" x14ac:dyDescent="0.25">
      <c r="C206" s="46" t="str">
        <f t="shared" si="6"/>
        <v/>
      </c>
      <c r="D206" s="46" t="str">
        <f t="shared" si="7"/>
        <v/>
      </c>
    </row>
    <row r="207" spans="3:4" ht="15.75" x14ac:dyDescent="0.25">
      <c r="C207" s="46" t="str">
        <f t="shared" si="6"/>
        <v/>
      </c>
      <c r="D207" s="46" t="str">
        <f t="shared" si="7"/>
        <v/>
      </c>
    </row>
    <row r="208" spans="3:4" ht="15.75" x14ac:dyDescent="0.25">
      <c r="C208" s="46" t="str">
        <f t="shared" si="6"/>
        <v/>
      </c>
      <c r="D208" s="46" t="str">
        <f t="shared" si="7"/>
        <v/>
      </c>
    </row>
    <row r="209" spans="3:4" ht="15.75" x14ac:dyDescent="0.25">
      <c r="C209" s="46" t="str">
        <f t="shared" si="6"/>
        <v/>
      </c>
      <c r="D209" s="46" t="str">
        <f t="shared" si="7"/>
        <v/>
      </c>
    </row>
    <row r="210" spans="3:4" ht="15.75" x14ac:dyDescent="0.25">
      <c r="C210" s="46" t="str">
        <f t="shared" si="6"/>
        <v/>
      </c>
      <c r="D210" s="46" t="str">
        <f t="shared" si="7"/>
        <v/>
      </c>
    </row>
    <row r="211" spans="3:4" ht="15.75" x14ac:dyDescent="0.25">
      <c r="C211" s="46" t="str">
        <f t="shared" si="6"/>
        <v/>
      </c>
      <c r="D211" s="46" t="str">
        <f t="shared" si="7"/>
        <v/>
      </c>
    </row>
    <row r="212" spans="3:4" ht="15.75" x14ac:dyDescent="0.25">
      <c r="C212" s="46" t="str">
        <f t="shared" si="6"/>
        <v/>
      </c>
      <c r="D212" s="46" t="str">
        <f t="shared" si="7"/>
        <v/>
      </c>
    </row>
    <row r="213" spans="3:4" ht="15.75" x14ac:dyDescent="0.25">
      <c r="C213" s="46" t="str">
        <f t="shared" si="6"/>
        <v/>
      </c>
      <c r="D213" s="46" t="str">
        <f t="shared" si="7"/>
        <v/>
      </c>
    </row>
    <row r="214" spans="3:4" ht="15.75" x14ac:dyDescent="0.25">
      <c r="C214" s="46" t="str">
        <f t="shared" si="6"/>
        <v/>
      </c>
      <c r="D214" s="46" t="str">
        <f t="shared" si="7"/>
        <v/>
      </c>
    </row>
    <row r="215" spans="3:4" ht="15.75" x14ac:dyDescent="0.25">
      <c r="C215" s="46" t="str">
        <f t="shared" si="6"/>
        <v/>
      </c>
      <c r="D215" s="46" t="str">
        <f t="shared" si="7"/>
        <v/>
      </c>
    </row>
    <row r="216" spans="3:4" ht="15.75" x14ac:dyDescent="0.25">
      <c r="C216" s="46" t="str">
        <f t="shared" si="6"/>
        <v/>
      </c>
      <c r="D216" s="46" t="str">
        <f t="shared" si="7"/>
        <v/>
      </c>
    </row>
    <row r="217" spans="3:4" ht="15.75" x14ac:dyDescent="0.25">
      <c r="C217" s="46" t="str">
        <f t="shared" si="6"/>
        <v/>
      </c>
      <c r="D217" s="46" t="str">
        <f t="shared" si="7"/>
        <v/>
      </c>
    </row>
    <row r="218" spans="3:4" ht="15.75" x14ac:dyDescent="0.25">
      <c r="C218" s="46" t="str">
        <f t="shared" si="6"/>
        <v/>
      </c>
      <c r="D218" s="46" t="str">
        <f t="shared" si="7"/>
        <v/>
      </c>
    </row>
    <row r="219" spans="3:4" ht="15.75" x14ac:dyDescent="0.25">
      <c r="C219" s="46" t="str">
        <f t="shared" si="6"/>
        <v/>
      </c>
      <c r="D219" s="46" t="str">
        <f t="shared" si="7"/>
        <v/>
      </c>
    </row>
    <row r="220" spans="3:4" ht="15.75" x14ac:dyDescent="0.25">
      <c r="C220" s="46" t="str">
        <f t="shared" si="6"/>
        <v/>
      </c>
      <c r="D220" s="46" t="str">
        <f t="shared" si="7"/>
        <v/>
      </c>
    </row>
    <row r="221" spans="3:4" ht="15.75" x14ac:dyDescent="0.25">
      <c r="C221" s="46" t="str">
        <f t="shared" si="6"/>
        <v/>
      </c>
      <c r="D221" s="46" t="str">
        <f t="shared" si="7"/>
        <v/>
      </c>
    </row>
    <row r="222" spans="3:4" ht="15.75" x14ac:dyDescent="0.25">
      <c r="C222" s="46" t="str">
        <f t="shared" si="6"/>
        <v/>
      </c>
      <c r="D222" s="46" t="str">
        <f t="shared" si="7"/>
        <v/>
      </c>
    </row>
    <row r="223" spans="3:4" ht="15.75" x14ac:dyDescent="0.25">
      <c r="C223" s="46" t="str">
        <f t="shared" si="6"/>
        <v/>
      </c>
      <c r="D223" s="46" t="str">
        <f t="shared" si="7"/>
        <v/>
      </c>
    </row>
    <row r="224" spans="3:4" ht="15.75" x14ac:dyDescent="0.25">
      <c r="C224" s="46" t="str">
        <f t="shared" si="6"/>
        <v/>
      </c>
      <c r="D224" s="46" t="str">
        <f t="shared" si="7"/>
        <v/>
      </c>
    </row>
    <row r="225" spans="3:4" ht="15.75" x14ac:dyDescent="0.25">
      <c r="C225" s="46" t="str">
        <f t="shared" si="6"/>
        <v/>
      </c>
      <c r="D225" s="46" t="str">
        <f t="shared" si="7"/>
        <v/>
      </c>
    </row>
    <row r="226" spans="3:4" ht="15.75" x14ac:dyDescent="0.25">
      <c r="C226" s="46" t="str">
        <f t="shared" si="6"/>
        <v/>
      </c>
      <c r="D226" s="46" t="str">
        <f t="shared" si="7"/>
        <v/>
      </c>
    </row>
    <row r="227" spans="3:4" ht="15.75" x14ac:dyDescent="0.25">
      <c r="C227" s="46" t="str">
        <f t="shared" si="6"/>
        <v/>
      </c>
      <c r="D227" s="46" t="str">
        <f t="shared" si="7"/>
        <v/>
      </c>
    </row>
    <row r="228" spans="3:4" ht="15.75" x14ac:dyDescent="0.25">
      <c r="C228" s="46" t="str">
        <f t="shared" si="6"/>
        <v/>
      </c>
      <c r="D228" s="46" t="str">
        <f t="shared" si="7"/>
        <v/>
      </c>
    </row>
    <row r="229" spans="3:4" ht="15.75" x14ac:dyDescent="0.25">
      <c r="C229" s="46" t="str">
        <f t="shared" si="6"/>
        <v/>
      </c>
      <c r="D229" s="46" t="str">
        <f t="shared" si="7"/>
        <v/>
      </c>
    </row>
    <row r="230" spans="3:4" ht="15.75" x14ac:dyDescent="0.25">
      <c r="C230" s="46" t="str">
        <f t="shared" si="6"/>
        <v/>
      </c>
      <c r="D230" s="46" t="str">
        <f t="shared" si="7"/>
        <v/>
      </c>
    </row>
    <row r="231" spans="3:4" ht="15.75" x14ac:dyDescent="0.25">
      <c r="C231" s="46" t="str">
        <f t="shared" si="6"/>
        <v/>
      </c>
      <c r="D231" s="46" t="str">
        <f t="shared" si="7"/>
        <v/>
      </c>
    </row>
    <row r="232" spans="3:4" ht="15.75" x14ac:dyDescent="0.25">
      <c r="C232" s="46" t="str">
        <f t="shared" si="6"/>
        <v/>
      </c>
      <c r="D232" s="46" t="str">
        <f t="shared" si="7"/>
        <v/>
      </c>
    </row>
    <row r="233" spans="3:4" ht="15.75" x14ac:dyDescent="0.25">
      <c r="C233" s="46" t="str">
        <f t="shared" si="6"/>
        <v/>
      </c>
      <c r="D233" s="46" t="str">
        <f t="shared" si="7"/>
        <v/>
      </c>
    </row>
    <row r="234" spans="3:4" ht="15.75" x14ac:dyDescent="0.25">
      <c r="C234" s="46" t="str">
        <f t="shared" si="6"/>
        <v/>
      </c>
      <c r="D234" s="46" t="str">
        <f t="shared" si="7"/>
        <v/>
      </c>
    </row>
    <row r="235" spans="3:4" ht="15.75" x14ac:dyDescent="0.25">
      <c r="C235" s="46" t="str">
        <f t="shared" si="6"/>
        <v/>
      </c>
      <c r="D235" s="46" t="str">
        <f t="shared" si="7"/>
        <v/>
      </c>
    </row>
    <row r="236" spans="3:4" ht="15.75" x14ac:dyDescent="0.25">
      <c r="C236" s="46" t="str">
        <f t="shared" si="6"/>
        <v/>
      </c>
      <c r="D236" s="46" t="str">
        <f t="shared" si="7"/>
        <v/>
      </c>
    </row>
    <row r="237" spans="3:4" ht="15.75" x14ac:dyDescent="0.25">
      <c r="C237" s="46" t="str">
        <f t="shared" si="6"/>
        <v/>
      </c>
      <c r="D237" s="46" t="str">
        <f t="shared" si="7"/>
        <v/>
      </c>
    </row>
    <row r="238" spans="3:4" ht="15.75" x14ac:dyDescent="0.25">
      <c r="C238" s="46" t="str">
        <f t="shared" si="6"/>
        <v/>
      </c>
      <c r="D238" s="46" t="str">
        <f t="shared" si="7"/>
        <v/>
      </c>
    </row>
    <row r="239" spans="3:4" ht="15.75" x14ac:dyDescent="0.25">
      <c r="C239" s="46" t="str">
        <f t="shared" si="6"/>
        <v/>
      </c>
      <c r="D239" s="46" t="str">
        <f t="shared" si="7"/>
        <v/>
      </c>
    </row>
    <row r="240" spans="3:4" ht="15.75" x14ac:dyDescent="0.25">
      <c r="C240" s="46" t="str">
        <f t="shared" si="6"/>
        <v/>
      </c>
      <c r="D240" s="46" t="str">
        <f t="shared" si="7"/>
        <v/>
      </c>
    </row>
    <row r="241" spans="3:4" ht="15.75" x14ac:dyDescent="0.25">
      <c r="C241" s="46" t="str">
        <f t="shared" si="6"/>
        <v/>
      </c>
      <c r="D241" s="46" t="str">
        <f t="shared" si="7"/>
        <v/>
      </c>
    </row>
    <row r="242" spans="3:4" ht="15.75" x14ac:dyDescent="0.25">
      <c r="C242" s="46" t="str">
        <f t="shared" si="6"/>
        <v/>
      </c>
      <c r="D242" s="46" t="str">
        <f t="shared" si="7"/>
        <v/>
      </c>
    </row>
    <row r="243" spans="3:4" ht="15.75" x14ac:dyDescent="0.25">
      <c r="C243" s="46" t="str">
        <f t="shared" ref="C243:C311" si="8">IF(COUNTIF(E243:BA243,"YES")=0,"",COUNTIF(E243:BA243,"YES"))</f>
        <v/>
      </c>
      <c r="D243" s="46" t="str">
        <f t="shared" ref="D243:D306" si="9">IF(COUNTIF(E243:BA243,"NO")=0,"",COUNTIF(E243:BA243,"NO"))</f>
        <v/>
      </c>
    </row>
    <row r="244" spans="3:4" ht="15.75" x14ac:dyDescent="0.25">
      <c r="C244" s="46" t="str">
        <f t="shared" si="8"/>
        <v/>
      </c>
      <c r="D244" s="46" t="str">
        <f t="shared" si="9"/>
        <v/>
      </c>
    </row>
    <row r="245" spans="3:4" ht="15.75" x14ac:dyDescent="0.25">
      <c r="C245" s="46" t="str">
        <f t="shared" si="8"/>
        <v/>
      </c>
      <c r="D245" s="46" t="str">
        <f t="shared" si="9"/>
        <v/>
      </c>
    </row>
    <row r="246" spans="3:4" ht="15.75" x14ac:dyDescent="0.25">
      <c r="C246" s="46" t="str">
        <f t="shared" si="8"/>
        <v/>
      </c>
      <c r="D246" s="46" t="str">
        <f t="shared" si="9"/>
        <v/>
      </c>
    </row>
    <row r="247" spans="3:4" ht="15.75" x14ac:dyDescent="0.25">
      <c r="C247" s="46" t="str">
        <f t="shared" si="8"/>
        <v/>
      </c>
      <c r="D247" s="46" t="str">
        <f t="shared" si="9"/>
        <v/>
      </c>
    </row>
    <row r="248" spans="3:4" ht="15.75" x14ac:dyDescent="0.25">
      <c r="C248" s="46" t="str">
        <f t="shared" si="8"/>
        <v/>
      </c>
      <c r="D248" s="46" t="str">
        <f t="shared" si="9"/>
        <v/>
      </c>
    </row>
    <row r="249" spans="3:4" ht="15.75" x14ac:dyDescent="0.25">
      <c r="C249" s="46" t="str">
        <f t="shared" si="8"/>
        <v/>
      </c>
      <c r="D249" s="46" t="str">
        <f t="shared" si="9"/>
        <v/>
      </c>
    </row>
    <row r="250" spans="3:4" ht="15.75" x14ac:dyDescent="0.25">
      <c r="C250" s="46" t="str">
        <f t="shared" si="8"/>
        <v/>
      </c>
      <c r="D250" s="46" t="str">
        <f t="shared" si="9"/>
        <v/>
      </c>
    </row>
    <row r="251" spans="3:4" ht="15.75" x14ac:dyDescent="0.25">
      <c r="C251" s="46" t="str">
        <f t="shared" si="8"/>
        <v/>
      </c>
      <c r="D251" s="46" t="str">
        <f t="shared" si="9"/>
        <v/>
      </c>
    </row>
    <row r="252" spans="3:4" ht="15.75" x14ac:dyDescent="0.25">
      <c r="C252" s="46" t="str">
        <f t="shared" si="8"/>
        <v/>
      </c>
      <c r="D252" s="46" t="str">
        <f t="shared" si="9"/>
        <v/>
      </c>
    </row>
    <row r="253" spans="3:4" ht="15.75" x14ac:dyDescent="0.25">
      <c r="C253" s="46" t="str">
        <f t="shared" si="8"/>
        <v/>
      </c>
      <c r="D253" s="46" t="str">
        <f t="shared" si="9"/>
        <v/>
      </c>
    </row>
    <row r="254" spans="3:4" ht="15.75" x14ac:dyDescent="0.25">
      <c r="C254" s="46" t="str">
        <f t="shared" si="8"/>
        <v/>
      </c>
      <c r="D254" s="46" t="str">
        <f t="shared" si="9"/>
        <v/>
      </c>
    </row>
    <row r="255" spans="3:4" ht="15.75" x14ac:dyDescent="0.25">
      <c r="C255" s="46" t="str">
        <f t="shared" si="8"/>
        <v/>
      </c>
      <c r="D255" s="46" t="str">
        <f t="shared" si="9"/>
        <v/>
      </c>
    </row>
    <row r="256" spans="3:4" ht="15.75" x14ac:dyDescent="0.25">
      <c r="C256" s="46" t="str">
        <f t="shared" si="8"/>
        <v/>
      </c>
      <c r="D256" s="46" t="str">
        <f t="shared" si="9"/>
        <v/>
      </c>
    </row>
    <row r="257" spans="3:4" ht="15.75" x14ac:dyDescent="0.25">
      <c r="C257" s="46" t="str">
        <f t="shared" si="8"/>
        <v/>
      </c>
      <c r="D257" s="46" t="str">
        <f t="shared" si="9"/>
        <v/>
      </c>
    </row>
    <row r="258" spans="3:4" ht="15.75" x14ac:dyDescent="0.25">
      <c r="C258" s="46" t="str">
        <f t="shared" si="8"/>
        <v/>
      </c>
      <c r="D258" s="46" t="str">
        <f t="shared" si="9"/>
        <v/>
      </c>
    </row>
    <row r="259" spans="3:4" ht="15.75" x14ac:dyDescent="0.25">
      <c r="C259" s="46" t="str">
        <f t="shared" si="8"/>
        <v/>
      </c>
      <c r="D259" s="46" t="str">
        <f t="shared" si="9"/>
        <v/>
      </c>
    </row>
    <row r="260" spans="3:4" ht="15.75" x14ac:dyDescent="0.25">
      <c r="C260" s="46" t="str">
        <f t="shared" si="8"/>
        <v/>
      </c>
      <c r="D260" s="46" t="str">
        <f t="shared" si="9"/>
        <v/>
      </c>
    </row>
    <row r="261" spans="3:4" ht="15.75" x14ac:dyDescent="0.25">
      <c r="C261" s="46" t="str">
        <f t="shared" si="8"/>
        <v/>
      </c>
      <c r="D261" s="46" t="str">
        <f t="shared" si="9"/>
        <v/>
      </c>
    </row>
    <row r="262" spans="3:4" ht="15.75" x14ac:dyDescent="0.25">
      <c r="C262" s="46" t="str">
        <f t="shared" si="8"/>
        <v/>
      </c>
      <c r="D262" s="46" t="str">
        <f t="shared" si="9"/>
        <v/>
      </c>
    </row>
    <row r="263" spans="3:4" ht="15.75" x14ac:dyDescent="0.25">
      <c r="C263" s="46" t="str">
        <f t="shared" si="8"/>
        <v/>
      </c>
      <c r="D263" s="46" t="str">
        <f t="shared" si="9"/>
        <v/>
      </c>
    </row>
    <row r="264" spans="3:4" ht="15.75" x14ac:dyDescent="0.25">
      <c r="C264" s="46" t="str">
        <f t="shared" si="8"/>
        <v/>
      </c>
      <c r="D264" s="46" t="str">
        <f t="shared" si="9"/>
        <v/>
      </c>
    </row>
    <row r="265" spans="3:4" ht="15.75" x14ac:dyDescent="0.25">
      <c r="C265" s="46" t="str">
        <f t="shared" si="8"/>
        <v/>
      </c>
      <c r="D265" s="46" t="str">
        <f t="shared" si="9"/>
        <v/>
      </c>
    </row>
    <row r="266" spans="3:4" ht="15.75" x14ac:dyDescent="0.25">
      <c r="C266" s="46" t="str">
        <f t="shared" si="8"/>
        <v/>
      </c>
      <c r="D266" s="46" t="str">
        <f t="shared" si="9"/>
        <v/>
      </c>
    </row>
    <row r="267" spans="3:4" ht="15.75" x14ac:dyDescent="0.25">
      <c r="C267" s="46" t="str">
        <f t="shared" si="8"/>
        <v/>
      </c>
      <c r="D267" s="46" t="str">
        <f t="shared" si="9"/>
        <v/>
      </c>
    </row>
    <row r="268" spans="3:4" ht="15.75" x14ac:dyDescent="0.25">
      <c r="C268" s="46" t="str">
        <f t="shared" si="8"/>
        <v/>
      </c>
      <c r="D268" s="46" t="str">
        <f t="shared" si="9"/>
        <v/>
      </c>
    </row>
    <row r="269" spans="3:4" ht="15.75" x14ac:dyDescent="0.25">
      <c r="C269" s="46" t="str">
        <f t="shared" si="8"/>
        <v/>
      </c>
      <c r="D269" s="46" t="str">
        <f t="shared" si="9"/>
        <v/>
      </c>
    </row>
    <row r="270" spans="3:4" ht="15.75" x14ac:dyDescent="0.25">
      <c r="C270" s="46" t="str">
        <f t="shared" si="8"/>
        <v/>
      </c>
      <c r="D270" s="46" t="str">
        <f t="shared" si="9"/>
        <v/>
      </c>
    </row>
    <row r="271" spans="3:4" ht="15.75" x14ac:dyDescent="0.25">
      <c r="C271" s="46" t="str">
        <f t="shared" si="8"/>
        <v/>
      </c>
      <c r="D271" s="46" t="str">
        <f t="shared" si="9"/>
        <v/>
      </c>
    </row>
    <row r="272" spans="3:4" ht="15.75" x14ac:dyDescent="0.25">
      <c r="C272" s="46" t="str">
        <f t="shared" si="8"/>
        <v/>
      </c>
      <c r="D272" s="46" t="str">
        <f t="shared" si="9"/>
        <v/>
      </c>
    </row>
    <row r="273" spans="3:4" ht="15.75" x14ac:dyDescent="0.25">
      <c r="C273" s="46" t="str">
        <f t="shared" si="8"/>
        <v/>
      </c>
      <c r="D273" s="46" t="str">
        <f t="shared" si="9"/>
        <v/>
      </c>
    </row>
    <row r="274" spans="3:4" ht="15.75" x14ac:dyDescent="0.25">
      <c r="C274" s="46" t="str">
        <f t="shared" si="8"/>
        <v/>
      </c>
      <c r="D274" s="46" t="str">
        <f t="shared" si="9"/>
        <v/>
      </c>
    </row>
    <row r="275" spans="3:4" ht="15.75" x14ac:dyDescent="0.25">
      <c r="C275" s="46" t="str">
        <f t="shared" si="8"/>
        <v/>
      </c>
      <c r="D275" s="46" t="str">
        <f t="shared" si="9"/>
        <v/>
      </c>
    </row>
    <row r="276" spans="3:4" ht="15.75" x14ac:dyDescent="0.25">
      <c r="C276" s="46" t="str">
        <f t="shared" si="8"/>
        <v/>
      </c>
      <c r="D276" s="46" t="str">
        <f t="shared" si="9"/>
        <v/>
      </c>
    </row>
    <row r="277" spans="3:4" ht="15.75" x14ac:dyDescent="0.25">
      <c r="C277" s="46" t="str">
        <f t="shared" si="8"/>
        <v/>
      </c>
      <c r="D277" s="46" t="str">
        <f t="shared" si="9"/>
        <v/>
      </c>
    </row>
    <row r="278" spans="3:4" ht="15.75" x14ac:dyDescent="0.25">
      <c r="C278" s="46" t="str">
        <f t="shared" si="8"/>
        <v/>
      </c>
      <c r="D278" s="46" t="str">
        <f t="shared" si="9"/>
        <v/>
      </c>
    </row>
    <row r="279" spans="3:4" ht="15.75" x14ac:dyDescent="0.25">
      <c r="C279" s="46" t="str">
        <f t="shared" si="8"/>
        <v/>
      </c>
      <c r="D279" s="46" t="str">
        <f t="shared" si="9"/>
        <v/>
      </c>
    </row>
    <row r="280" spans="3:4" ht="15.75" x14ac:dyDescent="0.25">
      <c r="C280" s="46" t="str">
        <f t="shared" si="8"/>
        <v/>
      </c>
      <c r="D280" s="46" t="str">
        <f t="shared" si="9"/>
        <v/>
      </c>
    </row>
    <row r="281" spans="3:4" ht="15.75" x14ac:dyDescent="0.25">
      <c r="C281" s="46" t="str">
        <f t="shared" si="8"/>
        <v/>
      </c>
      <c r="D281" s="46" t="str">
        <f t="shared" si="9"/>
        <v/>
      </c>
    </row>
    <row r="282" spans="3:4" ht="15.75" x14ac:dyDescent="0.25">
      <c r="C282" s="46" t="str">
        <f t="shared" si="8"/>
        <v/>
      </c>
      <c r="D282" s="46" t="str">
        <f t="shared" si="9"/>
        <v/>
      </c>
    </row>
    <row r="283" spans="3:4" ht="15.75" x14ac:dyDescent="0.25">
      <c r="C283" s="46" t="str">
        <f t="shared" si="8"/>
        <v/>
      </c>
      <c r="D283" s="46" t="str">
        <f t="shared" si="9"/>
        <v/>
      </c>
    </row>
    <row r="284" spans="3:4" ht="15.75" x14ac:dyDescent="0.25">
      <c r="C284" s="46" t="str">
        <f t="shared" si="8"/>
        <v/>
      </c>
      <c r="D284" s="46" t="str">
        <f t="shared" si="9"/>
        <v/>
      </c>
    </row>
    <row r="285" spans="3:4" ht="15.75" x14ac:dyDescent="0.25">
      <c r="C285" s="46" t="str">
        <f t="shared" si="8"/>
        <v/>
      </c>
      <c r="D285" s="46" t="str">
        <f t="shared" si="9"/>
        <v/>
      </c>
    </row>
    <row r="286" spans="3:4" ht="15.75" x14ac:dyDescent="0.25">
      <c r="C286" s="46" t="str">
        <f t="shared" si="8"/>
        <v/>
      </c>
      <c r="D286" s="46" t="str">
        <f t="shared" si="9"/>
        <v/>
      </c>
    </row>
    <row r="287" spans="3:4" ht="15.75" x14ac:dyDescent="0.25">
      <c r="C287" s="46" t="str">
        <f t="shared" si="8"/>
        <v/>
      </c>
      <c r="D287" s="46" t="str">
        <f t="shared" si="9"/>
        <v/>
      </c>
    </row>
    <row r="288" spans="3:4" ht="15.75" x14ac:dyDescent="0.25">
      <c r="C288" s="46" t="str">
        <f t="shared" si="8"/>
        <v/>
      </c>
      <c r="D288" s="46" t="str">
        <f t="shared" si="9"/>
        <v/>
      </c>
    </row>
    <row r="289" spans="3:4" ht="15.75" x14ac:dyDescent="0.25">
      <c r="C289" s="46" t="str">
        <f t="shared" si="8"/>
        <v/>
      </c>
      <c r="D289" s="46" t="str">
        <f t="shared" si="9"/>
        <v/>
      </c>
    </row>
    <row r="290" spans="3:4" ht="15.75" x14ac:dyDescent="0.25">
      <c r="C290" s="46" t="str">
        <f t="shared" si="8"/>
        <v/>
      </c>
      <c r="D290" s="46" t="str">
        <f t="shared" si="9"/>
        <v/>
      </c>
    </row>
    <row r="291" spans="3:4" ht="15.75" x14ac:dyDescent="0.25">
      <c r="C291" s="46" t="str">
        <f t="shared" si="8"/>
        <v/>
      </c>
      <c r="D291" s="46" t="str">
        <f t="shared" si="9"/>
        <v/>
      </c>
    </row>
    <row r="292" spans="3:4" ht="15.75" x14ac:dyDescent="0.25">
      <c r="C292" s="46" t="str">
        <f t="shared" si="8"/>
        <v/>
      </c>
      <c r="D292" s="46" t="str">
        <f t="shared" si="9"/>
        <v/>
      </c>
    </row>
    <row r="293" spans="3:4" ht="15.75" x14ac:dyDescent="0.25">
      <c r="C293" s="46" t="str">
        <f t="shared" si="8"/>
        <v/>
      </c>
      <c r="D293" s="46" t="str">
        <f t="shared" si="9"/>
        <v/>
      </c>
    </row>
    <row r="294" spans="3:4" ht="15.75" x14ac:dyDescent="0.25">
      <c r="C294" s="46" t="str">
        <f t="shared" si="8"/>
        <v/>
      </c>
      <c r="D294" s="46" t="str">
        <f t="shared" si="9"/>
        <v/>
      </c>
    </row>
    <row r="295" spans="3:4" ht="15.75" x14ac:dyDescent="0.25">
      <c r="C295" s="46" t="str">
        <f t="shared" si="8"/>
        <v/>
      </c>
      <c r="D295" s="46" t="str">
        <f t="shared" si="9"/>
        <v/>
      </c>
    </row>
    <row r="296" spans="3:4" ht="15.75" x14ac:dyDescent="0.25">
      <c r="C296" s="46" t="str">
        <f t="shared" si="8"/>
        <v/>
      </c>
      <c r="D296" s="46" t="str">
        <f t="shared" si="9"/>
        <v/>
      </c>
    </row>
    <row r="297" spans="3:4" ht="15.75" x14ac:dyDescent="0.25">
      <c r="C297" s="46" t="str">
        <f t="shared" si="8"/>
        <v/>
      </c>
      <c r="D297" s="46" t="str">
        <f t="shared" si="9"/>
        <v/>
      </c>
    </row>
    <row r="298" spans="3:4" ht="15.75" x14ac:dyDescent="0.25">
      <c r="C298" s="46" t="str">
        <f t="shared" si="8"/>
        <v/>
      </c>
      <c r="D298" s="46" t="str">
        <f t="shared" si="9"/>
        <v/>
      </c>
    </row>
    <row r="299" spans="3:4" ht="15.75" x14ac:dyDescent="0.25">
      <c r="C299" s="46" t="str">
        <f t="shared" si="8"/>
        <v/>
      </c>
      <c r="D299" s="46" t="str">
        <f t="shared" si="9"/>
        <v/>
      </c>
    </row>
    <row r="300" spans="3:4" ht="15.75" x14ac:dyDescent="0.25">
      <c r="C300" s="46" t="str">
        <f t="shared" si="8"/>
        <v/>
      </c>
      <c r="D300" s="46" t="str">
        <f t="shared" si="9"/>
        <v/>
      </c>
    </row>
    <row r="301" spans="3:4" ht="15.75" x14ac:dyDescent="0.25">
      <c r="C301" s="46" t="str">
        <f t="shared" si="8"/>
        <v/>
      </c>
      <c r="D301" s="46" t="str">
        <f t="shared" si="9"/>
        <v/>
      </c>
    </row>
    <row r="302" spans="3:4" ht="15.75" x14ac:dyDescent="0.25">
      <c r="C302" s="46" t="str">
        <f t="shared" si="8"/>
        <v/>
      </c>
      <c r="D302" s="46" t="str">
        <f t="shared" si="9"/>
        <v/>
      </c>
    </row>
    <row r="303" spans="3:4" ht="15.75" x14ac:dyDescent="0.25">
      <c r="C303" s="46" t="str">
        <f t="shared" si="8"/>
        <v/>
      </c>
      <c r="D303" s="46" t="str">
        <f t="shared" si="9"/>
        <v/>
      </c>
    </row>
    <row r="304" spans="3:4" ht="15.75" x14ac:dyDescent="0.25">
      <c r="C304" s="46" t="str">
        <f t="shared" si="8"/>
        <v/>
      </c>
      <c r="D304" s="46" t="str">
        <f t="shared" si="9"/>
        <v/>
      </c>
    </row>
    <row r="305" spans="3:4" ht="15.75" x14ac:dyDescent="0.25">
      <c r="C305" s="46" t="str">
        <f t="shared" si="8"/>
        <v/>
      </c>
      <c r="D305" s="46" t="str">
        <f t="shared" si="9"/>
        <v/>
      </c>
    </row>
    <row r="306" spans="3:4" ht="15.75" x14ac:dyDescent="0.25">
      <c r="C306" s="46" t="str">
        <f t="shared" si="8"/>
        <v/>
      </c>
      <c r="D306" s="46" t="str">
        <f t="shared" si="9"/>
        <v/>
      </c>
    </row>
    <row r="307" spans="3:4" ht="15.75" x14ac:dyDescent="0.25">
      <c r="C307" s="46" t="str">
        <f t="shared" si="8"/>
        <v/>
      </c>
      <c r="D307" s="46" t="str">
        <f>IF(COUNTIF(E307:BA307,"NO")=0,"",COUNTIF(E307:BA307,"NO"))</f>
        <v/>
      </c>
    </row>
    <row r="308" spans="3:4" ht="15.75" x14ac:dyDescent="0.25">
      <c r="C308" s="46" t="str">
        <f t="shared" si="8"/>
        <v/>
      </c>
      <c r="D308" s="46" t="str">
        <f>IF(COUNTIF(E308:BA308,"NO")=0,"",COUNTIF(E308:BA308,"NO"))</f>
        <v/>
      </c>
    </row>
    <row r="309" spans="3:4" ht="15.75" x14ac:dyDescent="0.25">
      <c r="C309" s="46" t="str">
        <f t="shared" si="8"/>
        <v/>
      </c>
      <c r="D309" s="46" t="str">
        <f>IF(COUNTIF(E309:BA309,"NO")=0,"",COUNTIF(E309:BA309,"NO"))</f>
        <v/>
      </c>
    </row>
    <row r="310" spans="3:4" ht="15.75" x14ac:dyDescent="0.25">
      <c r="C310" s="46" t="str">
        <f t="shared" si="8"/>
        <v/>
      </c>
      <c r="D310" s="46" t="str">
        <f>IF(COUNTIF(E310:BA310,"NO")=0,"",COUNTIF(E310:BA310,"NO"))</f>
        <v/>
      </c>
    </row>
    <row r="311" spans="3:4" ht="15.75" x14ac:dyDescent="0.25">
      <c r="C311" s="46" t="str">
        <f t="shared" si="8"/>
        <v/>
      </c>
      <c r="D311" s="46" t="str">
        <f>IF(COUNTIF(E311:BA311,"NO")=0,"",COUNTIF(E311:BA311,"NO"))</f>
        <v/>
      </c>
    </row>
  </sheetData>
  <phoneticPr fontId="4" type="noConversion"/>
  <conditionalFormatting sqref="E7:H15 E17:H29">
    <cfRule type="cellIs" dxfId="59" priority="3" stopIfTrue="1" operator="equal">
      <formula>"YES"</formula>
    </cfRule>
    <cfRule type="cellIs" dxfId="58" priority="4" stopIfTrue="1" operator="equal">
      <formula>"NO"</formula>
    </cfRule>
  </conditionalFormatting>
  <dataValidations count="1">
    <dataValidation type="list" allowBlank="1" showInputMessage="1" showErrorMessage="1" sqref="E7:H15 E17:H29" xr:uid="{00000000-0002-0000-0800-000000000000}">
      <formula1>$D$1:$D$3</formula1>
    </dataValidation>
  </dataValidations>
  <hyperlinks>
    <hyperlink ref="B5" r:id="rId1" display="ALE_2.10n" xr:uid="{00000000-0004-0000-0800-000000000000}"/>
  </hyperlinks>
  <pageMargins left="0.75" right="0.75" top="1" bottom="1" header="0.4921259845" footer="0.4921259845"/>
  <pageSetup paperSize="9" scale="61" fitToHeight="0" orientation="portrait" r:id="rId2"/>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20">
    <tabColor theme="7"/>
    <pageSetUpPr fitToPage="1"/>
  </sheetPr>
  <dimension ref="A1:I318"/>
  <sheetViews>
    <sheetView zoomScale="90" zoomScaleNormal="90"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9.140625" style="40" customWidth="1"/>
    <col min="2" max="2" width="97.85546875" style="40" customWidth="1"/>
    <col min="3" max="3" width="4.42578125" style="40" bestFit="1" customWidth="1"/>
    <col min="4" max="4" width="4.7109375" style="40" customWidth="1"/>
    <col min="5" max="7" width="4.5703125" style="40" bestFit="1" customWidth="1"/>
    <col min="8" max="8" width="6.42578125" style="40" customWidth="1"/>
    <col min="9" max="16384" width="9.140625" style="40"/>
  </cols>
  <sheetData>
    <row r="1" spans="1:9" hidden="1" x14ac:dyDescent="0.2">
      <c r="D1" s="40" t="s">
        <v>43</v>
      </c>
    </row>
    <row r="2" spans="1:9" hidden="1" x14ac:dyDescent="0.2">
      <c r="D2" s="40" t="s">
        <v>44</v>
      </c>
    </row>
    <row r="3" spans="1:9" ht="13.5" hidden="1" thickBot="1" x14ac:dyDescent="0.25">
      <c r="D3" s="40" t="s">
        <v>13</v>
      </c>
    </row>
    <row r="4" spans="1:9" ht="88.5" thickTop="1" thickBot="1" x14ac:dyDescent="0.4">
      <c r="A4" s="437" t="s">
        <v>112</v>
      </c>
      <c r="B4" s="438"/>
      <c r="C4" s="43" t="s">
        <v>46</v>
      </c>
      <c r="D4" s="228" t="s">
        <v>47</v>
      </c>
      <c r="E4" s="228" t="s">
        <v>326</v>
      </c>
      <c r="F4" s="228" t="s">
        <v>326</v>
      </c>
      <c r="G4" s="228" t="s">
        <v>326</v>
      </c>
      <c r="H4" s="228" t="s">
        <v>326</v>
      </c>
      <c r="I4" s="80"/>
    </row>
    <row r="5" spans="1:9" ht="24" thickTop="1" x14ac:dyDescent="0.35">
      <c r="A5" s="78"/>
      <c r="B5" s="219" t="s">
        <v>362</v>
      </c>
      <c r="C5" s="71" t="str">
        <f t="shared" ref="C5:C49" si="0">IF(COUNTIF(E5:BA5,"YES")=0,"",COUNTIF(E5:BA5,"YES"))</f>
        <v/>
      </c>
      <c r="D5" s="71" t="str">
        <f t="shared" ref="D5:D49" si="1">IF(COUNTIF(E5:BA5,"NO")=0,"",COUNTIF(E5:BA5,"NO"))</f>
        <v/>
      </c>
      <c r="E5" s="79"/>
      <c r="F5" s="79"/>
      <c r="G5" s="79"/>
      <c r="H5" s="79"/>
    </row>
    <row r="6" spans="1:9" ht="15.75" customHeight="1" x14ac:dyDescent="0.25">
      <c r="A6" s="232"/>
      <c r="B6" s="233" t="s">
        <v>363</v>
      </c>
      <c r="C6" s="71" t="str">
        <f t="shared" si="0"/>
        <v/>
      </c>
      <c r="D6" s="71" t="str">
        <f t="shared" si="1"/>
        <v/>
      </c>
      <c r="E6" s="72"/>
      <c r="F6" s="72"/>
      <c r="G6" s="72"/>
      <c r="H6" s="72"/>
    </row>
    <row r="7" spans="1:9" ht="15.75" x14ac:dyDescent="0.25">
      <c r="A7" s="229">
        <v>1</v>
      </c>
      <c r="B7" s="261" t="s">
        <v>364</v>
      </c>
      <c r="C7" s="44" t="str">
        <f t="shared" si="0"/>
        <v/>
      </c>
      <c r="D7" s="44" t="str">
        <f t="shared" si="1"/>
        <v/>
      </c>
      <c r="E7" s="41"/>
      <c r="F7" s="41"/>
      <c r="G7" s="41"/>
      <c r="H7" s="41"/>
    </row>
    <row r="8" spans="1:9" ht="15.75" x14ac:dyDescent="0.25">
      <c r="A8" s="229">
        <v>2</v>
      </c>
      <c r="B8" s="261" t="s">
        <v>350</v>
      </c>
      <c r="C8" s="71" t="str">
        <f t="shared" si="0"/>
        <v/>
      </c>
      <c r="D8" s="71" t="str">
        <f t="shared" si="1"/>
        <v/>
      </c>
      <c r="E8" s="41"/>
      <c r="F8" s="41"/>
      <c r="G8" s="41"/>
      <c r="H8" s="41"/>
    </row>
    <row r="9" spans="1:9" ht="25.5" x14ac:dyDescent="0.25">
      <c r="A9" s="229">
        <v>3</v>
      </c>
      <c r="B9" s="265" t="s">
        <v>365</v>
      </c>
      <c r="C9" s="44" t="str">
        <f t="shared" si="0"/>
        <v/>
      </c>
      <c r="D9" s="44" t="str">
        <f t="shared" si="1"/>
        <v/>
      </c>
      <c r="E9" s="41"/>
      <c r="F9" s="41"/>
      <c r="G9" s="41"/>
      <c r="H9" s="41"/>
    </row>
    <row r="10" spans="1:9" ht="15.75" x14ac:dyDescent="0.25">
      <c r="A10" s="229">
        <v>4</v>
      </c>
      <c r="B10" s="265" t="s">
        <v>366</v>
      </c>
      <c r="C10" s="44" t="str">
        <f t="shared" si="0"/>
        <v/>
      </c>
      <c r="D10" s="44" t="str">
        <f t="shared" si="1"/>
        <v/>
      </c>
      <c r="E10" s="41"/>
      <c r="F10" s="41"/>
      <c r="G10" s="41"/>
      <c r="H10" s="41"/>
    </row>
    <row r="11" spans="1:9" ht="15.75" x14ac:dyDescent="0.25">
      <c r="A11" s="232"/>
      <c r="B11" s="233" t="s">
        <v>93</v>
      </c>
      <c r="C11" s="44" t="str">
        <f t="shared" si="0"/>
        <v/>
      </c>
      <c r="D11" s="44" t="str">
        <f t="shared" si="1"/>
        <v/>
      </c>
      <c r="E11" s="72"/>
      <c r="F11" s="72"/>
      <c r="G11" s="72"/>
      <c r="H11" s="72"/>
    </row>
    <row r="12" spans="1:9" ht="25.5" x14ac:dyDescent="0.25">
      <c r="A12" s="230">
        <v>5</v>
      </c>
      <c r="B12" s="265" t="s">
        <v>367</v>
      </c>
      <c r="C12" s="71" t="str">
        <f t="shared" si="0"/>
        <v/>
      </c>
      <c r="D12" s="71" t="str">
        <f t="shared" si="1"/>
        <v/>
      </c>
      <c r="E12" s="41"/>
      <c r="F12" s="41"/>
      <c r="G12" s="41"/>
      <c r="H12" s="41"/>
    </row>
    <row r="13" spans="1:9" ht="15.75" x14ac:dyDescent="0.25">
      <c r="A13" s="230">
        <v>6</v>
      </c>
      <c r="B13" s="261" t="s">
        <v>368</v>
      </c>
      <c r="C13" s="44" t="str">
        <f t="shared" si="0"/>
        <v/>
      </c>
      <c r="D13" s="44" t="str">
        <f t="shared" si="1"/>
        <v/>
      </c>
      <c r="E13" s="41"/>
      <c r="F13" s="41"/>
      <c r="G13" s="41"/>
      <c r="H13" s="41"/>
    </row>
    <row r="14" spans="1:9" ht="15.75" x14ac:dyDescent="0.25">
      <c r="A14" s="230">
        <v>7</v>
      </c>
      <c r="B14" s="261" t="s">
        <v>369</v>
      </c>
      <c r="C14" s="44" t="str">
        <f t="shared" si="0"/>
        <v/>
      </c>
      <c r="D14" s="44" t="str">
        <f t="shared" si="1"/>
        <v/>
      </c>
      <c r="E14" s="41"/>
      <c r="F14" s="41"/>
      <c r="G14" s="41"/>
      <c r="H14" s="41"/>
    </row>
    <row r="15" spans="1:9" ht="15.75" x14ac:dyDescent="0.25">
      <c r="A15" s="230">
        <v>8</v>
      </c>
      <c r="B15" s="265" t="s">
        <v>370</v>
      </c>
      <c r="C15" s="71" t="str">
        <f t="shared" si="0"/>
        <v/>
      </c>
      <c r="D15" s="71" t="str">
        <f t="shared" si="1"/>
        <v/>
      </c>
      <c r="E15" s="41"/>
      <c r="F15" s="41"/>
      <c r="G15" s="41"/>
      <c r="H15" s="41"/>
    </row>
    <row r="16" spans="1:9" ht="15.75" x14ac:dyDescent="0.25">
      <c r="A16" s="230">
        <v>9</v>
      </c>
      <c r="B16" s="265" t="s">
        <v>113</v>
      </c>
      <c r="C16" s="44" t="str">
        <f t="shared" si="0"/>
        <v/>
      </c>
      <c r="D16" s="44" t="str">
        <f t="shared" si="1"/>
        <v/>
      </c>
      <c r="E16" s="41"/>
      <c r="F16" s="41"/>
      <c r="G16" s="41"/>
      <c r="H16" s="41"/>
    </row>
    <row r="17" spans="1:8" ht="25.5" x14ac:dyDescent="0.25">
      <c r="A17" s="230">
        <v>10</v>
      </c>
      <c r="B17" s="261" t="s">
        <v>371</v>
      </c>
      <c r="C17" s="44" t="str">
        <f t="shared" si="0"/>
        <v/>
      </c>
      <c r="D17" s="44" t="str">
        <f t="shared" si="1"/>
        <v/>
      </c>
      <c r="E17" s="41"/>
      <c r="F17" s="41"/>
      <c r="G17" s="41"/>
      <c r="H17" s="41"/>
    </row>
    <row r="18" spans="1:8" ht="15.75" x14ac:dyDescent="0.25">
      <c r="A18" s="230">
        <v>11</v>
      </c>
      <c r="B18" s="261" t="s">
        <v>372</v>
      </c>
      <c r="C18" s="44" t="str">
        <f t="shared" si="0"/>
        <v/>
      </c>
      <c r="D18" s="44" t="str">
        <f t="shared" si="1"/>
        <v/>
      </c>
      <c r="E18" s="41"/>
      <c r="F18" s="41"/>
      <c r="G18" s="41"/>
      <c r="H18" s="41"/>
    </row>
    <row r="19" spans="1:8" ht="15.75" x14ac:dyDescent="0.25">
      <c r="A19" s="230">
        <v>12</v>
      </c>
      <c r="B19" s="261" t="s">
        <v>373</v>
      </c>
      <c r="C19" s="44" t="str">
        <f t="shared" si="0"/>
        <v/>
      </c>
      <c r="D19" s="44" t="str">
        <f t="shared" si="1"/>
        <v/>
      </c>
      <c r="E19" s="41"/>
      <c r="F19" s="41"/>
      <c r="G19" s="41"/>
      <c r="H19" s="41"/>
    </row>
    <row r="20" spans="1:8" ht="16.5" thickBot="1" x14ac:dyDescent="0.3">
      <c r="A20" s="231">
        <v>13</v>
      </c>
      <c r="B20" s="266" t="s">
        <v>374</v>
      </c>
      <c r="C20" s="44" t="str">
        <f t="shared" si="0"/>
        <v/>
      </c>
      <c r="D20" s="44" t="str">
        <f t="shared" si="1"/>
        <v/>
      </c>
      <c r="E20" s="41"/>
      <c r="F20" s="41"/>
      <c r="G20" s="41"/>
      <c r="H20" s="41"/>
    </row>
    <row r="21" spans="1:8" ht="15.75" x14ac:dyDescent="0.25">
      <c r="C21" s="46" t="str">
        <f t="shared" si="0"/>
        <v/>
      </c>
      <c r="D21" s="46" t="str">
        <f t="shared" si="1"/>
        <v/>
      </c>
    </row>
    <row r="22" spans="1:8" ht="15.75" x14ac:dyDescent="0.25">
      <c r="C22" s="46" t="str">
        <f t="shared" si="0"/>
        <v/>
      </c>
      <c r="D22" s="46" t="str">
        <f t="shared" si="1"/>
        <v/>
      </c>
    </row>
    <row r="23" spans="1:8" ht="15.75" x14ac:dyDescent="0.25">
      <c r="C23" s="46" t="str">
        <f t="shared" si="0"/>
        <v/>
      </c>
      <c r="D23" s="46" t="str">
        <f t="shared" si="1"/>
        <v/>
      </c>
    </row>
    <row r="24" spans="1:8" ht="15.75" x14ac:dyDescent="0.25">
      <c r="C24" s="46" t="str">
        <f t="shared" si="0"/>
        <v/>
      </c>
      <c r="D24" s="46" t="str">
        <f t="shared" si="1"/>
        <v/>
      </c>
    </row>
    <row r="25" spans="1:8" ht="15.75" x14ac:dyDescent="0.25">
      <c r="C25" s="46" t="str">
        <f t="shared" si="0"/>
        <v/>
      </c>
      <c r="D25" s="46" t="str">
        <f t="shared" si="1"/>
        <v/>
      </c>
    </row>
    <row r="26" spans="1:8" ht="15.75" x14ac:dyDescent="0.25">
      <c r="C26" s="46" t="str">
        <f t="shared" si="0"/>
        <v/>
      </c>
      <c r="D26" s="46" t="str">
        <f t="shared" si="1"/>
        <v/>
      </c>
    </row>
    <row r="27" spans="1:8" ht="15.75" x14ac:dyDescent="0.25">
      <c r="C27" s="46" t="str">
        <f t="shared" si="0"/>
        <v/>
      </c>
      <c r="D27" s="46" t="str">
        <f t="shared" si="1"/>
        <v/>
      </c>
    </row>
    <row r="28" spans="1:8" ht="15.75" x14ac:dyDescent="0.25">
      <c r="C28" s="46" t="str">
        <f t="shared" si="0"/>
        <v/>
      </c>
      <c r="D28" s="46" t="str">
        <f t="shared" si="1"/>
        <v/>
      </c>
    </row>
    <row r="29" spans="1:8" ht="15.75" x14ac:dyDescent="0.25">
      <c r="C29" s="46" t="str">
        <f t="shared" si="0"/>
        <v/>
      </c>
      <c r="D29" s="46" t="str">
        <f t="shared" si="1"/>
        <v/>
      </c>
    </row>
    <row r="30" spans="1:8" ht="15.75" x14ac:dyDescent="0.25">
      <c r="C30" s="46" t="str">
        <f t="shared" si="0"/>
        <v/>
      </c>
      <c r="D30" s="46" t="str">
        <f t="shared" si="1"/>
        <v/>
      </c>
    </row>
    <row r="31" spans="1:8" ht="15.75" x14ac:dyDescent="0.25">
      <c r="C31" s="46" t="str">
        <f t="shared" si="0"/>
        <v/>
      </c>
      <c r="D31" s="46" t="str">
        <f t="shared" si="1"/>
        <v/>
      </c>
    </row>
    <row r="32" spans="1:8" ht="15.75" x14ac:dyDescent="0.25">
      <c r="C32" s="46" t="str">
        <f t="shared" si="0"/>
        <v/>
      </c>
      <c r="D32" s="46" t="str">
        <f t="shared" si="1"/>
        <v/>
      </c>
    </row>
    <row r="33" spans="3:4" ht="15.75" x14ac:dyDescent="0.25">
      <c r="C33" s="46" t="str">
        <f t="shared" si="0"/>
        <v/>
      </c>
      <c r="D33" s="46" t="str">
        <f t="shared" si="1"/>
        <v/>
      </c>
    </row>
    <row r="34" spans="3:4" ht="15.75" x14ac:dyDescent="0.25">
      <c r="C34" s="46" t="str">
        <f t="shared" si="0"/>
        <v/>
      </c>
      <c r="D34" s="46" t="str">
        <f t="shared" si="1"/>
        <v/>
      </c>
    </row>
    <row r="35" spans="3:4" ht="15.75" x14ac:dyDescent="0.25">
      <c r="C35" s="46" t="str">
        <f t="shared" si="0"/>
        <v/>
      </c>
      <c r="D35" s="46" t="str">
        <f t="shared" si="1"/>
        <v/>
      </c>
    </row>
    <row r="36" spans="3:4" ht="15.75" x14ac:dyDescent="0.25">
      <c r="C36" s="46" t="str">
        <f t="shared" si="0"/>
        <v/>
      </c>
      <c r="D36" s="46" t="str">
        <f t="shared" si="1"/>
        <v/>
      </c>
    </row>
    <row r="37" spans="3:4" ht="15.75" x14ac:dyDescent="0.25">
      <c r="C37" s="46" t="str">
        <f t="shared" si="0"/>
        <v/>
      </c>
      <c r="D37" s="46" t="str">
        <f t="shared" si="1"/>
        <v/>
      </c>
    </row>
    <row r="38" spans="3:4" ht="15.75" x14ac:dyDescent="0.25">
      <c r="C38" s="46" t="str">
        <f t="shared" si="0"/>
        <v/>
      </c>
      <c r="D38" s="46" t="str">
        <f t="shared" si="1"/>
        <v/>
      </c>
    </row>
    <row r="39" spans="3:4" ht="15.75" x14ac:dyDescent="0.25">
      <c r="C39" s="46" t="str">
        <f t="shared" si="0"/>
        <v/>
      </c>
      <c r="D39" s="46" t="str">
        <f t="shared" si="1"/>
        <v/>
      </c>
    </row>
    <row r="40" spans="3:4" ht="15.75" x14ac:dyDescent="0.25">
      <c r="C40" s="46" t="str">
        <f t="shared" si="0"/>
        <v/>
      </c>
      <c r="D40" s="46" t="str">
        <f t="shared" si="1"/>
        <v/>
      </c>
    </row>
    <row r="41" spans="3:4" ht="15.75" x14ac:dyDescent="0.25">
      <c r="C41" s="46" t="str">
        <f t="shared" si="0"/>
        <v/>
      </c>
      <c r="D41" s="46" t="str">
        <f t="shared" si="1"/>
        <v/>
      </c>
    </row>
    <row r="42" spans="3:4" ht="15.75" x14ac:dyDescent="0.25">
      <c r="C42" s="46" t="str">
        <f t="shared" si="0"/>
        <v/>
      </c>
      <c r="D42" s="46" t="str">
        <f t="shared" si="1"/>
        <v/>
      </c>
    </row>
    <row r="43" spans="3:4" ht="15.75" x14ac:dyDescent="0.25">
      <c r="C43" s="46" t="str">
        <f t="shared" si="0"/>
        <v/>
      </c>
      <c r="D43" s="46" t="str">
        <f t="shared" si="1"/>
        <v/>
      </c>
    </row>
    <row r="44" spans="3:4" ht="15.75" x14ac:dyDescent="0.25">
      <c r="C44" s="46" t="str">
        <f t="shared" si="0"/>
        <v/>
      </c>
      <c r="D44" s="46" t="str">
        <f t="shared" si="1"/>
        <v/>
      </c>
    </row>
    <row r="45" spans="3:4" ht="15.75" x14ac:dyDescent="0.25">
      <c r="C45" s="46" t="str">
        <f t="shared" si="0"/>
        <v/>
      </c>
      <c r="D45" s="46" t="str">
        <f t="shared" si="1"/>
        <v/>
      </c>
    </row>
    <row r="46" spans="3:4" ht="15.75" x14ac:dyDescent="0.25">
      <c r="C46" s="46" t="str">
        <f t="shared" si="0"/>
        <v/>
      </c>
      <c r="D46" s="46" t="str">
        <f t="shared" si="1"/>
        <v/>
      </c>
    </row>
    <row r="47" spans="3:4" ht="15.75" x14ac:dyDescent="0.25">
      <c r="C47" s="46" t="str">
        <f t="shared" si="0"/>
        <v/>
      </c>
      <c r="D47" s="46" t="str">
        <f t="shared" si="1"/>
        <v/>
      </c>
    </row>
    <row r="48" spans="3:4" ht="15.75" x14ac:dyDescent="0.25">
      <c r="C48" s="46" t="str">
        <f t="shared" si="0"/>
        <v/>
      </c>
      <c r="D48" s="46" t="str">
        <f t="shared" si="1"/>
        <v/>
      </c>
    </row>
    <row r="49" spans="3:4" ht="15.75" x14ac:dyDescent="0.25">
      <c r="C49" s="46" t="str">
        <f t="shared" si="0"/>
        <v/>
      </c>
      <c r="D49" s="46" t="str">
        <f t="shared" si="1"/>
        <v/>
      </c>
    </row>
    <row r="50" spans="3:4" ht="15.75" x14ac:dyDescent="0.25">
      <c r="C50" s="46" t="str">
        <f t="shared" ref="C50:C113" si="2">IF(COUNTIF(E50:BA50,"YES")=0,"",COUNTIF(E50:BA50,"YES"))</f>
        <v/>
      </c>
      <c r="D50" s="46" t="str">
        <f t="shared" ref="D50:D113" si="3">IF(COUNTIF(E50:BA50,"NO")=0,"",COUNTIF(E50:BA50,"NO"))</f>
        <v/>
      </c>
    </row>
    <row r="51" spans="3:4" ht="15.75" x14ac:dyDescent="0.25">
      <c r="C51" s="46" t="str">
        <f t="shared" si="2"/>
        <v/>
      </c>
      <c r="D51" s="46" t="str">
        <f t="shared" si="3"/>
        <v/>
      </c>
    </row>
    <row r="52" spans="3:4" ht="15.75" x14ac:dyDescent="0.25">
      <c r="C52" s="46" t="str">
        <f t="shared" si="2"/>
        <v/>
      </c>
      <c r="D52" s="46" t="str">
        <f t="shared" si="3"/>
        <v/>
      </c>
    </row>
    <row r="53" spans="3:4" ht="15.75" x14ac:dyDescent="0.25">
      <c r="C53" s="46" t="str">
        <f t="shared" si="2"/>
        <v/>
      </c>
      <c r="D53" s="46" t="str">
        <f t="shared" si="3"/>
        <v/>
      </c>
    </row>
    <row r="54" spans="3:4" ht="15.75" x14ac:dyDescent="0.25">
      <c r="C54" s="46" t="str">
        <f t="shared" si="2"/>
        <v/>
      </c>
      <c r="D54" s="46" t="str">
        <f t="shared" si="3"/>
        <v/>
      </c>
    </row>
    <row r="55" spans="3:4" ht="15.75" x14ac:dyDescent="0.25">
      <c r="C55" s="46" t="str">
        <f t="shared" si="2"/>
        <v/>
      </c>
      <c r="D55" s="46" t="str">
        <f t="shared" si="3"/>
        <v/>
      </c>
    </row>
    <row r="56" spans="3:4" ht="15.75" x14ac:dyDescent="0.25">
      <c r="C56" s="46" t="str">
        <f t="shared" si="2"/>
        <v/>
      </c>
      <c r="D56" s="46" t="str">
        <f t="shared" si="3"/>
        <v/>
      </c>
    </row>
    <row r="57" spans="3:4" ht="15.75" x14ac:dyDescent="0.25">
      <c r="C57" s="46" t="str">
        <f t="shared" si="2"/>
        <v/>
      </c>
      <c r="D57" s="46" t="str">
        <f t="shared" si="3"/>
        <v/>
      </c>
    </row>
    <row r="58" spans="3:4" ht="15.75" x14ac:dyDescent="0.25">
      <c r="C58" s="46" t="str">
        <f t="shared" si="2"/>
        <v/>
      </c>
      <c r="D58" s="46" t="str">
        <f t="shared" si="3"/>
        <v/>
      </c>
    </row>
    <row r="59" spans="3:4" ht="15.75" x14ac:dyDescent="0.25">
      <c r="C59" s="46" t="str">
        <f t="shared" si="2"/>
        <v/>
      </c>
      <c r="D59" s="46" t="str">
        <f t="shared" si="3"/>
        <v/>
      </c>
    </row>
    <row r="60" spans="3:4" ht="15.75" x14ac:dyDescent="0.25">
      <c r="C60" s="46" t="str">
        <f t="shared" si="2"/>
        <v/>
      </c>
      <c r="D60" s="46" t="str">
        <f t="shared" si="3"/>
        <v/>
      </c>
    </row>
    <row r="61" spans="3:4" ht="15.75" x14ac:dyDescent="0.25">
      <c r="C61" s="46" t="str">
        <f t="shared" si="2"/>
        <v/>
      </c>
      <c r="D61" s="46" t="str">
        <f t="shared" si="3"/>
        <v/>
      </c>
    </row>
    <row r="62" spans="3:4" ht="15.75" x14ac:dyDescent="0.25">
      <c r="C62" s="46" t="str">
        <f t="shared" si="2"/>
        <v/>
      </c>
      <c r="D62" s="46" t="str">
        <f t="shared" si="3"/>
        <v/>
      </c>
    </row>
    <row r="63" spans="3:4" ht="15.75" x14ac:dyDescent="0.25">
      <c r="C63" s="46" t="str">
        <f t="shared" si="2"/>
        <v/>
      </c>
      <c r="D63" s="46" t="str">
        <f t="shared" si="3"/>
        <v/>
      </c>
    </row>
    <row r="64" spans="3:4" ht="15.75" x14ac:dyDescent="0.25">
      <c r="C64" s="46" t="str">
        <f t="shared" si="2"/>
        <v/>
      </c>
      <c r="D64" s="46" t="str">
        <f t="shared" si="3"/>
        <v/>
      </c>
    </row>
    <row r="65" spans="3:4" ht="15.75" x14ac:dyDescent="0.25">
      <c r="C65" s="46" t="str">
        <f t="shared" si="2"/>
        <v/>
      </c>
      <c r="D65" s="46" t="str">
        <f t="shared" si="3"/>
        <v/>
      </c>
    </row>
    <row r="66" spans="3:4" ht="15.75" x14ac:dyDescent="0.25">
      <c r="C66" s="46" t="str">
        <f t="shared" si="2"/>
        <v/>
      </c>
      <c r="D66" s="46" t="str">
        <f t="shared" si="3"/>
        <v/>
      </c>
    </row>
    <row r="67" spans="3:4" ht="15.75" x14ac:dyDescent="0.25">
      <c r="C67" s="46" t="str">
        <f t="shared" si="2"/>
        <v/>
      </c>
      <c r="D67" s="46" t="str">
        <f t="shared" si="3"/>
        <v/>
      </c>
    </row>
    <row r="68" spans="3:4" ht="15.75" x14ac:dyDescent="0.25">
      <c r="C68" s="46" t="str">
        <f t="shared" si="2"/>
        <v/>
      </c>
      <c r="D68" s="46" t="str">
        <f t="shared" si="3"/>
        <v/>
      </c>
    </row>
    <row r="69" spans="3:4" ht="15.75" x14ac:dyDescent="0.25">
      <c r="C69" s="46" t="str">
        <f t="shared" si="2"/>
        <v/>
      </c>
      <c r="D69" s="46" t="str">
        <f t="shared" si="3"/>
        <v/>
      </c>
    </row>
    <row r="70" spans="3:4" ht="15.75" x14ac:dyDescent="0.25">
      <c r="C70" s="46" t="str">
        <f t="shared" si="2"/>
        <v/>
      </c>
      <c r="D70" s="46" t="str">
        <f t="shared" si="3"/>
        <v/>
      </c>
    </row>
    <row r="71" spans="3:4" ht="15.75" x14ac:dyDescent="0.25">
      <c r="C71" s="46" t="str">
        <f t="shared" si="2"/>
        <v/>
      </c>
      <c r="D71" s="46" t="str">
        <f t="shared" si="3"/>
        <v/>
      </c>
    </row>
    <row r="72" spans="3:4" ht="15.75" x14ac:dyDescent="0.25">
      <c r="C72" s="46" t="str">
        <f t="shared" si="2"/>
        <v/>
      </c>
      <c r="D72" s="46" t="str">
        <f t="shared" si="3"/>
        <v/>
      </c>
    </row>
    <row r="73" spans="3:4" ht="15.75" x14ac:dyDescent="0.25">
      <c r="C73" s="46" t="str">
        <f t="shared" si="2"/>
        <v/>
      </c>
      <c r="D73" s="46" t="str">
        <f t="shared" si="3"/>
        <v/>
      </c>
    </row>
    <row r="74" spans="3:4" ht="15.75" x14ac:dyDescent="0.25">
      <c r="C74" s="46" t="str">
        <f t="shared" si="2"/>
        <v/>
      </c>
      <c r="D74" s="46" t="str">
        <f t="shared" si="3"/>
        <v/>
      </c>
    </row>
    <row r="75" spans="3:4" ht="15.75" x14ac:dyDescent="0.25">
      <c r="C75" s="46" t="str">
        <f t="shared" si="2"/>
        <v/>
      </c>
      <c r="D75" s="46" t="str">
        <f t="shared" si="3"/>
        <v/>
      </c>
    </row>
    <row r="76" spans="3:4" ht="15.75" x14ac:dyDescent="0.25">
      <c r="C76" s="46" t="str">
        <f t="shared" si="2"/>
        <v/>
      </c>
      <c r="D76" s="46" t="str">
        <f t="shared" si="3"/>
        <v/>
      </c>
    </row>
    <row r="77" spans="3:4" ht="15.75" x14ac:dyDescent="0.25">
      <c r="C77" s="46" t="str">
        <f t="shared" si="2"/>
        <v/>
      </c>
      <c r="D77" s="46" t="str">
        <f t="shared" si="3"/>
        <v/>
      </c>
    </row>
    <row r="78" spans="3:4" ht="15.75" x14ac:dyDescent="0.25">
      <c r="C78" s="46" t="str">
        <f t="shared" si="2"/>
        <v/>
      </c>
      <c r="D78" s="46" t="str">
        <f t="shared" si="3"/>
        <v/>
      </c>
    </row>
    <row r="79" spans="3:4" ht="15.75" x14ac:dyDescent="0.25">
      <c r="C79" s="46" t="str">
        <f t="shared" si="2"/>
        <v/>
      </c>
      <c r="D79" s="46" t="str">
        <f t="shared" si="3"/>
        <v/>
      </c>
    </row>
    <row r="80" spans="3:4" ht="15.75" x14ac:dyDescent="0.25">
      <c r="C80" s="46" t="str">
        <f t="shared" si="2"/>
        <v/>
      </c>
      <c r="D80" s="46" t="str">
        <f t="shared" si="3"/>
        <v/>
      </c>
    </row>
    <row r="81" spans="3:4" ht="15.75" x14ac:dyDescent="0.25">
      <c r="C81" s="46" t="str">
        <f t="shared" si="2"/>
        <v/>
      </c>
      <c r="D81" s="46" t="str">
        <f t="shared" si="3"/>
        <v/>
      </c>
    </row>
    <row r="82" spans="3:4" ht="15.75" x14ac:dyDescent="0.25">
      <c r="C82" s="46" t="str">
        <f t="shared" si="2"/>
        <v/>
      </c>
      <c r="D82" s="46" t="str">
        <f t="shared" si="3"/>
        <v/>
      </c>
    </row>
    <row r="83" spans="3:4" ht="15.75" x14ac:dyDescent="0.25">
      <c r="C83" s="46" t="str">
        <f t="shared" si="2"/>
        <v/>
      </c>
      <c r="D83" s="46" t="str">
        <f t="shared" si="3"/>
        <v/>
      </c>
    </row>
    <row r="84" spans="3:4" ht="15.75" x14ac:dyDescent="0.25">
      <c r="C84" s="46" t="str">
        <f t="shared" si="2"/>
        <v/>
      </c>
      <c r="D84" s="46" t="str">
        <f t="shared" si="3"/>
        <v/>
      </c>
    </row>
    <row r="85" spans="3:4" ht="15.75" x14ac:dyDescent="0.25">
      <c r="C85" s="46" t="str">
        <f t="shared" si="2"/>
        <v/>
      </c>
      <c r="D85" s="46" t="str">
        <f t="shared" si="3"/>
        <v/>
      </c>
    </row>
    <row r="86" spans="3:4" ht="15.75" x14ac:dyDescent="0.25">
      <c r="C86" s="46" t="str">
        <f t="shared" si="2"/>
        <v/>
      </c>
      <c r="D86" s="46" t="str">
        <f t="shared" si="3"/>
        <v/>
      </c>
    </row>
    <row r="87" spans="3:4" ht="15.75" x14ac:dyDescent="0.25">
      <c r="C87" s="46" t="str">
        <f t="shared" si="2"/>
        <v/>
      </c>
      <c r="D87" s="46" t="str">
        <f t="shared" si="3"/>
        <v/>
      </c>
    </row>
    <row r="88" spans="3:4" ht="15.75" x14ac:dyDescent="0.25">
      <c r="C88" s="46" t="str">
        <f t="shared" si="2"/>
        <v/>
      </c>
      <c r="D88" s="46" t="str">
        <f t="shared" si="3"/>
        <v/>
      </c>
    </row>
    <row r="89" spans="3:4" ht="15.75" x14ac:dyDescent="0.25">
      <c r="C89" s="46" t="str">
        <f t="shared" si="2"/>
        <v/>
      </c>
      <c r="D89" s="46" t="str">
        <f t="shared" si="3"/>
        <v/>
      </c>
    </row>
    <row r="90" spans="3:4" ht="15.75" x14ac:dyDescent="0.25">
      <c r="C90" s="46" t="str">
        <f t="shared" si="2"/>
        <v/>
      </c>
      <c r="D90" s="46" t="str">
        <f t="shared" si="3"/>
        <v/>
      </c>
    </row>
    <row r="91" spans="3:4" ht="15.75" x14ac:dyDescent="0.25">
      <c r="C91" s="46" t="str">
        <f t="shared" si="2"/>
        <v/>
      </c>
      <c r="D91" s="46" t="str">
        <f t="shared" si="3"/>
        <v/>
      </c>
    </row>
    <row r="92" spans="3:4" ht="15.75" x14ac:dyDescent="0.25">
      <c r="C92" s="46" t="str">
        <f t="shared" si="2"/>
        <v/>
      </c>
      <c r="D92" s="46" t="str">
        <f t="shared" si="3"/>
        <v/>
      </c>
    </row>
    <row r="93" spans="3:4" ht="15.75" x14ac:dyDescent="0.25">
      <c r="C93" s="46" t="str">
        <f t="shared" si="2"/>
        <v/>
      </c>
      <c r="D93" s="46" t="str">
        <f t="shared" si="3"/>
        <v/>
      </c>
    </row>
    <row r="94" spans="3:4" ht="15.75" x14ac:dyDescent="0.25">
      <c r="C94" s="46" t="str">
        <f t="shared" si="2"/>
        <v/>
      </c>
      <c r="D94" s="46" t="str">
        <f t="shared" si="3"/>
        <v/>
      </c>
    </row>
    <row r="95" spans="3:4" ht="15.75" x14ac:dyDescent="0.25">
      <c r="C95" s="46" t="str">
        <f t="shared" si="2"/>
        <v/>
      </c>
      <c r="D95" s="46" t="str">
        <f t="shared" si="3"/>
        <v/>
      </c>
    </row>
    <row r="96" spans="3:4" ht="15.75" x14ac:dyDescent="0.25">
      <c r="C96" s="46" t="str">
        <f t="shared" si="2"/>
        <v/>
      </c>
      <c r="D96" s="46" t="str">
        <f t="shared" si="3"/>
        <v/>
      </c>
    </row>
    <row r="97" spans="3:4" ht="15.75" x14ac:dyDescent="0.25">
      <c r="C97" s="46" t="str">
        <f t="shared" si="2"/>
        <v/>
      </c>
      <c r="D97" s="46" t="str">
        <f t="shared" si="3"/>
        <v/>
      </c>
    </row>
    <row r="98" spans="3:4" ht="15.75" x14ac:dyDescent="0.25">
      <c r="C98" s="46" t="str">
        <f t="shared" si="2"/>
        <v/>
      </c>
      <c r="D98" s="46" t="str">
        <f t="shared" si="3"/>
        <v/>
      </c>
    </row>
    <row r="99" spans="3:4" ht="15.75" x14ac:dyDescent="0.25">
      <c r="C99" s="46" t="str">
        <f t="shared" si="2"/>
        <v/>
      </c>
      <c r="D99" s="46" t="str">
        <f t="shared" si="3"/>
        <v/>
      </c>
    </row>
    <row r="100" spans="3:4" ht="15.75" x14ac:dyDescent="0.25">
      <c r="C100" s="46" t="str">
        <f t="shared" si="2"/>
        <v/>
      </c>
      <c r="D100" s="46" t="str">
        <f t="shared" si="3"/>
        <v/>
      </c>
    </row>
    <row r="101" spans="3:4" ht="15.75" x14ac:dyDescent="0.25">
      <c r="C101" s="46" t="str">
        <f t="shared" si="2"/>
        <v/>
      </c>
      <c r="D101" s="46" t="str">
        <f t="shared" si="3"/>
        <v/>
      </c>
    </row>
    <row r="102" spans="3:4" ht="15.75" x14ac:dyDescent="0.25">
      <c r="C102" s="46" t="str">
        <f t="shared" si="2"/>
        <v/>
      </c>
      <c r="D102" s="46" t="str">
        <f t="shared" si="3"/>
        <v/>
      </c>
    </row>
    <row r="103" spans="3:4" ht="15.75" x14ac:dyDescent="0.25">
      <c r="C103" s="46" t="str">
        <f t="shared" si="2"/>
        <v/>
      </c>
      <c r="D103" s="46" t="str">
        <f t="shared" si="3"/>
        <v/>
      </c>
    </row>
    <row r="104" spans="3:4" ht="15.75" x14ac:dyDescent="0.25">
      <c r="C104" s="46" t="str">
        <f t="shared" si="2"/>
        <v/>
      </c>
      <c r="D104" s="46" t="str">
        <f t="shared" si="3"/>
        <v/>
      </c>
    </row>
    <row r="105" spans="3:4" ht="15.75" x14ac:dyDescent="0.25">
      <c r="C105" s="46" t="str">
        <f t="shared" si="2"/>
        <v/>
      </c>
      <c r="D105" s="46" t="str">
        <f t="shared" si="3"/>
        <v/>
      </c>
    </row>
    <row r="106" spans="3:4" ht="15.75" x14ac:dyDescent="0.25">
      <c r="C106" s="46" t="str">
        <f t="shared" si="2"/>
        <v/>
      </c>
      <c r="D106" s="46" t="str">
        <f t="shared" si="3"/>
        <v/>
      </c>
    </row>
    <row r="107" spans="3:4" ht="15.75" x14ac:dyDescent="0.25">
      <c r="C107" s="46" t="str">
        <f t="shared" si="2"/>
        <v/>
      </c>
      <c r="D107" s="46" t="str">
        <f t="shared" si="3"/>
        <v/>
      </c>
    </row>
    <row r="108" spans="3:4" ht="15.75" x14ac:dyDescent="0.25">
      <c r="C108" s="46" t="str">
        <f t="shared" si="2"/>
        <v/>
      </c>
      <c r="D108" s="46" t="str">
        <f t="shared" si="3"/>
        <v/>
      </c>
    </row>
    <row r="109" spans="3:4" ht="15.75" x14ac:dyDescent="0.25">
      <c r="C109" s="46" t="str">
        <f t="shared" si="2"/>
        <v/>
      </c>
      <c r="D109" s="46" t="str">
        <f t="shared" si="3"/>
        <v/>
      </c>
    </row>
    <row r="110" spans="3:4" ht="15.75" x14ac:dyDescent="0.25">
      <c r="C110" s="46" t="str">
        <f t="shared" si="2"/>
        <v/>
      </c>
      <c r="D110" s="46" t="str">
        <f t="shared" si="3"/>
        <v/>
      </c>
    </row>
    <row r="111" spans="3:4" ht="15.75" x14ac:dyDescent="0.25">
      <c r="C111" s="46" t="str">
        <f t="shared" si="2"/>
        <v/>
      </c>
      <c r="D111" s="46" t="str">
        <f t="shared" si="3"/>
        <v/>
      </c>
    </row>
    <row r="112" spans="3:4" ht="15.75" x14ac:dyDescent="0.25">
      <c r="C112" s="46" t="str">
        <f t="shared" si="2"/>
        <v/>
      </c>
      <c r="D112" s="46" t="str">
        <f t="shared" si="3"/>
        <v/>
      </c>
    </row>
    <row r="113" spans="3:4" ht="15.75" x14ac:dyDescent="0.25">
      <c r="C113" s="46" t="str">
        <f t="shared" si="2"/>
        <v/>
      </c>
      <c r="D113" s="46" t="str">
        <f t="shared" si="3"/>
        <v/>
      </c>
    </row>
    <row r="114" spans="3:4" ht="15.75" x14ac:dyDescent="0.25">
      <c r="C114" s="46" t="str">
        <f t="shared" ref="C114:C177" si="4">IF(COUNTIF(E114:BA114,"YES")=0,"",COUNTIF(E114:BA114,"YES"))</f>
        <v/>
      </c>
      <c r="D114" s="46" t="str">
        <f t="shared" ref="D114:D177" si="5">IF(COUNTIF(E114:BA114,"NO")=0,"",COUNTIF(E114:BA114,"NO"))</f>
        <v/>
      </c>
    </row>
    <row r="115" spans="3:4" ht="15.75" x14ac:dyDescent="0.25">
      <c r="C115" s="46" t="str">
        <f t="shared" si="4"/>
        <v/>
      </c>
      <c r="D115" s="46" t="str">
        <f t="shared" si="5"/>
        <v/>
      </c>
    </row>
    <row r="116" spans="3:4" ht="15.75" x14ac:dyDescent="0.25">
      <c r="C116" s="46" t="str">
        <f t="shared" si="4"/>
        <v/>
      </c>
      <c r="D116" s="46" t="str">
        <f t="shared" si="5"/>
        <v/>
      </c>
    </row>
    <row r="117" spans="3:4" ht="15.75" x14ac:dyDescent="0.25">
      <c r="C117" s="46" t="str">
        <f t="shared" si="4"/>
        <v/>
      </c>
      <c r="D117" s="46" t="str">
        <f t="shared" si="5"/>
        <v/>
      </c>
    </row>
    <row r="118" spans="3:4" ht="15.75" x14ac:dyDescent="0.25">
      <c r="C118" s="46" t="str">
        <f t="shared" si="4"/>
        <v/>
      </c>
      <c r="D118" s="46" t="str">
        <f t="shared" si="5"/>
        <v/>
      </c>
    </row>
    <row r="119" spans="3:4" ht="15.75" x14ac:dyDescent="0.25">
      <c r="C119" s="46" t="str">
        <f t="shared" si="4"/>
        <v/>
      </c>
      <c r="D119" s="46" t="str">
        <f t="shared" si="5"/>
        <v/>
      </c>
    </row>
    <row r="120" spans="3:4" ht="15.75" x14ac:dyDescent="0.25">
      <c r="C120" s="46" t="str">
        <f t="shared" si="4"/>
        <v/>
      </c>
      <c r="D120" s="46" t="str">
        <f t="shared" si="5"/>
        <v/>
      </c>
    </row>
    <row r="121" spans="3:4" ht="15.75" x14ac:dyDescent="0.25">
      <c r="C121" s="46" t="str">
        <f t="shared" si="4"/>
        <v/>
      </c>
      <c r="D121" s="46" t="str">
        <f t="shared" si="5"/>
        <v/>
      </c>
    </row>
    <row r="122" spans="3:4" ht="15.75" x14ac:dyDescent="0.25">
      <c r="C122" s="46" t="str">
        <f t="shared" si="4"/>
        <v/>
      </c>
      <c r="D122" s="46" t="str">
        <f t="shared" si="5"/>
        <v/>
      </c>
    </row>
    <row r="123" spans="3:4" ht="15.75" x14ac:dyDescent="0.25">
      <c r="C123" s="46" t="str">
        <f t="shared" si="4"/>
        <v/>
      </c>
      <c r="D123" s="46" t="str">
        <f t="shared" si="5"/>
        <v/>
      </c>
    </row>
    <row r="124" spans="3:4" ht="15.75" x14ac:dyDescent="0.25">
      <c r="C124" s="46" t="str">
        <f t="shared" si="4"/>
        <v/>
      </c>
      <c r="D124" s="46" t="str">
        <f t="shared" si="5"/>
        <v/>
      </c>
    </row>
    <row r="125" spans="3:4" ht="15.75" x14ac:dyDescent="0.25">
      <c r="C125" s="46" t="str">
        <f t="shared" si="4"/>
        <v/>
      </c>
      <c r="D125" s="46" t="str">
        <f t="shared" si="5"/>
        <v/>
      </c>
    </row>
    <row r="126" spans="3:4" ht="15.75" x14ac:dyDescent="0.25">
      <c r="C126" s="46" t="str">
        <f t="shared" si="4"/>
        <v/>
      </c>
      <c r="D126" s="46" t="str">
        <f t="shared" si="5"/>
        <v/>
      </c>
    </row>
    <row r="127" spans="3:4" ht="15.75" x14ac:dyDescent="0.25">
      <c r="C127" s="46" t="str">
        <f t="shared" si="4"/>
        <v/>
      </c>
      <c r="D127" s="46" t="str">
        <f t="shared" si="5"/>
        <v/>
      </c>
    </row>
    <row r="128" spans="3:4" ht="15.75" x14ac:dyDescent="0.25">
      <c r="C128" s="46" t="str">
        <f t="shared" si="4"/>
        <v/>
      </c>
      <c r="D128" s="46" t="str">
        <f t="shared" si="5"/>
        <v/>
      </c>
    </row>
    <row r="129" spans="3:4" ht="15.75" x14ac:dyDescent="0.25">
      <c r="C129" s="46" t="str">
        <f t="shared" si="4"/>
        <v/>
      </c>
      <c r="D129" s="46" t="str">
        <f t="shared" si="5"/>
        <v/>
      </c>
    </row>
    <row r="130" spans="3:4" ht="15.75" x14ac:dyDescent="0.25">
      <c r="C130" s="46" t="str">
        <f t="shared" si="4"/>
        <v/>
      </c>
      <c r="D130" s="46" t="str">
        <f t="shared" si="5"/>
        <v/>
      </c>
    </row>
    <row r="131" spans="3:4" ht="15.75" x14ac:dyDescent="0.25">
      <c r="C131" s="46" t="str">
        <f t="shared" si="4"/>
        <v/>
      </c>
      <c r="D131" s="46" t="str">
        <f t="shared" si="5"/>
        <v/>
      </c>
    </row>
    <row r="132" spans="3:4" ht="15.75" x14ac:dyDescent="0.25">
      <c r="C132" s="46" t="str">
        <f t="shared" si="4"/>
        <v/>
      </c>
      <c r="D132" s="46" t="str">
        <f t="shared" si="5"/>
        <v/>
      </c>
    </row>
    <row r="133" spans="3:4" ht="15.75" x14ac:dyDescent="0.25">
      <c r="C133" s="46" t="str">
        <f t="shared" si="4"/>
        <v/>
      </c>
      <c r="D133" s="46" t="str">
        <f t="shared" si="5"/>
        <v/>
      </c>
    </row>
    <row r="134" spans="3:4" ht="15.75" x14ac:dyDescent="0.25">
      <c r="C134" s="46" t="str">
        <f t="shared" si="4"/>
        <v/>
      </c>
      <c r="D134" s="46" t="str">
        <f t="shared" si="5"/>
        <v/>
      </c>
    </row>
    <row r="135" spans="3:4" ht="15.75" x14ac:dyDescent="0.25">
      <c r="C135" s="46" t="str">
        <f t="shared" si="4"/>
        <v/>
      </c>
      <c r="D135" s="46" t="str">
        <f t="shared" si="5"/>
        <v/>
      </c>
    </row>
    <row r="136" spans="3:4" ht="15.75" x14ac:dyDescent="0.25">
      <c r="C136" s="46" t="str">
        <f t="shared" si="4"/>
        <v/>
      </c>
      <c r="D136" s="46" t="str">
        <f t="shared" si="5"/>
        <v/>
      </c>
    </row>
    <row r="137" spans="3:4" ht="15.75" x14ac:dyDescent="0.25">
      <c r="C137" s="46" t="str">
        <f t="shared" si="4"/>
        <v/>
      </c>
      <c r="D137" s="46" t="str">
        <f t="shared" si="5"/>
        <v/>
      </c>
    </row>
    <row r="138" spans="3:4" ht="15.75" x14ac:dyDescent="0.25">
      <c r="C138" s="46" t="str">
        <f t="shared" si="4"/>
        <v/>
      </c>
      <c r="D138" s="46" t="str">
        <f t="shared" si="5"/>
        <v/>
      </c>
    </row>
    <row r="139" spans="3:4" ht="15.75" x14ac:dyDescent="0.25">
      <c r="C139" s="46" t="str">
        <f t="shared" si="4"/>
        <v/>
      </c>
      <c r="D139" s="46" t="str">
        <f t="shared" si="5"/>
        <v/>
      </c>
    </row>
    <row r="140" spans="3:4" ht="15.75" x14ac:dyDescent="0.25">
      <c r="C140" s="46" t="str">
        <f t="shared" si="4"/>
        <v/>
      </c>
      <c r="D140" s="46" t="str">
        <f t="shared" si="5"/>
        <v/>
      </c>
    </row>
    <row r="141" spans="3:4" ht="15.75" x14ac:dyDescent="0.25">
      <c r="C141" s="46" t="str">
        <f t="shared" si="4"/>
        <v/>
      </c>
      <c r="D141" s="46" t="str">
        <f t="shared" si="5"/>
        <v/>
      </c>
    </row>
    <row r="142" spans="3:4" ht="15.75" x14ac:dyDescent="0.25">
      <c r="C142" s="46" t="str">
        <f t="shared" si="4"/>
        <v/>
      </c>
      <c r="D142" s="46" t="str">
        <f t="shared" si="5"/>
        <v/>
      </c>
    </row>
    <row r="143" spans="3:4" ht="15.75" x14ac:dyDescent="0.25">
      <c r="C143" s="46" t="str">
        <f t="shared" si="4"/>
        <v/>
      </c>
      <c r="D143" s="46" t="str">
        <f t="shared" si="5"/>
        <v/>
      </c>
    </row>
    <row r="144" spans="3:4" ht="15.75" x14ac:dyDescent="0.25">
      <c r="C144" s="46" t="str">
        <f t="shared" si="4"/>
        <v/>
      </c>
      <c r="D144" s="46" t="str">
        <f t="shared" si="5"/>
        <v/>
      </c>
    </row>
    <row r="145" spans="3:4" ht="15.75" x14ac:dyDescent="0.25">
      <c r="C145" s="46" t="str">
        <f t="shared" si="4"/>
        <v/>
      </c>
      <c r="D145" s="46" t="str">
        <f t="shared" si="5"/>
        <v/>
      </c>
    </row>
    <row r="146" spans="3:4" ht="15.75" x14ac:dyDescent="0.25">
      <c r="C146" s="46" t="str">
        <f t="shared" si="4"/>
        <v/>
      </c>
      <c r="D146" s="46" t="str">
        <f t="shared" si="5"/>
        <v/>
      </c>
    </row>
    <row r="147" spans="3:4" ht="15.75" x14ac:dyDescent="0.25">
      <c r="C147" s="46" t="str">
        <f t="shared" si="4"/>
        <v/>
      </c>
      <c r="D147" s="46" t="str">
        <f t="shared" si="5"/>
        <v/>
      </c>
    </row>
    <row r="148" spans="3:4" ht="15.75" x14ac:dyDescent="0.25">
      <c r="C148" s="46" t="str">
        <f t="shared" si="4"/>
        <v/>
      </c>
      <c r="D148" s="46" t="str">
        <f t="shared" si="5"/>
        <v/>
      </c>
    </row>
    <row r="149" spans="3:4" ht="15.75" x14ac:dyDescent="0.25">
      <c r="C149" s="46" t="str">
        <f t="shared" si="4"/>
        <v/>
      </c>
      <c r="D149" s="46" t="str">
        <f t="shared" si="5"/>
        <v/>
      </c>
    </row>
    <row r="150" spans="3:4" ht="15.75" x14ac:dyDescent="0.25">
      <c r="C150" s="46" t="str">
        <f t="shared" si="4"/>
        <v/>
      </c>
      <c r="D150" s="46" t="str">
        <f t="shared" si="5"/>
        <v/>
      </c>
    </row>
    <row r="151" spans="3:4" ht="15.75" x14ac:dyDescent="0.25">
      <c r="C151" s="46" t="str">
        <f t="shared" si="4"/>
        <v/>
      </c>
      <c r="D151" s="46" t="str">
        <f t="shared" si="5"/>
        <v/>
      </c>
    </row>
    <row r="152" spans="3:4" ht="15.75" x14ac:dyDescent="0.25">
      <c r="C152" s="46" t="str">
        <f t="shared" si="4"/>
        <v/>
      </c>
      <c r="D152" s="46" t="str">
        <f t="shared" si="5"/>
        <v/>
      </c>
    </row>
    <row r="153" spans="3:4" ht="15.75" x14ac:dyDescent="0.25">
      <c r="C153" s="46" t="str">
        <f t="shared" si="4"/>
        <v/>
      </c>
      <c r="D153" s="46" t="str">
        <f t="shared" si="5"/>
        <v/>
      </c>
    </row>
    <row r="154" spans="3:4" ht="15.75" x14ac:dyDescent="0.25">
      <c r="C154" s="46" t="str">
        <f t="shared" si="4"/>
        <v/>
      </c>
      <c r="D154" s="46" t="str">
        <f t="shared" si="5"/>
        <v/>
      </c>
    </row>
    <row r="155" spans="3:4" ht="15.75" x14ac:dyDescent="0.25">
      <c r="C155" s="46" t="str">
        <f t="shared" si="4"/>
        <v/>
      </c>
      <c r="D155" s="46" t="str">
        <f t="shared" si="5"/>
        <v/>
      </c>
    </row>
    <row r="156" spans="3:4" ht="15.75" x14ac:dyDescent="0.25">
      <c r="C156" s="46" t="str">
        <f t="shared" si="4"/>
        <v/>
      </c>
      <c r="D156" s="46" t="str">
        <f t="shared" si="5"/>
        <v/>
      </c>
    </row>
    <row r="157" spans="3:4" ht="15.75" x14ac:dyDescent="0.25">
      <c r="C157" s="46" t="str">
        <f t="shared" si="4"/>
        <v/>
      </c>
      <c r="D157" s="46" t="str">
        <f t="shared" si="5"/>
        <v/>
      </c>
    </row>
    <row r="158" spans="3:4" ht="15.75" x14ac:dyDescent="0.25">
      <c r="C158" s="46" t="str">
        <f t="shared" si="4"/>
        <v/>
      </c>
      <c r="D158" s="46" t="str">
        <f t="shared" si="5"/>
        <v/>
      </c>
    </row>
    <row r="159" spans="3:4" ht="15.75" x14ac:dyDescent="0.25">
      <c r="C159" s="46" t="str">
        <f t="shared" si="4"/>
        <v/>
      </c>
      <c r="D159" s="46" t="str">
        <f t="shared" si="5"/>
        <v/>
      </c>
    </row>
    <row r="160" spans="3:4" ht="15.75" x14ac:dyDescent="0.25">
      <c r="C160" s="46" t="str">
        <f t="shared" si="4"/>
        <v/>
      </c>
      <c r="D160" s="46" t="str">
        <f t="shared" si="5"/>
        <v/>
      </c>
    </row>
    <row r="161" spans="3:4" ht="15.75" x14ac:dyDescent="0.25">
      <c r="C161" s="46" t="str">
        <f t="shared" si="4"/>
        <v/>
      </c>
      <c r="D161" s="46" t="str">
        <f t="shared" si="5"/>
        <v/>
      </c>
    </row>
    <row r="162" spans="3:4" ht="15.75" x14ac:dyDescent="0.25">
      <c r="C162" s="46" t="str">
        <f t="shared" si="4"/>
        <v/>
      </c>
      <c r="D162" s="46" t="str">
        <f t="shared" si="5"/>
        <v/>
      </c>
    </row>
    <row r="163" spans="3:4" ht="15.75" x14ac:dyDescent="0.25">
      <c r="C163" s="46" t="str">
        <f t="shared" si="4"/>
        <v/>
      </c>
      <c r="D163" s="46" t="str">
        <f t="shared" si="5"/>
        <v/>
      </c>
    </row>
    <row r="164" spans="3:4" ht="15.75" x14ac:dyDescent="0.25">
      <c r="C164" s="46" t="str">
        <f t="shared" si="4"/>
        <v/>
      </c>
      <c r="D164" s="46" t="str">
        <f t="shared" si="5"/>
        <v/>
      </c>
    </row>
    <row r="165" spans="3:4" ht="15.75" x14ac:dyDescent="0.25">
      <c r="C165" s="46" t="str">
        <f t="shared" si="4"/>
        <v/>
      </c>
      <c r="D165" s="46" t="str">
        <f t="shared" si="5"/>
        <v/>
      </c>
    </row>
    <row r="166" spans="3:4" ht="15.75" x14ac:dyDescent="0.25">
      <c r="C166" s="46" t="str">
        <f t="shared" si="4"/>
        <v/>
      </c>
      <c r="D166" s="46" t="str">
        <f t="shared" si="5"/>
        <v/>
      </c>
    </row>
    <row r="167" spans="3:4" ht="15.75" x14ac:dyDescent="0.25">
      <c r="C167" s="46" t="str">
        <f t="shared" si="4"/>
        <v/>
      </c>
      <c r="D167" s="46" t="str">
        <f t="shared" si="5"/>
        <v/>
      </c>
    </row>
    <row r="168" spans="3:4" ht="15.75" x14ac:dyDescent="0.25">
      <c r="C168" s="46" t="str">
        <f t="shared" si="4"/>
        <v/>
      </c>
      <c r="D168" s="46" t="str">
        <f t="shared" si="5"/>
        <v/>
      </c>
    </row>
    <row r="169" spans="3:4" ht="15.75" x14ac:dyDescent="0.25">
      <c r="C169" s="46" t="str">
        <f t="shared" si="4"/>
        <v/>
      </c>
      <c r="D169" s="46" t="str">
        <f t="shared" si="5"/>
        <v/>
      </c>
    </row>
    <row r="170" spans="3:4" ht="15.75" x14ac:dyDescent="0.25">
      <c r="C170" s="46" t="str">
        <f t="shared" si="4"/>
        <v/>
      </c>
      <c r="D170" s="46" t="str">
        <f t="shared" si="5"/>
        <v/>
      </c>
    </row>
    <row r="171" spans="3:4" ht="15.75" x14ac:dyDescent="0.25">
      <c r="C171" s="46" t="str">
        <f t="shared" si="4"/>
        <v/>
      </c>
      <c r="D171" s="46" t="str">
        <f t="shared" si="5"/>
        <v/>
      </c>
    </row>
    <row r="172" spans="3:4" ht="15.75" x14ac:dyDescent="0.25">
      <c r="C172" s="46" t="str">
        <f t="shared" si="4"/>
        <v/>
      </c>
      <c r="D172" s="46" t="str">
        <f t="shared" si="5"/>
        <v/>
      </c>
    </row>
    <row r="173" spans="3:4" ht="15.75" x14ac:dyDescent="0.25">
      <c r="C173" s="46" t="str">
        <f t="shared" si="4"/>
        <v/>
      </c>
      <c r="D173" s="46" t="str">
        <f t="shared" si="5"/>
        <v/>
      </c>
    </row>
    <row r="174" spans="3:4" ht="15.75" x14ac:dyDescent="0.25">
      <c r="C174" s="46" t="str">
        <f t="shared" si="4"/>
        <v/>
      </c>
      <c r="D174" s="46" t="str">
        <f t="shared" si="5"/>
        <v/>
      </c>
    </row>
    <row r="175" spans="3:4" ht="15.75" x14ac:dyDescent="0.25">
      <c r="C175" s="46" t="str">
        <f t="shared" si="4"/>
        <v/>
      </c>
      <c r="D175" s="46" t="str">
        <f t="shared" si="5"/>
        <v/>
      </c>
    </row>
    <row r="176" spans="3:4" ht="15.75" x14ac:dyDescent="0.25">
      <c r="C176" s="46" t="str">
        <f t="shared" si="4"/>
        <v/>
      </c>
      <c r="D176" s="46" t="str">
        <f t="shared" si="5"/>
        <v/>
      </c>
    </row>
    <row r="177" spans="3:4" ht="15.75" x14ac:dyDescent="0.25">
      <c r="C177" s="46" t="str">
        <f t="shared" si="4"/>
        <v/>
      </c>
      <c r="D177" s="46" t="str">
        <f t="shared" si="5"/>
        <v/>
      </c>
    </row>
    <row r="178" spans="3:4" ht="15.75" x14ac:dyDescent="0.25">
      <c r="C178" s="46" t="str">
        <f t="shared" ref="C178:C241" si="6">IF(COUNTIF(E178:BA178,"YES")=0,"",COUNTIF(E178:BA178,"YES"))</f>
        <v/>
      </c>
      <c r="D178" s="46" t="str">
        <f t="shared" ref="D178:D241" si="7">IF(COUNTIF(E178:BA178,"NO")=0,"",COUNTIF(E178:BA178,"NO"))</f>
        <v/>
      </c>
    </row>
    <row r="179" spans="3:4" ht="15.75" x14ac:dyDescent="0.25">
      <c r="C179" s="46" t="str">
        <f t="shared" si="6"/>
        <v/>
      </c>
      <c r="D179" s="46" t="str">
        <f t="shared" si="7"/>
        <v/>
      </c>
    </row>
    <row r="180" spans="3:4" ht="15.75" x14ac:dyDescent="0.25">
      <c r="C180" s="46" t="str">
        <f t="shared" si="6"/>
        <v/>
      </c>
      <c r="D180" s="46" t="str">
        <f t="shared" si="7"/>
        <v/>
      </c>
    </row>
    <row r="181" spans="3:4" ht="15.75" x14ac:dyDescent="0.25">
      <c r="C181" s="46" t="str">
        <f t="shared" si="6"/>
        <v/>
      </c>
      <c r="D181" s="46" t="str">
        <f t="shared" si="7"/>
        <v/>
      </c>
    </row>
    <row r="182" spans="3:4" ht="15.75" x14ac:dyDescent="0.25">
      <c r="C182" s="46" t="str">
        <f t="shared" si="6"/>
        <v/>
      </c>
      <c r="D182" s="46" t="str">
        <f t="shared" si="7"/>
        <v/>
      </c>
    </row>
    <row r="183" spans="3:4" ht="15.75" x14ac:dyDescent="0.25">
      <c r="C183" s="46" t="str">
        <f t="shared" si="6"/>
        <v/>
      </c>
      <c r="D183" s="46" t="str">
        <f t="shared" si="7"/>
        <v/>
      </c>
    </row>
    <row r="184" spans="3:4" ht="15.75" x14ac:dyDescent="0.25">
      <c r="C184" s="46" t="str">
        <f t="shared" si="6"/>
        <v/>
      </c>
      <c r="D184" s="46" t="str">
        <f t="shared" si="7"/>
        <v/>
      </c>
    </row>
    <row r="185" spans="3:4" ht="15.75" x14ac:dyDescent="0.25">
      <c r="C185" s="46" t="str">
        <f t="shared" si="6"/>
        <v/>
      </c>
      <c r="D185" s="46" t="str">
        <f t="shared" si="7"/>
        <v/>
      </c>
    </row>
    <row r="186" spans="3:4" ht="15.75" x14ac:dyDescent="0.25">
      <c r="C186" s="46" t="str">
        <f t="shared" si="6"/>
        <v/>
      </c>
      <c r="D186" s="46" t="str">
        <f t="shared" si="7"/>
        <v/>
      </c>
    </row>
    <row r="187" spans="3:4" ht="15.75" x14ac:dyDescent="0.25">
      <c r="C187" s="46" t="str">
        <f t="shared" si="6"/>
        <v/>
      </c>
      <c r="D187" s="46" t="str">
        <f t="shared" si="7"/>
        <v/>
      </c>
    </row>
    <row r="188" spans="3:4" ht="15.75" x14ac:dyDescent="0.25">
      <c r="C188" s="46" t="str">
        <f t="shared" si="6"/>
        <v/>
      </c>
      <c r="D188" s="46" t="str">
        <f t="shared" si="7"/>
        <v/>
      </c>
    </row>
    <row r="189" spans="3:4" ht="15.75" x14ac:dyDescent="0.25">
      <c r="C189" s="46" t="str">
        <f t="shared" si="6"/>
        <v/>
      </c>
      <c r="D189" s="46" t="str">
        <f t="shared" si="7"/>
        <v/>
      </c>
    </row>
    <row r="190" spans="3:4" ht="15.75" x14ac:dyDescent="0.25">
      <c r="C190" s="46" t="str">
        <f t="shared" si="6"/>
        <v/>
      </c>
      <c r="D190" s="46" t="str">
        <f t="shared" si="7"/>
        <v/>
      </c>
    </row>
    <row r="191" spans="3:4" ht="15.75" x14ac:dyDescent="0.25">
      <c r="C191" s="46" t="str">
        <f t="shared" si="6"/>
        <v/>
      </c>
      <c r="D191" s="46" t="str">
        <f t="shared" si="7"/>
        <v/>
      </c>
    </row>
    <row r="192" spans="3:4" ht="15.75" x14ac:dyDescent="0.25">
      <c r="C192" s="46" t="str">
        <f t="shared" si="6"/>
        <v/>
      </c>
      <c r="D192" s="46" t="str">
        <f t="shared" si="7"/>
        <v/>
      </c>
    </row>
    <row r="193" spans="3:4" ht="15.75" x14ac:dyDescent="0.25">
      <c r="C193" s="46" t="str">
        <f t="shared" si="6"/>
        <v/>
      </c>
      <c r="D193" s="46" t="str">
        <f t="shared" si="7"/>
        <v/>
      </c>
    </row>
    <row r="194" spans="3:4" ht="15.75" x14ac:dyDescent="0.25">
      <c r="C194" s="46" t="str">
        <f t="shared" si="6"/>
        <v/>
      </c>
      <c r="D194" s="46" t="str">
        <f t="shared" si="7"/>
        <v/>
      </c>
    </row>
    <row r="195" spans="3:4" ht="15.75" x14ac:dyDescent="0.25">
      <c r="C195" s="46" t="str">
        <f t="shared" si="6"/>
        <v/>
      </c>
      <c r="D195" s="46" t="str">
        <f t="shared" si="7"/>
        <v/>
      </c>
    </row>
    <row r="196" spans="3:4" ht="15.75" x14ac:dyDescent="0.25">
      <c r="C196" s="46" t="str">
        <f t="shared" si="6"/>
        <v/>
      </c>
      <c r="D196" s="46" t="str">
        <f t="shared" si="7"/>
        <v/>
      </c>
    </row>
    <row r="197" spans="3:4" ht="15.75" x14ac:dyDescent="0.25">
      <c r="C197" s="46" t="str">
        <f t="shared" si="6"/>
        <v/>
      </c>
      <c r="D197" s="46" t="str">
        <f t="shared" si="7"/>
        <v/>
      </c>
    </row>
    <row r="198" spans="3:4" ht="15.75" x14ac:dyDescent="0.25">
      <c r="C198" s="46" t="str">
        <f t="shared" si="6"/>
        <v/>
      </c>
      <c r="D198" s="46" t="str">
        <f t="shared" si="7"/>
        <v/>
      </c>
    </row>
    <row r="199" spans="3:4" ht="15.75" x14ac:dyDescent="0.25">
      <c r="C199" s="46" t="str">
        <f t="shared" si="6"/>
        <v/>
      </c>
      <c r="D199" s="46" t="str">
        <f t="shared" si="7"/>
        <v/>
      </c>
    </row>
    <row r="200" spans="3:4" ht="15.75" x14ac:dyDescent="0.25">
      <c r="C200" s="46" t="str">
        <f t="shared" si="6"/>
        <v/>
      </c>
      <c r="D200" s="46" t="str">
        <f t="shared" si="7"/>
        <v/>
      </c>
    </row>
    <row r="201" spans="3:4" ht="15.75" x14ac:dyDescent="0.25">
      <c r="C201" s="46" t="str">
        <f t="shared" si="6"/>
        <v/>
      </c>
      <c r="D201" s="46" t="str">
        <f t="shared" si="7"/>
        <v/>
      </c>
    </row>
    <row r="202" spans="3:4" ht="15.75" x14ac:dyDescent="0.25">
      <c r="C202" s="46" t="str">
        <f t="shared" si="6"/>
        <v/>
      </c>
      <c r="D202" s="46" t="str">
        <f t="shared" si="7"/>
        <v/>
      </c>
    </row>
    <row r="203" spans="3:4" ht="15.75" x14ac:dyDescent="0.25">
      <c r="C203" s="46" t="str">
        <f t="shared" si="6"/>
        <v/>
      </c>
      <c r="D203" s="46" t="str">
        <f t="shared" si="7"/>
        <v/>
      </c>
    </row>
    <row r="204" spans="3:4" ht="15.75" x14ac:dyDescent="0.25">
      <c r="C204" s="46" t="str">
        <f t="shared" si="6"/>
        <v/>
      </c>
      <c r="D204" s="46" t="str">
        <f t="shared" si="7"/>
        <v/>
      </c>
    </row>
    <row r="205" spans="3:4" ht="15.75" x14ac:dyDescent="0.25">
      <c r="C205" s="46" t="str">
        <f t="shared" si="6"/>
        <v/>
      </c>
      <c r="D205" s="46" t="str">
        <f t="shared" si="7"/>
        <v/>
      </c>
    </row>
    <row r="206" spans="3:4" ht="15.75" x14ac:dyDescent="0.25">
      <c r="C206" s="46" t="str">
        <f t="shared" si="6"/>
        <v/>
      </c>
      <c r="D206" s="46" t="str">
        <f t="shared" si="7"/>
        <v/>
      </c>
    </row>
    <row r="207" spans="3:4" ht="15.75" x14ac:dyDescent="0.25">
      <c r="C207" s="46" t="str">
        <f t="shared" si="6"/>
        <v/>
      </c>
      <c r="D207" s="46" t="str">
        <f t="shared" si="7"/>
        <v/>
      </c>
    </row>
    <row r="208" spans="3:4" ht="15.75" x14ac:dyDescent="0.25">
      <c r="C208" s="46" t="str">
        <f t="shared" si="6"/>
        <v/>
      </c>
      <c r="D208" s="46" t="str">
        <f t="shared" si="7"/>
        <v/>
      </c>
    </row>
    <row r="209" spans="3:4" ht="15.75" x14ac:dyDescent="0.25">
      <c r="C209" s="46" t="str">
        <f t="shared" si="6"/>
        <v/>
      </c>
      <c r="D209" s="46" t="str">
        <f t="shared" si="7"/>
        <v/>
      </c>
    </row>
    <row r="210" spans="3:4" ht="15.75" x14ac:dyDescent="0.25">
      <c r="C210" s="46" t="str">
        <f t="shared" si="6"/>
        <v/>
      </c>
      <c r="D210" s="46" t="str">
        <f t="shared" si="7"/>
        <v/>
      </c>
    </row>
    <row r="211" spans="3:4" ht="15.75" x14ac:dyDescent="0.25">
      <c r="C211" s="46" t="str">
        <f t="shared" si="6"/>
        <v/>
      </c>
      <c r="D211" s="46" t="str">
        <f t="shared" si="7"/>
        <v/>
      </c>
    </row>
    <row r="212" spans="3:4" ht="15.75" x14ac:dyDescent="0.25">
      <c r="C212" s="46" t="str">
        <f t="shared" si="6"/>
        <v/>
      </c>
      <c r="D212" s="46" t="str">
        <f t="shared" si="7"/>
        <v/>
      </c>
    </row>
    <row r="213" spans="3:4" ht="15.75" x14ac:dyDescent="0.25">
      <c r="C213" s="46" t="str">
        <f t="shared" si="6"/>
        <v/>
      </c>
      <c r="D213" s="46" t="str">
        <f t="shared" si="7"/>
        <v/>
      </c>
    </row>
    <row r="214" spans="3:4" ht="15.75" x14ac:dyDescent="0.25">
      <c r="C214" s="46" t="str">
        <f t="shared" si="6"/>
        <v/>
      </c>
      <c r="D214" s="46" t="str">
        <f t="shared" si="7"/>
        <v/>
      </c>
    </row>
    <row r="215" spans="3:4" ht="15.75" x14ac:dyDescent="0.25">
      <c r="C215" s="46" t="str">
        <f t="shared" si="6"/>
        <v/>
      </c>
      <c r="D215" s="46" t="str">
        <f t="shared" si="7"/>
        <v/>
      </c>
    </row>
    <row r="216" spans="3:4" ht="15.75" x14ac:dyDescent="0.25">
      <c r="C216" s="46" t="str">
        <f t="shared" si="6"/>
        <v/>
      </c>
      <c r="D216" s="46" t="str">
        <f t="shared" si="7"/>
        <v/>
      </c>
    </row>
    <row r="217" spans="3:4" ht="15.75" x14ac:dyDescent="0.25">
      <c r="C217" s="46" t="str">
        <f t="shared" si="6"/>
        <v/>
      </c>
      <c r="D217" s="46" t="str">
        <f t="shared" si="7"/>
        <v/>
      </c>
    </row>
    <row r="218" spans="3:4" ht="15.75" x14ac:dyDescent="0.25">
      <c r="C218" s="46" t="str">
        <f t="shared" si="6"/>
        <v/>
      </c>
      <c r="D218" s="46" t="str">
        <f t="shared" si="7"/>
        <v/>
      </c>
    </row>
    <row r="219" spans="3:4" ht="15.75" x14ac:dyDescent="0.25">
      <c r="C219" s="46" t="str">
        <f t="shared" si="6"/>
        <v/>
      </c>
      <c r="D219" s="46" t="str">
        <f t="shared" si="7"/>
        <v/>
      </c>
    </row>
    <row r="220" spans="3:4" ht="15.75" x14ac:dyDescent="0.25">
      <c r="C220" s="46" t="str">
        <f t="shared" si="6"/>
        <v/>
      </c>
      <c r="D220" s="46" t="str">
        <f t="shared" si="7"/>
        <v/>
      </c>
    </row>
    <row r="221" spans="3:4" ht="15.75" x14ac:dyDescent="0.25">
      <c r="C221" s="46" t="str">
        <f t="shared" si="6"/>
        <v/>
      </c>
      <c r="D221" s="46" t="str">
        <f t="shared" si="7"/>
        <v/>
      </c>
    </row>
    <row r="222" spans="3:4" ht="15.75" x14ac:dyDescent="0.25">
      <c r="C222" s="46" t="str">
        <f t="shared" si="6"/>
        <v/>
      </c>
      <c r="D222" s="46" t="str">
        <f t="shared" si="7"/>
        <v/>
      </c>
    </row>
    <row r="223" spans="3:4" ht="15.75" x14ac:dyDescent="0.25">
      <c r="C223" s="46" t="str">
        <f t="shared" si="6"/>
        <v/>
      </c>
      <c r="D223" s="46" t="str">
        <f t="shared" si="7"/>
        <v/>
      </c>
    </row>
    <row r="224" spans="3:4" ht="15.75" x14ac:dyDescent="0.25">
      <c r="C224" s="46" t="str">
        <f t="shared" si="6"/>
        <v/>
      </c>
      <c r="D224" s="46" t="str">
        <f t="shared" si="7"/>
        <v/>
      </c>
    </row>
    <row r="225" spans="3:4" ht="15.75" x14ac:dyDescent="0.25">
      <c r="C225" s="46" t="str">
        <f t="shared" si="6"/>
        <v/>
      </c>
      <c r="D225" s="46" t="str">
        <f t="shared" si="7"/>
        <v/>
      </c>
    </row>
    <row r="226" spans="3:4" ht="15.75" x14ac:dyDescent="0.25">
      <c r="C226" s="46" t="str">
        <f t="shared" si="6"/>
        <v/>
      </c>
      <c r="D226" s="46" t="str">
        <f t="shared" si="7"/>
        <v/>
      </c>
    </row>
    <row r="227" spans="3:4" ht="15.75" x14ac:dyDescent="0.25">
      <c r="C227" s="46" t="str">
        <f t="shared" si="6"/>
        <v/>
      </c>
      <c r="D227" s="46" t="str">
        <f t="shared" si="7"/>
        <v/>
      </c>
    </row>
    <row r="228" spans="3:4" ht="15.75" x14ac:dyDescent="0.25">
      <c r="C228" s="46" t="str">
        <f t="shared" si="6"/>
        <v/>
      </c>
      <c r="D228" s="46" t="str">
        <f t="shared" si="7"/>
        <v/>
      </c>
    </row>
    <row r="229" spans="3:4" ht="15.75" x14ac:dyDescent="0.25">
      <c r="C229" s="46" t="str">
        <f t="shared" si="6"/>
        <v/>
      </c>
      <c r="D229" s="46" t="str">
        <f t="shared" si="7"/>
        <v/>
      </c>
    </row>
    <row r="230" spans="3:4" ht="15.75" x14ac:dyDescent="0.25">
      <c r="C230" s="46" t="str">
        <f t="shared" si="6"/>
        <v/>
      </c>
      <c r="D230" s="46" t="str">
        <f t="shared" si="7"/>
        <v/>
      </c>
    </row>
    <row r="231" spans="3:4" ht="15.75" x14ac:dyDescent="0.25">
      <c r="C231" s="46" t="str">
        <f t="shared" si="6"/>
        <v/>
      </c>
      <c r="D231" s="46" t="str">
        <f t="shared" si="7"/>
        <v/>
      </c>
    </row>
    <row r="232" spans="3:4" ht="15.75" x14ac:dyDescent="0.25">
      <c r="C232" s="46" t="str">
        <f t="shared" si="6"/>
        <v/>
      </c>
      <c r="D232" s="46" t="str">
        <f t="shared" si="7"/>
        <v/>
      </c>
    </row>
    <row r="233" spans="3:4" ht="15.75" x14ac:dyDescent="0.25">
      <c r="C233" s="46" t="str">
        <f t="shared" si="6"/>
        <v/>
      </c>
      <c r="D233" s="46" t="str">
        <f t="shared" si="7"/>
        <v/>
      </c>
    </row>
    <row r="234" spans="3:4" ht="15.75" x14ac:dyDescent="0.25">
      <c r="C234" s="46" t="str">
        <f t="shared" si="6"/>
        <v/>
      </c>
      <c r="D234" s="46" t="str">
        <f t="shared" si="7"/>
        <v/>
      </c>
    </row>
    <row r="235" spans="3:4" ht="15.75" x14ac:dyDescent="0.25">
      <c r="C235" s="46" t="str">
        <f t="shared" si="6"/>
        <v/>
      </c>
      <c r="D235" s="46" t="str">
        <f t="shared" si="7"/>
        <v/>
      </c>
    </row>
    <row r="236" spans="3:4" ht="15.75" x14ac:dyDescent="0.25">
      <c r="C236" s="46" t="str">
        <f t="shared" si="6"/>
        <v/>
      </c>
      <c r="D236" s="46" t="str">
        <f t="shared" si="7"/>
        <v/>
      </c>
    </row>
    <row r="237" spans="3:4" ht="15.75" x14ac:dyDescent="0.25">
      <c r="C237" s="46" t="str">
        <f t="shared" si="6"/>
        <v/>
      </c>
      <c r="D237" s="46" t="str">
        <f t="shared" si="7"/>
        <v/>
      </c>
    </row>
    <row r="238" spans="3:4" ht="15.75" x14ac:dyDescent="0.25">
      <c r="C238" s="46" t="str">
        <f t="shared" si="6"/>
        <v/>
      </c>
      <c r="D238" s="46" t="str">
        <f t="shared" si="7"/>
        <v/>
      </c>
    </row>
    <row r="239" spans="3:4" ht="15.75" x14ac:dyDescent="0.25">
      <c r="C239" s="46" t="str">
        <f t="shared" si="6"/>
        <v/>
      </c>
      <c r="D239" s="46" t="str">
        <f t="shared" si="7"/>
        <v/>
      </c>
    </row>
    <row r="240" spans="3:4" ht="15.75" x14ac:dyDescent="0.25">
      <c r="C240" s="46" t="str">
        <f t="shared" si="6"/>
        <v/>
      </c>
      <c r="D240" s="46" t="str">
        <f t="shared" si="7"/>
        <v/>
      </c>
    </row>
    <row r="241" spans="3:4" ht="15.75" x14ac:dyDescent="0.25">
      <c r="C241" s="46" t="str">
        <f t="shared" si="6"/>
        <v/>
      </c>
      <c r="D241" s="46" t="str">
        <f t="shared" si="7"/>
        <v/>
      </c>
    </row>
    <row r="242" spans="3:4" ht="15.75" x14ac:dyDescent="0.25">
      <c r="C242" s="46" t="str">
        <f t="shared" ref="C242:C305" si="8">IF(COUNTIF(E242:BA242,"YES")=0,"",COUNTIF(E242:BA242,"YES"))</f>
        <v/>
      </c>
      <c r="D242" s="46" t="str">
        <f t="shared" ref="D242:D305" si="9">IF(COUNTIF(E242:BA242,"NO")=0,"",COUNTIF(E242:BA242,"NO"))</f>
        <v/>
      </c>
    </row>
    <row r="243" spans="3:4" ht="15.75" x14ac:dyDescent="0.25">
      <c r="C243" s="46" t="str">
        <f t="shared" si="8"/>
        <v/>
      </c>
      <c r="D243" s="46" t="str">
        <f t="shared" si="9"/>
        <v/>
      </c>
    </row>
    <row r="244" spans="3:4" ht="15.75" x14ac:dyDescent="0.25">
      <c r="C244" s="46" t="str">
        <f t="shared" si="8"/>
        <v/>
      </c>
      <c r="D244" s="46" t="str">
        <f t="shared" si="9"/>
        <v/>
      </c>
    </row>
    <row r="245" spans="3:4" ht="15.75" x14ac:dyDescent="0.25">
      <c r="C245" s="46" t="str">
        <f t="shared" si="8"/>
        <v/>
      </c>
      <c r="D245" s="46" t="str">
        <f t="shared" si="9"/>
        <v/>
      </c>
    </row>
    <row r="246" spans="3:4" ht="15.75" x14ac:dyDescent="0.25">
      <c r="C246" s="46" t="str">
        <f t="shared" si="8"/>
        <v/>
      </c>
      <c r="D246" s="46" t="str">
        <f t="shared" si="9"/>
        <v/>
      </c>
    </row>
    <row r="247" spans="3:4" ht="15.75" x14ac:dyDescent="0.25">
      <c r="C247" s="46" t="str">
        <f t="shared" si="8"/>
        <v/>
      </c>
      <c r="D247" s="46" t="str">
        <f t="shared" si="9"/>
        <v/>
      </c>
    </row>
    <row r="248" spans="3:4" ht="15.75" x14ac:dyDescent="0.25">
      <c r="C248" s="46" t="str">
        <f t="shared" si="8"/>
        <v/>
      </c>
      <c r="D248" s="46" t="str">
        <f t="shared" si="9"/>
        <v/>
      </c>
    </row>
    <row r="249" spans="3:4" ht="15.75" x14ac:dyDescent="0.25">
      <c r="C249" s="46" t="str">
        <f t="shared" si="8"/>
        <v/>
      </c>
      <c r="D249" s="46" t="str">
        <f t="shared" si="9"/>
        <v/>
      </c>
    </row>
    <row r="250" spans="3:4" ht="15.75" x14ac:dyDescent="0.25">
      <c r="C250" s="46" t="str">
        <f t="shared" si="8"/>
        <v/>
      </c>
      <c r="D250" s="46" t="str">
        <f t="shared" si="9"/>
        <v/>
      </c>
    </row>
    <row r="251" spans="3:4" ht="15.75" x14ac:dyDescent="0.25">
      <c r="C251" s="46" t="str">
        <f t="shared" si="8"/>
        <v/>
      </c>
      <c r="D251" s="46" t="str">
        <f t="shared" si="9"/>
        <v/>
      </c>
    </row>
    <row r="252" spans="3:4" ht="15.75" x14ac:dyDescent="0.25">
      <c r="C252" s="46" t="str">
        <f t="shared" si="8"/>
        <v/>
      </c>
      <c r="D252" s="46" t="str">
        <f t="shared" si="9"/>
        <v/>
      </c>
    </row>
    <row r="253" spans="3:4" ht="15.75" x14ac:dyDescent="0.25">
      <c r="C253" s="46" t="str">
        <f t="shared" si="8"/>
        <v/>
      </c>
      <c r="D253" s="46" t="str">
        <f t="shared" si="9"/>
        <v/>
      </c>
    </row>
    <row r="254" spans="3:4" ht="15.75" x14ac:dyDescent="0.25">
      <c r="C254" s="46" t="str">
        <f t="shared" si="8"/>
        <v/>
      </c>
      <c r="D254" s="46" t="str">
        <f t="shared" si="9"/>
        <v/>
      </c>
    </row>
    <row r="255" spans="3:4" ht="15.75" x14ac:dyDescent="0.25">
      <c r="C255" s="46" t="str">
        <f t="shared" si="8"/>
        <v/>
      </c>
      <c r="D255" s="46" t="str">
        <f t="shared" si="9"/>
        <v/>
      </c>
    </row>
    <row r="256" spans="3:4" ht="15.75" x14ac:dyDescent="0.25">
      <c r="C256" s="46" t="str">
        <f t="shared" si="8"/>
        <v/>
      </c>
      <c r="D256" s="46" t="str">
        <f t="shared" si="9"/>
        <v/>
      </c>
    </row>
    <row r="257" spans="3:4" ht="15.75" x14ac:dyDescent="0.25">
      <c r="C257" s="46" t="str">
        <f t="shared" si="8"/>
        <v/>
      </c>
      <c r="D257" s="46" t="str">
        <f t="shared" si="9"/>
        <v/>
      </c>
    </row>
    <row r="258" spans="3:4" ht="15.75" x14ac:dyDescent="0.25">
      <c r="C258" s="46" t="str">
        <f t="shared" si="8"/>
        <v/>
      </c>
      <c r="D258" s="46" t="str">
        <f t="shared" si="9"/>
        <v/>
      </c>
    </row>
    <row r="259" spans="3:4" ht="15.75" x14ac:dyDescent="0.25">
      <c r="C259" s="46" t="str">
        <f t="shared" si="8"/>
        <v/>
      </c>
      <c r="D259" s="46" t="str">
        <f t="shared" si="9"/>
        <v/>
      </c>
    </row>
    <row r="260" spans="3:4" ht="15.75" x14ac:dyDescent="0.25">
      <c r="C260" s="46" t="str">
        <f t="shared" si="8"/>
        <v/>
      </c>
      <c r="D260" s="46" t="str">
        <f t="shared" si="9"/>
        <v/>
      </c>
    </row>
    <row r="261" spans="3:4" ht="15.75" x14ac:dyDescent="0.25">
      <c r="C261" s="46" t="str">
        <f t="shared" si="8"/>
        <v/>
      </c>
      <c r="D261" s="46" t="str">
        <f t="shared" si="9"/>
        <v/>
      </c>
    </row>
    <row r="262" spans="3:4" ht="15.75" x14ac:dyDescent="0.25">
      <c r="C262" s="46" t="str">
        <f t="shared" si="8"/>
        <v/>
      </c>
      <c r="D262" s="46" t="str">
        <f t="shared" si="9"/>
        <v/>
      </c>
    </row>
    <row r="263" spans="3:4" ht="15.75" x14ac:dyDescent="0.25">
      <c r="C263" s="46" t="str">
        <f t="shared" si="8"/>
        <v/>
      </c>
      <c r="D263" s="46" t="str">
        <f t="shared" si="9"/>
        <v/>
      </c>
    </row>
    <row r="264" spans="3:4" ht="15.75" x14ac:dyDescent="0.25">
      <c r="C264" s="46" t="str">
        <f t="shared" si="8"/>
        <v/>
      </c>
      <c r="D264" s="46" t="str">
        <f t="shared" si="9"/>
        <v/>
      </c>
    </row>
    <row r="265" spans="3:4" ht="15.75" x14ac:dyDescent="0.25">
      <c r="C265" s="46" t="str">
        <f t="shared" si="8"/>
        <v/>
      </c>
      <c r="D265" s="46" t="str">
        <f t="shared" si="9"/>
        <v/>
      </c>
    </row>
    <row r="266" spans="3:4" ht="15.75" x14ac:dyDescent="0.25">
      <c r="C266" s="46" t="str">
        <f t="shared" si="8"/>
        <v/>
      </c>
      <c r="D266" s="46" t="str">
        <f t="shared" si="9"/>
        <v/>
      </c>
    </row>
    <row r="267" spans="3:4" ht="15.75" x14ac:dyDescent="0.25">
      <c r="C267" s="46" t="str">
        <f t="shared" si="8"/>
        <v/>
      </c>
      <c r="D267" s="46" t="str">
        <f t="shared" si="9"/>
        <v/>
      </c>
    </row>
    <row r="268" spans="3:4" ht="15.75" x14ac:dyDescent="0.25">
      <c r="C268" s="46" t="str">
        <f t="shared" si="8"/>
        <v/>
      </c>
      <c r="D268" s="46" t="str">
        <f t="shared" si="9"/>
        <v/>
      </c>
    </row>
    <row r="269" spans="3:4" ht="15.75" x14ac:dyDescent="0.25">
      <c r="C269" s="46" t="str">
        <f t="shared" si="8"/>
        <v/>
      </c>
      <c r="D269" s="46" t="str">
        <f t="shared" si="9"/>
        <v/>
      </c>
    </row>
    <row r="270" spans="3:4" ht="15.75" x14ac:dyDescent="0.25">
      <c r="C270" s="46" t="str">
        <f t="shared" si="8"/>
        <v/>
      </c>
      <c r="D270" s="46" t="str">
        <f t="shared" si="9"/>
        <v/>
      </c>
    </row>
    <row r="271" spans="3:4" ht="15.75" x14ac:dyDescent="0.25">
      <c r="C271" s="46" t="str">
        <f t="shared" si="8"/>
        <v/>
      </c>
      <c r="D271" s="46" t="str">
        <f t="shared" si="9"/>
        <v/>
      </c>
    </row>
    <row r="272" spans="3:4" ht="15.75" x14ac:dyDescent="0.25">
      <c r="C272" s="46" t="str">
        <f t="shared" si="8"/>
        <v/>
      </c>
      <c r="D272" s="46" t="str">
        <f t="shared" si="9"/>
        <v/>
      </c>
    </row>
    <row r="273" spans="3:4" ht="15.75" x14ac:dyDescent="0.25">
      <c r="C273" s="46" t="str">
        <f t="shared" si="8"/>
        <v/>
      </c>
      <c r="D273" s="46" t="str">
        <f t="shared" si="9"/>
        <v/>
      </c>
    </row>
    <row r="274" spans="3:4" ht="15.75" x14ac:dyDescent="0.25">
      <c r="C274" s="46" t="str">
        <f t="shared" si="8"/>
        <v/>
      </c>
      <c r="D274" s="46" t="str">
        <f t="shared" si="9"/>
        <v/>
      </c>
    </row>
    <row r="275" spans="3:4" ht="15.75" x14ac:dyDescent="0.25">
      <c r="C275" s="46" t="str">
        <f t="shared" si="8"/>
        <v/>
      </c>
      <c r="D275" s="46" t="str">
        <f t="shared" si="9"/>
        <v/>
      </c>
    </row>
    <row r="276" spans="3:4" ht="15.75" x14ac:dyDescent="0.25">
      <c r="C276" s="46" t="str">
        <f t="shared" si="8"/>
        <v/>
      </c>
      <c r="D276" s="46" t="str">
        <f t="shared" si="9"/>
        <v/>
      </c>
    </row>
    <row r="277" spans="3:4" ht="15.75" x14ac:dyDescent="0.25">
      <c r="C277" s="46" t="str">
        <f t="shared" si="8"/>
        <v/>
      </c>
      <c r="D277" s="46" t="str">
        <f t="shared" si="9"/>
        <v/>
      </c>
    </row>
    <row r="278" spans="3:4" ht="15.75" x14ac:dyDescent="0.25">
      <c r="C278" s="46" t="str">
        <f t="shared" si="8"/>
        <v/>
      </c>
      <c r="D278" s="46" t="str">
        <f t="shared" si="9"/>
        <v/>
      </c>
    </row>
    <row r="279" spans="3:4" ht="15.75" x14ac:dyDescent="0.25">
      <c r="C279" s="46" t="str">
        <f t="shared" si="8"/>
        <v/>
      </c>
      <c r="D279" s="46" t="str">
        <f t="shared" si="9"/>
        <v/>
      </c>
    </row>
    <row r="280" spans="3:4" ht="15.75" x14ac:dyDescent="0.25">
      <c r="C280" s="46" t="str">
        <f t="shared" si="8"/>
        <v/>
      </c>
      <c r="D280" s="46" t="str">
        <f t="shared" si="9"/>
        <v/>
      </c>
    </row>
    <row r="281" spans="3:4" ht="15.75" x14ac:dyDescent="0.25">
      <c r="C281" s="46" t="str">
        <f t="shared" si="8"/>
        <v/>
      </c>
      <c r="D281" s="46" t="str">
        <f t="shared" si="9"/>
        <v/>
      </c>
    </row>
    <row r="282" spans="3:4" ht="15.75" x14ac:dyDescent="0.25">
      <c r="C282" s="46" t="str">
        <f t="shared" si="8"/>
        <v/>
      </c>
      <c r="D282" s="46" t="str">
        <f t="shared" si="9"/>
        <v/>
      </c>
    </row>
    <row r="283" spans="3:4" ht="15.75" x14ac:dyDescent="0.25">
      <c r="C283" s="46" t="str">
        <f t="shared" si="8"/>
        <v/>
      </c>
      <c r="D283" s="46" t="str">
        <f t="shared" si="9"/>
        <v/>
      </c>
    </row>
    <row r="284" spans="3:4" ht="15.75" x14ac:dyDescent="0.25">
      <c r="C284" s="46" t="str">
        <f t="shared" si="8"/>
        <v/>
      </c>
      <c r="D284" s="46" t="str">
        <f t="shared" si="9"/>
        <v/>
      </c>
    </row>
    <row r="285" spans="3:4" ht="15.75" x14ac:dyDescent="0.25">
      <c r="C285" s="46" t="str">
        <f t="shared" si="8"/>
        <v/>
      </c>
      <c r="D285" s="46" t="str">
        <f t="shared" si="9"/>
        <v/>
      </c>
    </row>
    <row r="286" spans="3:4" ht="15.75" x14ac:dyDescent="0.25">
      <c r="C286" s="46" t="str">
        <f t="shared" si="8"/>
        <v/>
      </c>
      <c r="D286" s="46" t="str">
        <f t="shared" si="9"/>
        <v/>
      </c>
    </row>
    <row r="287" spans="3:4" ht="15.75" x14ac:dyDescent="0.25">
      <c r="C287" s="46" t="str">
        <f t="shared" si="8"/>
        <v/>
      </c>
      <c r="D287" s="46" t="str">
        <f t="shared" si="9"/>
        <v/>
      </c>
    </row>
    <row r="288" spans="3:4" ht="15.75" x14ac:dyDescent="0.25">
      <c r="C288" s="46" t="str">
        <f t="shared" si="8"/>
        <v/>
      </c>
      <c r="D288" s="46" t="str">
        <f t="shared" si="9"/>
        <v/>
      </c>
    </row>
    <row r="289" spans="3:4" ht="15.75" x14ac:dyDescent="0.25">
      <c r="C289" s="46" t="str">
        <f t="shared" si="8"/>
        <v/>
      </c>
      <c r="D289" s="46" t="str">
        <f t="shared" si="9"/>
        <v/>
      </c>
    </row>
    <row r="290" spans="3:4" ht="15.75" x14ac:dyDescent="0.25">
      <c r="C290" s="46" t="str">
        <f t="shared" si="8"/>
        <v/>
      </c>
      <c r="D290" s="46" t="str">
        <f t="shared" si="9"/>
        <v/>
      </c>
    </row>
    <row r="291" spans="3:4" ht="15.75" x14ac:dyDescent="0.25">
      <c r="C291" s="46" t="str">
        <f t="shared" si="8"/>
        <v/>
      </c>
      <c r="D291" s="46" t="str">
        <f t="shared" si="9"/>
        <v/>
      </c>
    </row>
    <row r="292" spans="3:4" ht="15.75" x14ac:dyDescent="0.25">
      <c r="C292" s="46" t="str">
        <f t="shared" si="8"/>
        <v/>
      </c>
      <c r="D292" s="46" t="str">
        <f t="shared" si="9"/>
        <v/>
      </c>
    </row>
    <row r="293" spans="3:4" ht="15.75" x14ac:dyDescent="0.25">
      <c r="C293" s="46" t="str">
        <f t="shared" si="8"/>
        <v/>
      </c>
      <c r="D293" s="46" t="str">
        <f t="shared" si="9"/>
        <v/>
      </c>
    </row>
    <row r="294" spans="3:4" ht="15.75" x14ac:dyDescent="0.25">
      <c r="C294" s="46" t="str">
        <f t="shared" si="8"/>
        <v/>
      </c>
      <c r="D294" s="46" t="str">
        <f t="shared" si="9"/>
        <v/>
      </c>
    </row>
    <row r="295" spans="3:4" ht="15.75" x14ac:dyDescent="0.25">
      <c r="C295" s="46" t="str">
        <f t="shared" si="8"/>
        <v/>
      </c>
      <c r="D295" s="46" t="str">
        <f t="shared" si="9"/>
        <v/>
      </c>
    </row>
    <row r="296" spans="3:4" ht="15.75" x14ac:dyDescent="0.25">
      <c r="C296" s="46" t="str">
        <f t="shared" si="8"/>
        <v/>
      </c>
      <c r="D296" s="46" t="str">
        <f t="shared" si="9"/>
        <v/>
      </c>
    </row>
    <row r="297" spans="3:4" ht="15.75" x14ac:dyDescent="0.25">
      <c r="C297" s="46" t="str">
        <f t="shared" si="8"/>
        <v/>
      </c>
      <c r="D297" s="46" t="str">
        <f t="shared" si="9"/>
        <v/>
      </c>
    </row>
    <row r="298" spans="3:4" ht="15.75" x14ac:dyDescent="0.25">
      <c r="C298" s="46" t="str">
        <f t="shared" si="8"/>
        <v/>
      </c>
      <c r="D298" s="46" t="str">
        <f t="shared" si="9"/>
        <v/>
      </c>
    </row>
    <row r="299" spans="3:4" ht="15.75" x14ac:dyDescent="0.25">
      <c r="C299" s="46" t="str">
        <f t="shared" si="8"/>
        <v/>
      </c>
      <c r="D299" s="46" t="str">
        <f t="shared" si="9"/>
        <v/>
      </c>
    </row>
    <row r="300" spans="3:4" ht="15.75" x14ac:dyDescent="0.25">
      <c r="C300" s="46" t="str">
        <f t="shared" si="8"/>
        <v/>
      </c>
      <c r="D300" s="46" t="str">
        <f t="shared" si="9"/>
        <v/>
      </c>
    </row>
    <row r="301" spans="3:4" ht="15.75" x14ac:dyDescent="0.25">
      <c r="C301" s="46" t="str">
        <f t="shared" si="8"/>
        <v/>
      </c>
      <c r="D301" s="46" t="str">
        <f t="shared" si="9"/>
        <v/>
      </c>
    </row>
    <row r="302" spans="3:4" ht="15.75" x14ac:dyDescent="0.25">
      <c r="C302" s="46" t="str">
        <f t="shared" si="8"/>
        <v/>
      </c>
      <c r="D302" s="46" t="str">
        <f t="shared" si="9"/>
        <v/>
      </c>
    </row>
    <row r="303" spans="3:4" ht="15.75" x14ac:dyDescent="0.25">
      <c r="C303" s="46" t="str">
        <f t="shared" si="8"/>
        <v/>
      </c>
      <c r="D303" s="46" t="str">
        <f t="shared" si="9"/>
        <v/>
      </c>
    </row>
    <row r="304" spans="3:4" ht="15.75" x14ac:dyDescent="0.25">
      <c r="C304" s="46" t="str">
        <f t="shared" si="8"/>
        <v/>
      </c>
      <c r="D304" s="46" t="str">
        <f t="shared" si="9"/>
        <v/>
      </c>
    </row>
    <row r="305" spans="3:4" ht="15.75" x14ac:dyDescent="0.25">
      <c r="C305" s="46" t="str">
        <f t="shared" si="8"/>
        <v/>
      </c>
      <c r="D305" s="46" t="str">
        <f t="shared" si="9"/>
        <v/>
      </c>
    </row>
    <row r="306" spans="3:4" ht="15.75" x14ac:dyDescent="0.25">
      <c r="C306" s="46" t="str">
        <f t="shared" ref="C306:C318" si="10">IF(COUNTIF(E306:BA306,"YES")=0,"",COUNTIF(E306:BA306,"YES"))</f>
        <v/>
      </c>
      <c r="D306" s="46" t="str">
        <f t="shared" ref="D306:D318" si="11">IF(COUNTIF(E306:BA306,"NO")=0,"",COUNTIF(E306:BA306,"NO"))</f>
        <v/>
      </c>
    </row>
    <row r="307" spans="3:4" ht="15.75" x14ac:dyDescent="0.25">
      <c r="C307" s="46" t="str">
        <f t="shared" si="10"/>
        <v/>
      </c>
      <c r="D307" s="46" t="str">
        <f t="shared" si="11"/>
        <v/>
      </c>
    </row>
    <row r="308" spans="3:4" ht="15.75" x14ac:dyDescent="0.25">
      <c r="C308" s="46" t="str">
        <f t="shared" si="10"/>
        <v/>
      </c>
      <c r="D308" s="46" t="str">
        <f t="shared" si="11"/>
        <v/>
      </c>
    </row>
    <row r="309" spans="3:4" ht="15.75" x14ac:dyDescent="0.25">
      <c r="C309" s="46" t="str">
        <f t="shared" si="10"/>
        <v/>
      </c>
      <c r="D309" s="46" t="str">
        <f t="shared" si="11"/>
        <v/>
      </c>
    </row>
    <row r="310" spans="3:4" ht="15.75" x14ac:dyDescent="0.25">
      <c r="C310" s="46" t="str">
        <f t="shared" si="10"/>
        <v/>
      </c>
      <c r="D310" s="46" t="str">
        <f t="shared" si="11"/>
        <v/>
      </c>
    </row>
    <row r="311" spans="3:4" ht="15.75" x14ac:dyDescent="0.25">
      <c r="C311" s="46" t="str">
        <f t="shared" si="10"/>
        <v/>
      </c>
      <c r="D311" s="46" t="str">
        <f t="shared" si="11"/>
        <v/>
      </c>
    </row>
    <row r="312" spans="3:4" ht="15.75" x14ac:dyDescent="0.25">
      <c r="C312" s="46" t="str">
        <f t="shared" si="10"/>
        <v/>
      </c>
      <c r="D312" s="46" t="str">
        <f t="shared" si="11"/>
        <v/>
      </c>
    </row>
    <row r="313" spans="3:4" ht="15.75" x14ac:dyDescent="0.25">
      <c r="C313" s="46" t="str">
        <f t="shared" si="10"/>
        <v/>
      </c>
      <c r="D313" s="46" t="str">
        <f t="shared" si="11"/>
        <v/>
      </c>
    </row>
    <row r="314" spans="3:4" ht="15.75" x14ac:dyDescent="0.25">
      <c r="C314" s="46" t="str">
        <f t="shared" si="10"/>
        <v/>
      </c>
      <c r="D314" s="46" t="str">
        <f t="shared" si="11"/>
        <v/>
      </c>
    </row>
    <row r="315" spans="3:4" ht="15.75" x14ac:dyDescent="0.25">
      <c r="C315" s="46" t="str">
        <f t="shared" si="10"/>
        <v/>
      </c>
      <c r="D315" s="46" t="str">
        <f t="shared" si="11"/>
        <v/>
      </c>
    </row>
    <row r="316" spans="3:4" ht="15.75" x14ac:dyDescent="0.25">
      <c r="C316" s="46" t="str">
        <f t="shared" si="10"/>
        <v/>
      </c>
      <c r="D316" s="46" t="str">
        <f t="shared" si="11"/>
        <v/>
      </c>
    </row>
    <row r="317" spans="3:4" ht="15.75" x14ac:dyDescent="0.25">
      <c r="C317" s="46" t="str">
        <f t="shared" si="10"/>
        <v/>
      </c>
      <c r="D317" s="46" t="str">
        <f t="shared" si="11"/>
        <v/>
      </c>
    </row>
    <row r="318" spans="3:4" ht="15.75" x14ac:dyDescent="0.25">
      <c r="C318" s="46" t="str">
        <f t="shared" si="10"/>
        <v/>
      </c>
      <c r="D318" s="46" t="str">
        <f t="shared" si="11"/>
        <v/>
      </c>
    </row>
  </sheetData>
  <dataConsolidate/>
  <mergeCells count="1">
    <mergeCell ref="A4:B4"/>
  </mergeCells>
  <phoneticPr fontId="4" type="noConversion"/>
  <conditionalFormatting sqref="E7:H10 E12:H20">
    <cfRule type="cellIs" dxfId="57" priority="1" stopIfTrue="1" operator="equal">
      <formula>"YES"</formula>
    </cfRule>
    <cfRule type="cellIs" dxfId="56" priority="2" stopIfTrue="1" operator="equal">
      <formula>"NO"</formula>
    </cfRule>
  </conditionalFormatting>
  <dataValidations count="1">
    <dataValidation type="list" allowBlank="1" showInputMessage="1" showErrorMessage="1" sqref="E7:H10 E12:H20" xr:uid="{00000000-0002-0000-0900-000000000000}">
      <formula1>$D$1:$D$3</formula1>
    </dataValidation>
  </dataValidations>
  <hyperlinks>
    <hyperlink ref="B5" r:id="rId1" display="ALE_2.10n" xr:uid="{00000000-0004-0000-0900-000000000000}"/>
  </hyperlinks>
  <pageMargins left="0.75" right="0.75" top="1" bottom="1" header="0.4921259845" footer="0.4921259845"/>
  <pageSetup paperSize="9" scale="61" fitToHeight="0" orientation="portrait"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8">
    <tabColor theme="7"/>
    <pageSetUpPr fitToPage="1"/>
  </sheetPr>
  <dimension ref="A1:H323"/>
  <sheetViews>
    <sheetView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42578125" style="40" customWidth="1"/>
    <col min="2" max="2" width="89.28515625" style="57" customWidth="1"/>
    <col min="3" max="4" width="4.42578125" style="40" bestFit="1" customWidth="1"/>
    <col min="5" max="8" width="6" style="40" customWidth="1"/>
    <col min="9" max="16384" width="9.140625" style="40"/>
  </cols>
  <sheetData>
    <row r="1" spans="1:8" ht="0.75" customHeight="1" thickBot="1" x14ac:dyDescent="0.25">
      <c r="D1" s="40" t="s">
        <v>43</v>
      </c>
    </row>
    <row r="2" spans="1:8" hidden="1" x14ac:dyDescent="0.2">
      <c r="D2" s="40" t="s">
        <v>44</v>
      </c>
    </row>
    <row r="3" spans="1:8" ht="13.5" hidden="1" thickBot="1" x14ac:dyDescent="0.25">
      <c r="D3" s="40" t="s">
        <v>13</v>
      </c>
    </row>
    <row r="4" spans="1:8" ht="88.5" thickTop="1" thickBot="1" x14ac:dyDescent="0.4">
      <c r="A4" s="58"/>
      <c r="B4" s="47" t="s">
        <v>479</v>
      </c>
      <c r="C4" s="43" t="s">
        <v>46</v>
      </c>
      <c r="D4" s="43" t="s">
        <v>47</v>
      </c>
      <c r="E4" s="43" t="s">
        <v>84</v>
      </c>
      <c r="F4" s="43" t="s">
        <v>84</v>
      </c>
      <c r="G4" s="43" t="s">
        <v>84</v>
      </c>
      <c r="H4" s="43" t="s">
        <v>84</v>
      </c>
    </row>
    <row r="5" spans="1:8" ht="24" thickTop="1" x14ac:dyDescent="0.35">
      <c r="A5" s="59"/>
      <c r="B5" s="50" t="s">
        <v>85</v>
      </c>
      <c r="C5" s="44" t="str">
        <f t="shared" ref="C5:C69" si="0">IF(COUNTIF(E5:BA5,"YES")=0,"",COUNTIF(E5:BA5,"YES"))</f>
        <v/>
      </c>
      <c r="D5" s="44" t="str">
        <f t="shared" ref="D5:D69" si="1">IF(COUNTIF(E5:BA5,"NO")=0,"",COUNTIF(E5:BA5,"NO"))</f>
        <v/>
      </c>
      <c r="E5" s="51"/>
      <c r="F5" s="51"/>
      <c r="G5" s="51"/>
      <c r="H5" s="51"/>
    </row>
    <row r="6" spans="1:8" ht="14.25" customHeight="1" x14ac:dyDescent="0.25">
      <c r="A6" s="69" t="s">
        <v>190</v>
      </c>
      <c r="B6" s="70"/>
      <c r="C6" s="71" t="str">
        <f t="shared" si="0"/>
        <v/>
      </c>
      <c r="D6" s="71" t="str">
        <f t="shared" si="1"/>
        <v/>
      </c>
      <c r="E6" s="72"/>
      <c r="F6" s="72"/>
      <c r="G6" s="72"/>
      <c r="H6" s="72"/>
    </row>
    <row r="7" spans="1:8" ht="15.75" x14ac:dyDescent="0.25">
      <c r="A7" s="60" t="s">
        <v>191</v>
      </c>
      <c r="B7" s="259" t="s">
        <v>294</v>
      </c>
      <c r="C7" s="44" t="str">
        <f t="shared" si="0"/>
        <v/>
      </c>
      <c r="D7" s="44" t="str">
        <f t="shared" si="1"/>
        <v/>
      </c>
      <c r="E7" s="41"/>
      <c r="F7" s="41"/>
      <c r="G7" s="41"/>
      <c r="H7" s="41"/>
    </row>
    <row r="8" spans="1:8" ht="15.75" x14ac:dyDescent="0.25">
      <c r="A8" s="60" t="s">
        <v>192</v>
      </c>
      <c r="B8" s="259" t="s">
        <v>543</v>
      </c>
      <c r="C8" s="44" t="str">
        <f t="shared" si="0"/>
        <v/>
      </c>
      <c r="D8" s="44" t="str">
        <f t="shared" si="1"/>
        <v/>
      </c>
      <c r="E8" s="41"/>
      <c r="F8" s="41"/>
      <c r="G8" s="41"/>
      <c r="H8" s="41"/>
    </row>
    <row r="9" spans="1:8" ht="15.75" x14ac:dyDescent="0.25">
      <c r="A9" s="60" t="s">
        <v>193</v>
      </c>
      <c r="B9" s="259" t="s">
        <v>468</v>
      </c>
      <c r="C9" s="44" t="str">
        <f t="shared" si="0"/>
        <v/>
      </c>
      <c r="D9" s="44" t="str">
        <f t="shared" si="1"/>
        <v/>
      </c>
      <c r="E9" s="41"/>
      <c r="F9" s="41"/>
      <c r="G9" s="41"/>
      <c r="H9" s="41"/>
    </row>
    <row r="10" spans="1:8" ht="15.75" x14ac:dyDescent="0.25">
      <c r="A10" s="60" t="s">
        <v>194</v>
      </c>
      <c r="B10" s="259" t="s">
        <v>116</v>
      </c>
      <c r="C10" s="44" t="str">
        <f t="shared" si="0"/>
        <v/>
      </c>
      <c r="D10" s="44" t="str">
        <f t="shared" si="1"/>
        <v/>
      </c>
      <c r="E10" s="41"/>
      <c r="F10" s="41"/>
      <c r="G10" s="41"/>
      <c r="H10" s="41"/>
    </row>
    <row r="11" spans="1:8" ht="15.75" x14ac:dyDescent="0.25">
      <c r="A11" s="60" t="s">
        <v>195</v>
      </c>
      <c r="B11" s="259" t="s">
        <v>117</v>
      </c>
      <c r="C11" s="44" t="str">
        <f t="shared" si="0"/>
        <v/>
      </c>
      <c r="D11" s="44" t="str">
        <f t="shared" si="1"/>
        <v/>
      </c>
      <c r="E11" s="41"/>
      <c r="F11" s="41"/>
      <c r="G11" s="41"/>
      <c r="H11" s="41"/>
    </row>
    <row r="12" spans="1:8" ht="15.75" x14ac:dyDescent="0.25">
      <c r="A12" s="60" t="s">
        <v>196</v>
      </c>
      <c r="B12" s="259" t="s">
        <v>467</v>
      </c>
      <c r="C12" s="44" t="str">
        <f t="shared" si="0"/>
        <v/>
      </c>
      <c r="D12" s="44" t="str">
        <f t="shared" si="1"/>
        <v/>
      </c>
      <c r="E12" s="41"/>
      <c r="F12" s="41"/>
      <c r="G12" s="41"/>
      <c r="H12" s="41"/>
    </row>
    <row r="13" spans="1:8" ht="15.75" x14ac:dyDescent="0.25">
      <c r="A13" s="60" t="s">
        <v>197</v>
      </c>
      <c r="B13" s="259" t="s">
        <v>119</v>
      </c>
      <c r="C13" s="44" t="str">
        <f t="shared" si="0"/>
        <v/>
      </c>
      <c r="D13" s="44" t="str">
        <f t="shared" si="1"/>
        <v/>
      </c>
      <c r="E13" s="41"/>
      <c r="F13" s="41"/>
      <c r="G13" s="41"/>
      <c r="H13" s="41"/>
    </row>
    <row r="14" spans="1:8" ht="15.75" x14ac:dyDescent="0.25">
      <c r="A14" s="60" t="s">
        <v>198</v>
      </c>
      <c r="B14" s="259" t="s">
        <v>189</v>
      </c>
      <c r="C14" s="44" t="str">
        <f t="shared" si="0"/>
        <v/>
      </c>
      <c r="D14" s="44" t="str">
        <f t="shared" si="1"/>
        <v/>
      </c>
      <c r="E14" s="41"/>
      <c r="F14" s="41"/>
      <c r="G14" s="41"/>
      <c r="H14" s="41"/>
    </row>
    <row r="15" spans="1:8" ht="15.75" x14ac:dyDescent="0.25">
      <c r="A15" s="69" t="s">
        <v>202</v>
      </c>
      <c r="B15" s="73"/>
      <c r="C15" s="71" t="str">
        <f t="shared" si="0"/>
        <v/>
      </c>
      <c r="D15" s="71" t="str">
        <f t="shared" si="1"/>
        <v/>
      </c>
      <c r="E15" s="72"/>
      <c r="F15" s="72"/>
      <c r="G15" s="72"/>
      <c r="H15" s="72"/>
    </row>
    <row r="16" spans="1:8" ht="25.5" x14ac:dyDescent="0.25">
      <c r="A16" s="61" t="s">
        <v>199</v>
      </c>
      <c r="B16" s="259" t="s">
        <v>545</v>
      </c>
      <c r="C16" s="44" t="str">
        <f t="shared" si="0"/>
        <v/>
      </c>
      <c r="D16" s="44" t="str">
        <f t="shared" si="1"/>
        <v/>
      </c>
      <c r="E16" s="41"/>
      <c r="F16" s="41"/>
      <c r="G16" s="41"/>
      <c r="H16" s="41"/>
    </row>
    <row r="17" spans="1:8" ht="15.75" x14ac:dyDescent="0.25">
      <c r="A17" s="61" t="s">
        <v>200</v>
      </c>
      <c r="B17" s="259" t="s">
        <v>120</v>
      </c>
      <c r="C17" s="44" t="str">
        <f t="shared" si="0"/>
        <v/>
      </c>
      <c r="D17" s="44" t="str">
        <f t="shared" si="1"/>
        <v/>
      </c>
      <c r="E17" s="41"/>
      <c r="F17" s="41"/>
      <c r="G17" s="41"/>
      <c r="H17" s="41"/>
    </row>
    <row r="18" spans="1:8" ht="23.25" x14ac:dyDescent="0.35">
      <c r="A18" s="59"/>
      <c r="B18" s="74" t="s">
        <v>93</v>
      </c>
      <c r="C18" s="71" t="str">
        <f t="shared" si="0"/>
        <v/>
      </c>
      <c r="D18" s="71" t="str">
        <f t="shared" si="1"/>
        <v/>
      </c>
      <c r="E18" s="72"/>
      <c r="F18" s="72"/>
      <c r="G18" s="72"/>
      <c r="H18" s="72"/>
    </row>
    <row r="19" spans="1:8" ht="15.75" x14ac:dyDescent="0.25">
      <c r="A19" s="48" t="s">
        <v>94</v>
      </c>
      <c r="B19" s="70"/>
      <c r="C19" s="71" t="str">
        <f t="shared" si="0"/>
        <v/>
      </c>
      <c r="D19" s="71" t="str">
        <f t="shared" si="1"/>
        <v/>
      </c>
      <c r="E19" s="72"/>
      <c r="F19" s="72"/>
      <c r="G19" s="72"/>
      <c r="H19" s="72"/>
    </row>
    <row r="20" spans="1:8" ht="15.75" x14ac:dyDescent="0.25">
      <c r="A20" s="60" t="s">
        <v>51</v>
      </c>
      <c r="B20" s="267" t="s">
        <v>121</v>
      </c>
      <c r="C20" s="44" t="str">
        <f t="shared" si="0"/>
        <v/>
      </c>
      <c r="D20" s="44" t="str">
        <f t="shared" si="1"/>
        <v/>
      </c>
      <c r="E20" s="41"/>
      <c r="F20" s="41"/>
      <c r="G20" s="41"/>
      <c r="H20" s="41"/>
    </row>
    <row r="21" spans="1:8" ht="13.5" customHeight="1" x14ac:dyDescent="0.25">
      <c r="A21" s="60" t="s">
        <v>52</v>
      </c>
      <c r="B21" s="268" t="s">
        <v>168</v>
      </c>
      <c r="C21" s="44" t="str">
        <f t="shared" si="0"/>
        <v/>
      </c>
      <c r="D21" s="44" t="str">
        <f t="shared" si="1"/>
        <v/>
      </c>
      <c r="E21" s="41"/>
      <c r="F21" s="41"/>
      <c r="G21" s="41"/>
      <c r="H21" s="41"/>
    </row>
    <row r="22" spans="1:8" ht="13.5" customHeight="1" x14ac:dyDescent="0.25">
      <c r="A22" s="60" t="s">
        <v>53</v>
      </c>
      <c r="B22" s="268" t="s">
        <v>123</v>
      </c>
      <c r="C22" s="44" t="str">
        <f t="shared" si="0"/>
        <v/>
      </c>
      <c r="D22" s="44" t="str">
        <f t="shared" si="1"/>
        <v/>
      </c>
      <c r="E22" s="41"/>
      <c r="F22" s="41"/>
      <c r="G22" s="41"/>
      <c r="H22" s="41"/>
    </row>
    <row r="23" spans="1:8" ht="15.75" x14ac:dyDescent="0.25">
      <c r="A23" s="60" t="s">
        <v>73</v>
      </c>
      <c r="B23" s="268" t="s">
        <v>124</v>
      </c>
      <c r="C23" s="44" t="str">
        <f t="shared" si="0"/>
        <v/>
      </c>
      <c r="D23" s="44" t="str">
        <f t="shared" si="1"/>
        <v/>
      </c>
      <c r="E23" s="41"/>
      <c r="F23" s="41"/>
      <c r="G23" s="41"/>
      <c r="H23" s="41"/>
    </row>
    <row r="24" spans="1:8" ht="13.5" customHeight="1" x14ac:dyDescent="0.25">
      <c r="A24" s="60" t="s">
        <v>74</v>
      </c>
      <c r="B24" s="268" t="s">
        <v>125</v>
      </c>
      <c r="C24" s="44" t="str">
        <f t="shared" si="0"/>
        <v/>
      </c>
      <c r="D24" s="44" t="str">
        <f t="shared" si="1"/>
        <v/>
      </c>
      <c r="E24" s="41"/>
      <c r="F24" s="41"/>
      <c r="G24" s="41"/>
      <c r="H24" s="41"/>
    </row>
    <row r="25" spans="1:8" ht="13.5" customHeight="1" x14ac:dyDescent="0.25">
      <c r="A25" s="60" t="s">
        <v>75</v>
      </c>
      <c r="B25" s="268" t="s">
        <v>126</v>
      </c>
      <c r="C25" s="44" t="str">
        <f t="shared" si="0"/>
        <v/>
      </c>
      <c r="D25" s="44" t="str">
        <f t="shared" si="1"/>
        <v/>
      </c>
      <c r="E25" s="41"/>
      <c r="F25" s="41"/>
      <c r="G25" s="41"/>
      <c r="H25" s="41"/>
    </row>
    <row r="26" spans="1:8" ht="15.75" x14ac:dyDescent="0.25">
      <c r="A26" s="60" t="s">
        <v>76</v>
      </c>
      <c r="B26" s="268" t="s">
        <v>127</v>
      </c>
      <c r="C26" s="44" t="str">
        <f t="shared" si="0"/>
        <v/>
      </c>
      <c r="D26" s="44" t="str">
        <f t="shared" si="1"/>
        <v/>
      </c>
      <c r="E26" s="41"/>
      <c r="F26" s="41"/>
      <c r="G26" s="41"/>
      <c r="H26" s="41"/>
    </row>
    <row r="27" spans="1:8" ht="15.75" x14ac:dyDescent="0.25">
      <c r="A27" s="60" t="s">
        <v>77</v>
      </c>
      <c r="B27" s="268" t="s">
        <v>169</v>
      </c>
      <c r="C27" s="44" t="str">
        <f t="shared" si="0"/>
        <v/>
      </c>
      <c r="D27" s="44" t="str">
        <f t="shared" si="1"/>
        <v/>
      </c>
      <c r="E27" s="41"/>
      <c r="F27" s="41"/>
      <c r="G27" s="41"/>
      <c r="H27" s="41"/>
    </row>
    <row r="28" spans="1:8" ht="15.75" x14ac:dyDescent="0.25">
      <c r="A28" s="60" t="s">
        <v>78</v>
      </c>
      <c r="B28" s="268" t="s">
        <v>276</v>
      </c>
      <c r="C28" s="44" t="str">
        <f>IF(COUNTIF(E28:BA28,"YES")=0,"",COUNTIF(E28:BA28,"YES"))</f>
        <v/>
      </c>
      <c r="D28" s="44" t="str">
        <f>IF(COUNTIF(E28:BA28,"NO")=0,"",COUNTIF(E28:BA28,"NO"))</f>
        <v/>
      </c>
      <c r="E28" s="41"/>
      <c r="F28" s="41"/>
      <c r="G28" s="41"/>
      <c r="H28" s="41"/>
    </row>
    <row r="29" spans="1:8" ht="15.75" x14ac:dyDescent="0.25">
      <c r="A29" s="69" t="s">
        <v>170</v>
      </c>
      <c r="B29" s="70"/>
      <c r="C29" s="71" t="str">
        <f t="shared" si="0"/>
        <v/>
      </c>
      <c r="D29" s="71" t="str">
        <f t="shared" si="1"/>
        <v/>
      </c>
      <c r="E29" s="72"/>
      <c r="F29" s="72"/>
      <c r="G29" s="72"/>
      <c r="H29" s="72"/>
    </row>
    <row r="30" spans="1:8" ht="15.75" x14ac:dyDescent="0.25">
      <c r="A30" s="60" t="s">
        <v>54</v>
      </c>
      <c r="B30" s="268" t="s">
        <v>146</v>
      </c>
      <c r="C30" s="44" t="str">
        <f t="shared" si="0"/>
        <v/>
      </c>
      <c r="D30" s="44" t="str">
        <f t="shared" si="1"/>
        <v/>
      </c>
      <c r="E30" s="41"/>
      <c r="F30" s="41"/>
      <c r="G30" s="41"/>
      <c r="H30" s="41"/>
    </row>
    <row r="31" spans="1:8" ht="15.75" x14ac:dyDescent="0.25">
      <c r="A31" s="69" t="s">
        <v>171</v>
      </c>
      <c r="B31" s="70"/>
      <c r="C31" s="71" t="str">
        <f t="shared" si="0"/>
        <v/>
      </c>
      <c r="D31" s="71" t="str">
        <f t="shared" si="1"/>
        <v/>
      </c>
      <c r="E31" s="72"/>
      <c r="F31" s="72"/>
      <c r="G31" s="72"/>
      <c r="H31" s="72"/>
    </row>
    <row r="32" spans="1:8" ht="15.75" x14ac:dyDescent="0.25">
      <c r="A32" s="60" t="s">
        <v>58</v>
      </c>
      <c r="B32" s="268" t="s">
        <v>133</v>
      </c>
      <c r="C32" s="44" t="str">
        <f t="shared" si="0"/>
        <v/>
      </c>
      <c r="D32" s="44" t="str">
        <f t="shared" si="1"/>
        <v/>
      </c>
      <c r="E32" s="41"/>
      <c r="F32" s="41"/>
      <c r="G32" s="41"/>
      <c r="H32" s="41"/>
    </row>
    <row r="33" spans="1:8" ht="15.75" x14ac:dyDescent="0.25">
      <c r="A33" s="60" t="s">
        <v>59</v>
      </c>
      <c r="B33" s="268" t="s">
        <v>134</v>
      </c>
      <c r="C33" s="44" t="str">
        <f t="shared" si="0"/>
        <v/>
      </c>
      <c r="D33" s="44" t="str">
        <f t="shared" si="1"/>
        <v/>
      </c>
      <c r="E33" s="41"/>
      <c r="F33" s="41"/>
      <c r="G33" s="41"/>
      <c r="H33" s="41"/>
    </row>
    <row r="34" spans="1:8" ht="15.75" x14ac:dyDescent="0.25">
      <c r="A34" s="60" t="s">
        <v>60</v>
      </c>
      <c r="B34" s="268" t="s">
        <v>135</v>
      </c>
      <c r="C34" s="44" t="str">
        <f t="shared" si="0"/>
        <v/>
      </c>
      <c r="D34" s="44" t="str">
        <f t="shared" si="1"/>
        <v/>
      </c>
      <c r="E34" s="41"/>
      <c r="F34" s="41"/>
      <c r="G34" s="41"/>
      <c r="H34" s="41"/>
    </row>
    <row r="35" spans="1:8" ht="15.75" x14ac:dyDescent="0.25">
      <c r="A35" s="60" t="s">
        <v>61</v>
      </c>
      <c r="B35" s="268" t="s">
        <v>136</v>
      </c>
      <c r="C35" s="44" t="str">
        <f t="shared" si="0"/>
        <v/>
      </c>
      <c r="D35" s="44" t="str">
        <f t="shared" si="1"/>
        <v/>
      </c>
      <c r="E35" s="41"/>
      <c r="F35" s="41"/>
      <c r="G35" s="41"/>
      <c r="H35" s="41"/>
    </row>
    <row r="36" spans="1:8" ht="25.5" x14ac:dyDescent="0.25">
      <c r="A36" s="60" t="s">
        <v>62</v>
      </c>
      <c r="B36" s="268" t="s">
        <v>137</v>
      </c>
      <c r="C36" s="44" t="str">
        <f t="shared" si="0"/>
        <v/>
      </c>
      <c r="D36" s="44" t="str">
        <f t="shared" si="1"/>
        <v/>
      </c>
      <c r="E36" s="41"/>
      <c r="F36" s="41"/>
      <c r="G36" s="41"/>
      <c r="H36" s="41"/>
    </row>
    <row r="37" spans="1:8" ht="15.75" x14ac:dyDescent="0.25">
      <c r="A37" s="69" t="s">
        <v>172</v>
      </c>
      <c r="B37" s="70"/>
      <c r="C37" s="71" t="str">
        <f t="shared" si="0"/>
        <v/>
      </c>
      <c r="D37" s="71" t="str">
        <f t="shared" si="1"/>
        <v/>
      </c>
      <c r="E37" s="72"/>
      <c r="F37" s="72"/>
      <c r="G37" s="72"/>
      <c r="H37" s="72"/>
    </row>
    <row r="38" spans="1:8" ht="15.75" x14ac:dyDescent="0.25">
      <c r="A38" s="60" t="s">
        <v>67</v>
      </c>
      <c r="B38" s="268" t="s">
        <v>173</v>
      </c>
      <c r="C38" s="44" t="str">
        <f t="shared" si="0"/>
        <v/>
      </c>
      <c r="D38" s="44" t="str">
        <f t="shared" si="1"/>
        <v/>
      </c>
      <c r="E38" s="41"/>
      <c r="F38" s="41"/>
      <c r="G38" s="41"/>
      <c r="H38" s="41"/>
    </row>
    <row r="39" spans="1:8" ht="13.5" customHeight="1" x14ac:dyDescent="0.25">
      <c r="A39" s="60" t="s">
        <v>68</v>
      </c>
      <c r="B39" s="268" t="s">
        <v>174</v>
      </c>
      <c r="C39" s="44" t="str">
        <f t="shared" si="0"/>
        <v/>
      </c>
      <c r="D39" s="44" t="str">
        <f t="shared" si="1"/>
        <v/>
      </c>
      <c r="E39" s="41"/>
      <c r="F39" s="41"/>
      <c r="G39" s="41"/>
      <c r="H39" s="41"/>
    </row>
    <row r="40" spans="1:8" ht="16.5" thickBot="1" x14ac:dyDescent="0.3">
      <c r="A40" s="75" t="s">
        <v>148</v>
      </c>
      <c r="B40" s="76"/>
      <c r="C40" s="71" t="str">
        <f t="shared" si="0"/>
        <v/>
      </c>
      <c r="D40" s="71" t="str">
        <f t="shared" si="1"/>
        <v/>
      </c>
      <c r="E40" s="72"/>
      <c r="F40" s="72"/>
      <c r="G40" s="72"/>
      <c r="H40" s="72"/>
    </row>
    <row r="41" spans="1:8" ht="16.5" thickBot="1" x14ac:dyDescent="0.3">
      <c r="A41" s="62" t="s">
        <v>69</v>
      </c>
      <c r="B41" s="269" t="s">
        <v>149</v>
      </c>
      <c r="C41" s="44" t="str">
        <f t="shared" si="0"/>
        <v/>
      </c>
      <c r="D41" s="44" t="str">
        <f t="shared" si="1"/>
        <v/>
      </c>
      <c r="E41" s="41"/>
      <c r="F41" s="41"/>
      <c r="G41" s="41"/>
      <c r="H41" s="41"/>
    </row>
    <row r="42" spans="1:8" ht="15.75" x14ac:dyDescent="0.25">
      <c r="C42" s="46" t="str">
        <f t="shared" si="0"/>
        <v/>
      </c>
      <c r="D42" s="46" t="str">
        <f t="shared" si="1"/>
        <v/>
      </c>
    </row>
    <row r="43" spans="1:8" ht="15.75" x14ac:dyDescent="0.25">
      <c r="C43" s="46" t="str">
        <f t="shared" si="0"/>
        <v/>
      </c>
      <c r="D43" s="46" t="str">
        <f t="shared" si="1"/>
        <v/>
      </c>
    </row>
    <row r="44" spans="1:8" ht="15.75" x14ac:dyDescent="0.25">
      <c r="C44" s="46" t="str">
        <f t="shared" si="0"/>
        <v/>
      </c>
      <c r="D44" s="46" t="str">
        <f t="shared" si="1"/>
        <v/>
      </c>
    </row>
    <row r="45" spans="1:8" ht="15.75" x14ac:dyDescent="0.25">
      <c r="C45" s="46" t="str">
        <f t="shared" si="0"/>
        <v/>
      </c>
      <c r="D45" s="46" t="str">
        <f t="shared" si="1"/>
        <v/>
      </c>
    </row>
    <row r="46" spans="1:8" ht="15.75" x14ac:dyDescent="0.25">
      <c r="C46" s="46" t="str">
        <f t="shared" si="0"/>
        <v/>
      </c>
      <c r="D46" s="46" t="str">
        <f t="shared" si="1"/>
        <v/>
      </c>
    </row>
    <row r="47" spans="1:8" ht="15.75" x14ac:dyDescent="0.25">
      <c r="C47" s="46" t="str">
        <f t="shared" si="0"/>
        <v/>
      </c>
      <c r="D47" s="46" t="str">
        <f t="shared" si="1"/>
        <v/>
      </c>
    </row>
    <row r="48" spans="1:8" ht="15.75" x14ac:dyDescent="0.25">
      <c r="C48" s="46" t="str">
        <f t="shared" si="0"/>
        <v/>
      </c>
      <c r="D48" s="46" t="str">
        <f t="shared" si="1"/>
        <v/>
      </c>
    </row>
    <row r="49" spans="3:4" ht="15.75" x14ac:dyDescent="0.25">
      <c r="C49" s="46" t="str">
        <f t="shared" si="0"/>
        <v/>
      </c>
      <c r="D49" s="46" t="str">
        <f t="shared" si="1"/>
        <v/>
      </c>
    </row>
    <row r="50" spans="3:4" ht="15.75" x14ac:dyDescent="0.25">
      <c r="C50" s="46" t="str">
        <f t="shared" si="0"/>
        <v/>
      </c>
      <c r="D50" s="46" t="str">
        <f t="shared" si="1"/>
        <v/>
      </c>
    </row>
    <row r="51" spans="3:4" ht="15.75" x14ac:dyDescent="0.25">
      <c r="C51" s="46" t="str">
        <f t="shared" si="0"/>
        <v/>
      </c>
      <c r="D51" s="46" t="str">
        <f t="shared" si="1"/>
        <v/>
      </c>
    </row>
    <row r="52" spans="3:4" ht="15.75" x14ac:dyDescent="0.25">
      <c r="C52" s="46" t="str">
        <f t="shared" si="0"/>
        <v/>
      </c>
      <c r="D52" s="46" t="str">
        <f t="shared" si="1"/>
        <v/>
      </c>
    </row>
    <row r="53" spans="3:4" ht="15.75" x14ac:dyDescent="0.25">
      <c r="C53" s="46" t="str">
        <f t="shared" si="0"/>
        <v/>
      </c>
      <c r="D53" s="46" t="str">
        <f t="shared" si="1"/>
        <v/>
      </c>
    </row>
    <row r="54" spans="3:4" ht="15.75" x14ac:dyDescent="0.25">
      <c r="C54" s="46" t="str">
        <f t="shared" si="0"/>
        <v/>
      </c>
      <c r="D54" s="46" t="str">
        <f t="shared" si="1"/>
        <v/>
      </c>
    </row>
    <row r="55" spans="3:4" ht="15.75" x14ac:dyDescent="0.25">
      <c r="C55" s="46" t="str">
        <f t="shared" si="0"/>
        <v/>
      </c>
      <c r="D55" s="46" t="str">
        <f t="shared" si="1"/>
        <v/>
      </c>
    </row>
    <row r="56" spans="3:4" ht="15.75" x14ac:dyDescent="0.25">
      <c r="C56" s="46" t="str">
        <f t="shared" si="0"/>
        <v/>
      </c>
      <c r="D56" s="46" t="str">
        <f t="shared" si="1"/>
        <v/>
      </c>
    </row>
    <row r="57" spans="3:4" ht="15.75" x14ac:dyDescent="0.25">
      <c r="C57" s="46" t="str">
        <f t="shared" si="0"/>
        <v/>
      </c>
      <c r="D57" s="46" t="str">
        <f t="shared" si="1"/>
        <v/>
      </c>
    </row>
    <row r="58" spans="3:4" ht="15.75" x14ac:dyDescent="0.25">
      <c r="C58" s="46" t="str">
        <f t="shared" si="0"/>
        <v/>
      </c>
      <c r="D58" s="46" t="str">
        <f t="shared" si="1"/>
        <v/>
      </c>
    </row>
    <row r="59" spans="3:4" ht="15.75" x14ac:dyDescent="0.25">
      <c r="C59" s="46" t="str">
        <f t="shared" si="0"/>
        <v/>
      </c>
      <c r="D59" s="46" t="str">
        <f t="shared" si="1"/>
        <v/>
      </c>
    </row>
    <row r="60" spans="3:4" ht="15.75" x14ac:dyDescent="0.25">
      <c r="C60" s="46" t="str">
        <f t="shared" si="0"/>
        <v/>
      </c>
      <c r="D60" s="46" t="str">
        <f t="shared" si="1"/>
        <v/>
      </c>
    </row>
    <row r="61" spans="3:4" ht="15.75" x14ac:dyDescent="0.25">
      <c r="C61" s="46" t="str">
        <f t="shared" si="0"/>
        <v/>
      </c>
      <c r="D61" s="46" t="str">
        <f t="shared" si="1"/>
        <v/>
      </c>
    </row>
    <row r="62" spans="3:4" ht="15.75" x14ac:dyDescent="0.25">
      <c r="C62" s="46" t="str">
        <f t="shared" si="0"/>
        <v/>
      </c>
      <c r="D62" s="46" t="str">
        <f t="shared" si="1"/>
        <v/>
      </c>
    </row>
    <row r="63" spans="3:4" ht="15.75" x14ac:dyDescent="0.25">
      <c r="C63" s="46" t="str">
        <f t="shared" si="0"/>
        <v/>
      </c>
      <c r="D63" s="46" t="str">
        <f t="shared" si="1"/>
        <v/>
      </c>
    </row>
    <row r="64" spans="3:4" ht="15.75" x14ac:dyDescent="0.25">
      <c r="C64" s="46" t="str">
        <f t="shared" si="0"/>
        <v/>
      </c>
      <c r="D64" s="46" t="str">
        <f t="shared" si="1"/>
        <v/>
      </c>
    </row>
    <row r="65" spans="3:4" ht="15.75" x14ac:dyDescent="0.25">
      <c r="C65" s="46" t="str">
        <f t="shared" si="0"/>
        <v/>
      </c>
      <c r="D65" s="46" t="str">
        <f t="shared" si="1"/>
        <v/>
      </c>
    </row>
    <row r="66" spans="3:4" ht="15.75" x14ac:dyDescent="0.25">
      <c r="C66" s="46" t="str">
        <f t="shared" si="0"/>
        <v/>
      </c>
      <c r="D66" s="46" t="str">
        <f t="shared" si="1"/>
        <v/>
      </c>
    </row>
    <row r="67" spans="3:4" ht="15.75" x14ac:dyDescent="0.25">
      <c r="C67" s="46" t="str">
        <f t="shared" si="0"/>
        <v/>
      </c>
      <c r="D67" s="46" t="str">
        <f t="shared" si="1"/>
        <v/>
      </c>
    </row>
    <row r="68" spans="3:4" ht="15.75" x14ac:dyDescent="0.25">
      <c r="C68" s="46" t="str">
        <f t="shared" si="0"/>
        <v/>
      </c>
      <c r="D68" s="46" t="str">
        <f t="shared" si="1"/>
        <v/>
      </c>
    </row>
    <row r="69" spans="3:4" ht="15.75" x14ac:dyDescent="0.25">
      <c r="C69" s="46" t="str">
        <f t="shared" si="0"/>
        <v/>
      </c>
      <c r="D69" s="46" t="str">
        <f t="shared" si="1"/>
        <v/>
      </c>
    </row>
    <row r="70" spans="3:4" ht="15.75" x14ac:dyDescent="0.25">
      <c r="C70" s="46" t="str">
        <f t="shared" ref="C70:C133" si="2">IF(COUNTIF(E70:BA70,"YES")=0,"",COUNTIF(E70:BA70,"YES"))</f>
        <v/>
      </c>
      <c r="D70" s="46" t="str">
        <f t="shared" ref="D70:D133" si="3">IF(COUNTIF(E70:BA70,"NO")=0,"",COUNTIF(E70:BA70,"NO"))</f>
        <v/>
      </c>
    </row>
    <row r="71" spans="3:4" ht="15.75" x14ac:dyDescent="0.25">
      <c r="C71" s="46" t="str">
        <f t="shared" si="2"/>
        <v/>
      </c>
      <c r="D71" s="46" t="str">
        <f t="shared" si="3"/>
        <v/>
      </c>
    </row>
    <row r="72" spans="3:4" ht="15.75" x14ac:dyDescent="0.25">
      <c r="C72" s="46" t="str">
        <f t="shared" si="2"/>
        <v/>
      </c>
      <c r="D72" s="46" t="str">
        <f t="shared" si="3"/>
        <v/>
      </c>
    </row>
    <row r="73" spans="3:4" ht="15.75" x14ac:dyDescent="0.25">
      <c r="C73" s="46" t="str">
        <f t="shared" si="2"/>
        <v/>
      </c>
      <c r="D73" s="46" t="str">
        <f t="shared" si="3"/>
        <v/>
      </c>
    </row>
    <row r="74" spans="3:4" ht="15.75" x14ac:dyDescent="0.25">
      <c r="C74" s="46" t="str">
        <f t="shared" si="2"/>
        <v/>
      </c>
      <c r="D74" s="46" t="str">
        <f t="shared" si="3"/>
        <v/>
      </c>
    </row>
    <row r="75" spans="3:4" ht="15.75" x14ac:dyDescent="0.25">
      <c r="C75" s="46" t="str">
        <f t="shared" si="2"/>
        <v/>
      </c>
      <c r="D75" s="46" t="str">
        <f t="shared" si="3"/>
        <v/>
      </c>
    </row>
    <row r="76" spans="3:4" ht="15.75" x14ac:dyDescent="0.25">
      <c r="C76" s="46" t="str">
        <f t="shared" si="2"/>
        <v/>
      </c>
      <c r="D76" s="46" t="str">
        <f t="shared" si="3"/>
        <v/>
      </c>
    </row>
    <row r="77" spans="3:4" ht="15.75" x14ac:dyDescent="0.25">
      <c r="C77" s="46" t="str">
        <f t="shared" si="2"/>
        <v/>
      </c>
      <c r="D77" s="46" t="str">
        <f t="shared" si="3"/>
        <v/>
      </c>
    </row>
    <row r="78" spans="3:4" ht="15.75" x14ac:dyDescent="0.25">
      <c r="C78" s="46" t="str">
        <f t="shared" si="2"/>
        <v/>
      </c>
      <c r="D78" s="46" t="str">
        <f t="shared" si="3"/>
        <v/>
      </c>
    </row>
    <row r="79" spans="3:4" ht="15.75" x14ac:dyDescent="0.25">
      <c r="C79" s="46" t="str">
        <f t="shared" si="2"/>
        <v/>
      </c>
      <c r="D79" s="46" t="str">
        <f t="shared" si="3"/>
        <v/>
      </c>
    </row>
    <row r="80" spans="3:4" ht="15.75" x14ac:dyDescent="0.25">
      <c r="C80" s="46" t="str">
        <f t="shared" si="2"/>
        <v/>
      </c>
      <c r="D80" s="46" t="str">
        <f t="shared" si="3"/>
        <v/>
      </c>
    </row>
    <row r="81" spans="3:4" ht="15.75" x14ac:dyDescent="0.25">
      <c r="C81" s="46" t="str">
        <f t="shared" si="2"/>
        <v/>
      </c>
      <c r="D81" s="46" t="str">
        <f t="shared" si="3"/>
        <v/>
      </c>
    </row>
    <row r="82" spans="3:4" ht="15.75" x14ac:dyDescent="0.25">
      <c r="C82" s="46" t="str">
        <f t="shared" si="2"/>
        <v/>
      </c>
      <c r="D82" s="46" t="str">
        <f t="shared" si="3"/>
        <v/>
      </c>
    </row>
    <row r="83" spans="3:4" ht="15.75" x14ac:dyDescent="0.25">
      <c r="C83" s="46" t="str">
        <f t="shared" si="2"/>
        <v/>
      </c>
      <c r="D83" s="46" t="str">
        <f t="shared" si="3"/>
        <v/>
      </c>
    </row>
    <row r="84" spans="3:4" ht="15.75" x14ac:dyDescent="0.25">
      <c r="C84" s="46" t="str">
        <f t="shared" si="2"/>
        <v/>
      </c>
      <c r="D84" s="46" t="str">
        <f t="shared" si="3"/>
        <v/>
      </c>
    </row>
    <row r="85" spans="3:4" ht="15.75" x14ac:dyDescent="0.25">
      <c r="C85" s="46" t="str">
        <f t="shared" si="2"/>
        <v/>
      </c>
      <c r="D85" s="46" t="str">
        <f t="shared" si="3"/>
        <v/>
      </c>
    </row>
    <row r="86" spans="3:4" ht="15.75" x14ac:dyDescent="0.25">
      <c r="C86" s="46" t="str">
        <f t="shared" si="2"/>
        <v/>
      </c>
      <c r="D86" s="46" t="str">
        <f t="shared" si="3"/>
        <v/>
      </c>
    </row>
    <row r="87" spans="3:4" ht="15.75" x14ac:dyDescent="0.25">
      <c r="C87" s="46" t="str">
        <f t="shared" si="2"/>
        <v/>
      </c>
      <c r="D87" s="46" t="str">
        <f t="shared" si="3"/>
        <v/>
      </c>
    </row>
    <row r="88" spans="3:4" ht="15.75" x14ac:dyDescent="0.25">
      <c r="C88" s="46" t="str">
        <f t="shared" si="2"/>
        <v/>
      </c>
      <c r="D88" s="46" t="str">
        <f t="shared" si="3"/>
        <v/>
      </c>
    </row>
    <row r="89" spans="3:4" ht="15.75" x14ac:dyDescent="0.25">
      <c r="C89" s="46" t="str">
        <f t="shared" si="2"/>
        <v/>
      </c>
      <c r="D89" s="46" t="str">
        <f t="shared" si="3"/>
        <v/>
      </c>
    </row>
    <row r="90" spans="3:4" ht="15.75" x14ac:dyDescent="0.25">
      <c r="C90" s="46" t="str">
        <f t="shared" si="2"/>
        <v/>
      </c>
      <c r="D90" s="46" t="str">
        <f t="shared" si="3"/>
        <v/>
      </c>
    </row>
    <row r="91" spans="3:4" ht="15.75" x14ac:dyDescent="0.25">
      <c r="C91" s="46" t="str">
        <f t="shared" si="2"/>
        <v/>
      </c>
      <c r="D91" s="46" t="str">
        <f t="shared" si="3"/>
        <v/>
      </c>
    </row>
    <row r="92" spans="3:4" ht="15.75" x14ac:dyDescent="0.25">
      <c r="C92" s="46" t="str">
        <f t="shared" si="2"/>
        <v/>
      </c>
      <c r="D92" s="46" t="str">
        <f t="shared" si="3"/>
        <v/>
      </c>
    </row>
    <row r="93" spans="3:4" ht="15.75" x14ac:dyDescent="0.25">
      <c r="C93" s="46" t="str">
        <f t="shared" si="2"/>
        <v/>
      </c>
      <c r="D93" s="46" t="str">
        <f t="shared" si="3"/>
        <v/>
      </c>
    </row>
    <row r="94" spans="3:4" ht="15.75" x14ac:dyDescent="0.25">
      <c r="C94" s="46" t="str">
        <f t="shared" si="2"/>
        <v/>
      </c>
      <c r="D94" s="46" t="str">
        <f t="shared" si="3"/>
        <v/>
      </c>
    </row>
    <row r="95" spans="3:4" ht="15.75" x14ac:dyDescent="0.25">
      <c r="C95" s="46" t="str">
        <f t="shared" si="2"/>
        <v/>
      </c>
      <c r="D95" s="46" t="str">
        <f t="shared" si="3"/>
        <v/>
      </c>
    </row>
    <row r="96" spans="3:4" ht="15.75" x14ac:dyDescent="0.25">
      <c r="C96" s="46" t="str">
        <f t="shared" si="2"/>
        <v/>
      </c>
      <c r="D96" s="46" t="str">
        <f t="shared" si="3"/>
        <v/>
      </c>
    </row>
    <row r="97" spans="3:4" ht="15.75" x14ac:dyDescent="0.25">
      <c r="C97" s="46" t="str">
        <f t="shared" si="2"/>
        <v/>
      </c>
      <c r="D97" s="46" t="str">
        <f t="shared" si="3"/>
        <v/>
      </c>
    </row>
    <row r="98" spans="3:4" ht="15.75" x14ac:dyDescent="0.25">
      <c r="C98" s="46" t="str">
        <f t="shared" si="2"/>
        <v/>
      </c>
      <c r="D98" s="46" t="str">
        <f t="shared" si="3"/>
        <v/>
      </c>
    </row>
    <row r="99" spans="3:4" ht="15.75" x14ac:dyDescent="0.25">
      <c r="C99" s="46" t="str">
        <f t="shared" si="2"/>
        <v/>
      </c>
      <c r="D99" s="46" t="str">
        <f t="shared" si="3"/>
        <v/>
      </c>
    </row>
    <row r="100" spans="3:4" ht="15.75" x14ac:dyDescent="0.25">
      <c r="C100" s="46" t="str">
        <f t="shared" si="2"/>
        <v/>
      </c>
      <c r="D100" s="46" t="str">
        <f t="shared" si="3"/>
        <v/>
      </c>
    </row>
    <row r="101" spans="3:4" ht="15.75" x14ac:dyDescent="0.25">
      <c r="C101" s="46" t="str">
        <f t="shared" si="2"/>
        <v/>
      </c>
      <c r="D101" s="46" t="str">
        <f t="shared" si="3"/>
        <v/>
      </c>
    </row>
    <row r="102" spans="3:4" ht="15.75" x14ac:dyDescent="0.25">
      <c r="C102" s="46" t="str">
        <f t="shared" si="2"/>
        <v/>
      </c>
      <c r="D102" s="46" t="str">
        <f t="shared" si="3"/>
        <v/>
      </c>
    </row>
    <row r="103" spans="3:4" ht="15.75" x14ac:dyDescent="0.25">
      <c r="C103" s="46" t="str">
        <f t="shared" si="2"/>
        <v/>
      </c>
      <c r="D103" s="46" t="str">
        <f t="shared" si="3"/>
        <v/>
      </c>
    </row>
    <row r="104" spans="3:4" ht="15.75" x14ac:dyDescent="0.25">
      <c r="C104" s="46" t="str">
        <f t="shared" si="2"/>
        <v/>
      </c>
      <c r="D104" s="46" t="str">
        <f t="shared" si="3"/>
        <v/>
      </c>
    </row>
    <row r="105" spans="3:4" ht="15.75" x14ac:dyDescent="0.25">
      <c r="C105" s="46" t="str">
        <f t="shared" si="2"/>
        <v/>
      </c>
      <c r="D105" s="46" t="str">
        <f t="shared" si="3"/>
        <v/>
      </c>
    </row>
    <row r="106" spans="3:4" ht="15.75" x14ac:dyDescent="0.25">
      <c r="C106" s="46" t="str">
        <f t="shared" si="2"/>
        <v/>
      </c>
      <c r="D106" s="46" t="str">
        <f t="shared" si="3"/>
        <v/>
      </c>
    </row>
    <row r="107" spans="3:4" ht="15.75" x14ac:dyDescent="0.25">
      <c r="C107" s="46" t="str">
        <f t="shared" si="2"/>
        <v/>
      </c>
      <c r="D107" s="46" t="str">
        <f t="shared" si="3"/>
        <v/>
      </c>
    </row>
    <row r="108" spans="3:4" ht="15.75" x14ac:dyDescent="0.25">
      <c r="C108" s="46" t="str">
        <f t="shared" si="2"/>
        <v/>
      </c>
      <c r="D108" s="46" t="str">
        <f t="shared" si="3"/>
        <v/>
      </c>
    </row>
    <row r="109" spans="3:4" ht="15.75" x14ac:dyDescent="0.25">
      <c r="C109" s="46" t="str">
        <f t="shared" si="2"/>
        <v/>
      </c>
      <c r="D109" s="46" t="str">
        <f t="shared" si="3"/>
        <v/>
      </c>
    </row>
    <row r="110" spans="3:4" ht="15.75" x14ac:dyDescent="0.25">
      <c r="C110" s="46" t="str">
        <f t="shared" si="2"/>
        <v/>
      </c>
      <c r="D110" s="46" t="str">
        <f t="shared" si="3"/>
        <v/>
      </c>
    </row>
    <row r="111" spans="3:4" ht="15.75" x14ac:dyDescent="0.25">
      <c r="C111" s="46" t="str">
        <f t="shared" si="2"/>
        <v/>
      </c>
      <c r="D111" s="46" t="str">
        <f t="shared" si="3"/>
        <v/>
      </c>
    </row>
    <row r="112" spans="3:4" ht="15.75" x14ac:dyDescent="0.25">
      <c r="C112" s="46" t="str">
        <f t="shared" si="2"/>
        <v/>
      </c>
      <c r="D112" s="46" t="str">
        <f t="shared" si="3"/>
        <v/>
      </c>
    </row>
    <row r="113" spans="3:4" ht="15.75" x14ac:dyDescent="0.25">
      <c r="C113" s="46" t="str">
        <f t="shared" si="2"/>
        <v/>
      </c>
      <c r="D113" s="46" t="str">
        <f t="shared" si="3"/>
        <v/>
      </c>
    </row>
    <row r="114" spans="3:4" ht="15.75" x14ac:dyDescent="0.25">
      <c r="C114" s="46" t="str">
        <f t="shared" si="2"/>
        <v/>
      </c>
      <c r="D114" s="46" t="str">
        <f t="shared" si="3"/>
        <v/>
      </c>
    </row>
    <row r="115" spans="3:4" ht="15.75" x14ac:dyDescent="0.25">
      <c r="C115" s="46" t="str">
        <f t="shared" si="2"/>
        <v/>
      </c>
      <c r="D115" s="46" t="str">
        <f t="shared" si="3"/>
        <v/>
      </c>
    </row>
    <row r="116" spans="3:4" ht="15.75" x14ac:dyDescent="0.25">
      <c r="C116" s="46" t="str">
        <f t="shared" si="2"/>
        <v/>
      </c>
      <c r="D116" s="46" t="str">
        <f t="shared" si="3"/>
        <v/>
      </c>
    </row>
    <row r="117" spans="3:4" ht="15.75" x14ac:dyDescent="0.25">
      <c r="C117" s="46" t="str">
        <f t="shared" si="2"/>
        <v/>
      </c>
      <c r="D117" s="46" t="str">
        <f t="shared" si="3"/>
        <v/>
      </c>
    </row>
    <row r="118" spans="3:4" ht="15.75" x14ac:dyDescent="0.25">
      <c r="C118" s="46" t="str">
        <f t="shared" si="2"/>
        <v/>
      </c>
      <c r="D118" s="46" t="str">
        <f t="shared" si="3"/>
        <v/>
      </c>
    </row>
    <row r="119" spans="3:4" ht="15.75" x14ac:dyDescent="0.25">
      <c r="C119" s="46" t="str">
        <f t="shared" si="2"/>
        <v/>
      </c>
      <c r="D119" s="46" t="str">
        <f t="shared" si="3"/>
        <v/>
      </c>
    </row>
    <row r="120" spans="3:4" ht="15.75" x14ac:dyDescent="0.25">
      <c r="C120" s="46" t="str">
        <f t="shared" si="2"/>
        <v/>
      </c>
      <c r="D120" s="46" t="str">
        <f t="shared" si="3"/>
        <v/>
      </c>
    </row>
    <row r="121" spans="3:4" ht="15.75" x14ac:dyDescent="0.25">
      <c r="C121" s="46" t="str">
        <f t="shared" si="2"/>
        <v/>
      </c>
      <c r="D121" s="46" t="str">
        <f t="shared" si="3"/>
        <v/>
      </c>
    </row>
    <row r="122" spans="3:4" ht="15.75" x14ac:dyDescent="0.25">
      <c r="C122" s="46" t="str">
        <f t="shared" si="2"/>
        <v/>
      </c>
      <c r="D122" s="46" t="str">
        <f t="shared" si="3"/>
        <v/>
      </c>
    </row>
    <row r="123" spans="3:4" ht="15.75" x14ac:dyDescent="0.25">
      <c r="C123" s="46" t="str">
        <f t="shared" si="2"/>
        <v/>
      </c>
      <c r="D123" s="46" t="str">
        <f t="shared" si="3"/>
        <v/>
      </c>
    </row>
    <row r="124" spans="3:4" ht="15.75" x14ac:dyDescent="0.25">
      <c r="C124" s="46" t="str">
        <f t="shared" si="2"/>
        <v/>
      </c>
      <c r="D124" s="46" t="str">
        <f t="shared" si="3"/>
        <v/>
      </c>
    </row>
    <row r="125" spans="3:4" ht="15.75" x14ac:dyDescent="0.25">
      <c r="C125" s="46" t="str">
        <f t="shared" si="2"/>
        <v/>
      </c>
      <c r="D125" s="46" t="str">
        <f t="shared" si="3"/>
        <v/>
      </c>
    </row>
    <row r="126" spans="3:4" ht="15.75" x14ac:dyDescent="0.25">
      <c r="C126" s="46" t="str">
        <f t="shared" si="2"/>
        <v/>
      </c>
      <c r="D126" s="46" t="str">
        <f t="shared" si="3"/>
        <v/>
      </c>
    </row>
    <row r="127" spans="3:4" ht="15.75" x14ac:dyDescent="0.25">
      <c r="C127" s="46" t="str">
        <f t="shared" si="2"/>
        <v/>
      </c>
      <c r="D127" s="46" t="str">
        <f t="shared" si="3"/>
        <v/>
      </c>
    </row>
    <row r="128" spans="3:4" ht="15.75" x14ac:dyDescent="0.25">
      <c r="C128" s="46" t="str">
        <f t="shared" si="2"/>
        <v/>
      </c>
      <c r="D128" s="46" t="str">
        <f t="shared" si="3"/>
        <v/>
      </c>
    </row>
    <row r="129" spans="3:4" ht="15.75" x14ac:dyDescent="0.25">
      <c r="C129" s="46" t="str">
        <f t="shared" si="2"/>
        <v/>
      </c>
      <c r="D129" s="46" t="str">
        <f t="shared" si="3"/>
        <v/>
      </c>
    </row>
    <row r="130" spans="3:4" ht="15.75" x14ac:dyDescent="0.25">
      <c r="C130" s="46" t="str">
        <f t="shared" si="2"/>
        <v/>
      </c>
      <c r="D130" s="46" t="str">
        <f t="shared" si="3"/>
        <v/>
      </c>
    </row>
    <row r="131" spans="3:4" ht="15.75" x14ac:dyDescent="0.25">
      <c r="C131" s="46" t="str">
        <f t="shared" si="2"/>
        <v/>
      </c>
      <c r="D131" s="46" t="str">
        <f t="shared" si="3"/>
        <v/>
      </c>
    </row>
    <row r="132" spans="3:4" ht="15.75" x14ac:dyDescent="0.25">
      <c r="C132" s="46" t="str">
        <f t="shared" si="2"/>
        <v/>
      </c>
      <c r="D132" s="46" t="str">
        <f t="shared" si="3"/>
        <v/>
      </c>
    </row>
    <row r="133" spans="3:4" ht="15.75" x14ac:dyDescent="0.25">
      <c r="C133" s="46" t="str">
        <f t="shared" si="2"/>
        <v/>
      </c>
      <c r="D133" s="46" t="str">
        <f t="shared" si="3"/>
        <v/>
      </c>
    </row>
    <row r="134" spans="3:4" ht="15.75" x14ac:dyDescent="0.25">
      <c r="C134" s="46" t="str">
        <f t="shared" ref="C134:C197" si="4">IF(COUNTIF(E134:BA134,"YES")=0,"",COUNTIF(E134:BA134,"YES"))</f>
        <v/>
      </c>
      <c r="D134" s="46" t="str">
        <f t="shared" ref="D134:D197" si="5">IF(COUNTIF(E134:BA134,"NO")=0,"",COUNTIF(E134:BA134,"NO"))</f>
        <v/>
      </c>
    </row>
    <row r="135" spans="3:4" ht="15.75" x14ac:dyDescent="0.25">
      <c r="C135" s="46" t="str">
        <f t="shared" si="4"/>
        <v/>
      </c>
      <c r="D135" s="46" t="str">
        <f t="shared" si="5"/>
        <v/>
      </c>
    </row>
    <row r="136" spans="3:4" ht="15.75" x14ac:dyDescent="0.25">
      <c r="C136" s="46" t="str">
        <f t="shared" si="4"/>
        <v/>
      </c>
      <c r="D136" s="46" t="str">
        <f t="shared" si="5"/>
        <v/>
      </c>
    </row>
    <row r="137" spans="3:4" ht="15.75" x14ac:dyDescent="0.25">
      <c r="C137" s="46" t="str">
        <f t="shared" si="4"/>
        <v/>
      </c>
      <c r="D137" s="46" t="str">
        <f t="shared" si="5"/>
        <v/>
      </c>
    </row>
    <row r="138" spans="3:4" ht="15.75" x14ac:dyDescent="0.25">
      <c r="C138" s="46" t="str">
        <f t="shared" si="4"/>
        <v/>
      </c>
      <c r="D138" s="46" t="str">
        <f t="shared" si="5"/>
        <v/>
      </c>
    </row>
    <row r="139" spans="3:4" ht="15.75" x14ac:dyDescent="0.25">
      <c r="C139" s="46" t="str">
        <f t="shared" si="4"/>
        <v/>
      </c>
      <c r="D139" s="46" t="str">
        <f t="shared" si="5"/>
        <v/>
      </c>
    </row>
    <row r="140" spans="3:4" ht="15.75" x14ac:dyDescent="0.25">
      <c r="C140" s="46" t="str">
        <f t="shared" si="4"/>
        <v/>
      </c>
      <c r="D140" s="46" t="str">
        <f t="shared" si="5"/>
        <v/>
      </c>
    </row>
    <row r="141" spans="3:4" ht="15.75" x14ac:dyDescent="0.25">
      <c r="C141" s="46" t="str">
        <f t="shared" si="4"/>
        <v/>
      </c>
      <c r="D141" s="46" t="str">
        <f t="shared" si="5"/>
        <v/>
      </c>
    </row>
    <row r="142" spans="3:4" ht="15.75" x14ac:dyDescent="0.25">
      <c r="C142" s="46" t="str">
        <f t="shared" si="4"/>
        <v/>
      </c>
      <c r="D142" s="46" t="str">
        <f t="shared" si="5"/>
        <v/>
      </c>
    </row>
    <row r="143" spans="3:4" ht="15.75" x14ac:dyDescent="0.25">
      <c r="C143" s="46" t="str">
        <f t="shared" si="4"/>
        <v/>
      </c>
      <c r="D143" s="46" t="str">
        <f t="shared" si="5"/>
        <v/>
      </c>
    </row>
    <row r="144" spans="3:4" ht="15.75" x14ac:dyDescent="0.25">
      <c r="C144" s="46" t="str">
        <f t="shared" si="4"/>
        <v/>
      </c>
      <c r="D144" s="46" t="str">
        <f t="shared" si="5"/>
        <v/>
      </c>
    </row>
    <row r="145" spans="3:4" ht="15.75" x14ac:dyDescent="0.25">
      <c r="C145" s="46" t="str">
        <f t="shared" si="4"/>
        <v/>
      </c>
      <c r="D145" s="46" t="str">
        <f t="shared" si="5"/>
        <v/>
      </c>
    </row>
    <row r="146" spans="3:4" ht="15.75" x14ac:dyDescent="0.25">
      <c r="C146" s="46" t="str">
        <f t="shared" si="4"/>
        <v/>
      </c>
      <c r="D146" s="46" t="str">
        <f t="shared" si="5"/>
        <v/>
      </c>
    </row>
    <row r="147" spans="3:4" ht="15.75" x14ac:dyDescent="0.25">
      <c r="C147" s="46" t="str">
        <f t="shared" si="4"/>
        <v/>
      </c>
      <c r="D147" s="46" t="str">
        <f t="shared" si="5"/>
        <v/>
      </c>
    </row>
    <row r="148" spans="3:4" ht="15.75" x14ac:dyDescent="0.25">
      <c r="C148" s="46" t="str">
        <f t="shared" si="4"/>
        <v/>
      </c>
      <c r="D148" s="46" t="str">
        <f t="shared" si="5"/>
        <v/>
      </c>
    </row>
    <row r="149" spans="3:4" ht="15.75" x14ac:dyDescent="0.25">
      <c r="C149" s="46" t="str">
        <f t="shared" si="4"/>
        <v/>
      </c>
      <c r="D149" s="46" t="str">
        <f t="shared" si="5"/>
        <v/>
      </c>
    </row>
    <row r="150" spans="3:4" ht="15.75" x14ac:dyDescent="0.25">
      <c r="C150" s="46" t="str">
        <f t="shared" si="4"/>
        <v/>
      </c>
      <c r="D150" s="46" t="str">
        <f t="shared" si="5"/>
        <v/>
      </c>
    </row>
    <row r="151" spans="3:4" ht="15.75" x14ac:dyDescent="0.25">
      <c r="C151" s="46" t="str">
        <f t="shared" si="4"/>
        <v/>
      </c>
      <c r="D151" s="46" t="str">
        <f t="shared" si="5"/>
        <v/>
      </c>
    </row>
    <row r="152" spans="3:4" ht="15.75" x14ac:dyDescent="0.25">
      <c r="C152" s="46" t="str">
        <f t="shared" si="4"/>
        <v/>
      </c>
      <c r="D152" s="46" t="str">
        <f t="shared" si="5"/>
        <v/>
      </c>
    </row>
    <row r="153" spans="3:4" ht="15.75" x14ac:dyDescent="0.25">
      <c r="C153" s="46" t="str">
        <f t="shared" si="4"/>
        <v/>
      </c>
      <c r="D153" s="46" t="str">
        <f t="shared" si="5"/>
        <v/>
      </c>
    </row>
    <row r="154" spans="3:4" ht="15.75" x14ac:dyDescent="0.25">
      <c r="C154" s="46" t="str">
        <f t="shared" si="4"/>
        <v/>
      </c>
      <c r="D154" s="46" t="str">
        <f t="shared" si="5"/>
        <v/>
      </c>
    </row>
    <row r="155" spans="3:4" ht="15.75" x14ac:dyDescent="0.25">
      <c r="C155" s="46" t="str">
        <f t="shared" si="4"/>
        <v/>
      </c>
      <c r="D155" s="46" t="str">
        <f t="shared" si="5"/>
        <v/>
      </c>
    </row>
    <row r="156" spans="3:4" ht="15.75" x14ac:dyDescent="0.25">
      <c r="C156" s="46" t="str">
        <f t="shared" si="4"/>
        <v/>
      </c>
      <c r="D156" s="46" t="str">
        <f t="shared" si="5"/>
        <v/>
      </c>
    </row>
    <row r="157" spans="3:4" ht="15.75" x14ac:dyDescent="0.25">
      <c r="C157" s="46" t="str">
        <f t="shared" si="4"/>
        <v/>
      </c>
      <c r="D157" s="46" t="str">
        <f t="shared" si="5"/>
        <v/>
      </c>
    </row>
    <row r="158" spans="3:4" ht="15.75" x14ac:dyDescent="0.25">
      <c r="C158" s="46" t="str">
        <f t="shared" si="4"/>
        <v/>
      </c>
      <c r="D158" s="46" t="str">
        <f t="shared" si="5"/>
        <v/>
      </c>
    </row>
    <row r="159" spans="3:4" ht="15.75" x14ac:dyDescent="0.25">
      <c r="C159" s="46" t="str">
        <f t="shared" si="4"/>
        <v/>
      </c>
      <c r="D159" s="46" t="str">
        <f t="shared" si="5"/>
        <v/>
      </c>
    </row>
    <row r="160" spans="3:4" ht="15.75" x14ac:dyDescent="0.25">
      <c r="C160" s="46" t="str">
        <f t="shared" si="4"/>
        <v/>
      </c>
      <c r="D160" s="46" t="str">
        <f t="shared" si="5"/>
        <v/>
      </c>
    </row>
    <row r="161" spans="3:4" ht="15.75" x14ac:dyDescent="0.25">
      <c r="C161" s="46" t="str">
        <f t="shared" si="4"/>
        <v/>
      </c>
      <c r="D161" s="46" t="str">
        <f t="shared" si="5"/>
        <v/>
      </c>
    </row>
    <row r="162" spans="3:4" ht="15.75" x14ac:dyDescent="0.25">
      <c r="C162" s="46" t="str">
        <f t="shared" si="4"/>
        <v/>
      </c>
      <c r="D162" s="46" t="str">
        <f t="shared" si="5"/>
        <v/>
      </c>
    </row>
    <row r="163" spans="3:4" ht="15.75" x14ac:dyDescent="0.25">
      <c r="C163" s="46" t="str">
        <f t="shared" si="4"/>
        <v/>
      </c>
      <c r="D163" s="46" t="str">
        <f t="shared" si="5"/>
        <v/>
      </c>
    </row>
    <row r="164" spans="3:4" ht="15.75" x14ac:dyDescent="0.25">
      <c r="C164" s="46" t="str">
        <f t="shared" si="4"/>
        <v/>
      </c>
      <c r="D164" s="46" t="str">
        <f t="shared" si="5"/>
        <v/>
      </c>
    </row>
    <row r="165" spans="3:4" ht="15.75" x14ac:dyDescent="0.25">
      <c r="C165" s="46" t="str">
        <f t="shared" si="4"/>
        <v/>
      </c>
      <c r="D165" s="46" t="str">
        <f t="shared" si="5"/>
        <v/>
      </c>
    </row>
    <row r="166" spans="3:4" ht="15.75" x14ac:dyDescent="0.25">
      <c r="C166" s="46" t="str">
        <f t="shared" si="4"/>
        <v/>
      </c>
      <c r="D166" s="46" t="str">
        <f t="shared" si="5"/>
        <v/>
      </c>
    </row>
    <row r="167" spans="3:4" ht="15.75" x14ac:dyDescent="0.25">
      <c r="C167" s="46" t="str">
        <f t="shared" si="4"/>
        <v/>
      </c>
      <c r="D167" s="46" t="str">
        <f t="shared" si="5"/>
        <v/>
      </c>
    </row>
    <row r="168" spans="3:4" ht="15.75" x14ac:dyDescent="0.25">
      <c r="C168" s="46" t="str">
        <f t="shared" si="4"/>
        <v/>
      </c>
      <c r="D168" s="46" t="str">
        <f t="shared" si="5"/>
        <v/>
      </c>
    </row>
    <row r="169" spans="3:4" ht="15.75" x14ac:dyDescent="0.25">
      <c r="C169" s="46" t="str">
        <f t="shared" si="4"/>
        <v/>
      </c>
      <c r="D169" s="46" t="str">
        <f t="shared" si="5"/>
        <v/>
      </c>
    </row>
    <row r="170" spans="3:4" ht="15.75" x14ac:dyDescent="0.25">
      <c r="C170" s="46" t="str">
        <f t="shared" si="4"/>
        <v/>
      </c>
      <c r="D170" s="46" t="str">
        <f t="shared" si="5"/>
        <v/>
      </c>
    </row>
    <row r="171" spans="3:4" ht="15.75" x14ac:dyDescent="0.25">
      <c r="C171" s="46" t="str">
        <f t="shared" si="4"/>
        <v/>
      </c>
      <c r="D171" s="46" t="str">
        <f t="shared" si="5"/>
        <v/>
      </c>
    </row>
    <row r="172" spans="3:4" ht="15.75" x14ac:dyDescent="0.25">
      <c r="C172" s="46" t="str">
        <f t="shared" si="4"/>
        <v/>
      </c>
      <c r="D172" s="46" t="str">
        <f t="shared" si="5"/>
        <v/>
      </c>
    </row>
    <row r="173" spans="3:4" ht="15.75" x14ac:dyDescent="0.25">
      <c r="C173" s="46" t="str">
        <f t="shared" si="4"/>
        <v/>
      </c>
      <c r="D173" s="46" t="str">
        <f t="shared" si="5"/>
        <v/>
      </c>
    </row>
    <row r="174" spans="3:4" ht="15.75" x14ac:dyDescent="0.25">
      <c r="C174" s="46" t="str">
        <f t="shared" si="4"/>
        <v/>
      </c>
      <c r="D174" s="46" t="str">
        <f t="shared" si="5"/>
        <v/>
      </c>
    </row>
    <row r="175" spans="3:4" ht="15.75" x14ac:dyDescent="0.25">
      <c r="C175" s="46" t="str">
        <f t="shared" si="4"/>
        <v/>
      </c>
      <c r="D175" s="46" t="str">
        <f t="shared" si="5"/>
        <v/>
      </c>
    </row>
    <row r="176" spans="3:4" ht="15.75" x14ac:dyDescent="0.25">
      <c r="C176" s="46" t="str">
        <f t="shared" si="4"/>
        <v/>
      </c>
      <c r="D176" s="46" t="str">
        <f t="shared" si="5"/>
        <v/>
      </c>
    </row>
    <row r="177" spans="3:4" ht="15.75" x14ac:dyDescent="0.25">
      <c r="C177" s="46" t="str">
        <f t="shared" si="4"/>
        <v/>
      </c>
      <c r="D177" s="46" t="str">
        <f t="shared" si="5"/>
        <v/>
      </c>
    </row>
    <row r="178" spans="3:4" ht="15.75" x14ac:dyDescent="0.25">
      <c r="C178" s="46" t="str">
        <f t="shared" si="4"/>
        <v/>
      </c>
      <c r="D178" s="46" t="str">
        <f t="shared" si="5"/>
        <v/>
      </c>
    </row>
    <row r="179" spans="3:4" ht="15.75" x14ac:dyDescent="0.25">
      <c r="C179" s="46" t="str">
        <f t="shared" si="4"/>
        <v/>
      </c>
      <c r="D179" s="46" t="str">
        <f t="shared" si="5"/>
        <v/>
      </c>
    </row>
    <row r="180" spans="3:4" ht="15.75" x14ac:dyDescent="0.25">
      <c r="C180" s="46" t="str">
        <f t="shared" si="4"/>
        <v/>
      </c>
      <c r="D180" s="46" t="str">
        <f t="shared" si="5"/>
        <v/>
      </c>
    </row>
    <row r="181" spans="3:4" ht="15.75" x14ac:dyDescent="0.25">
      <c r="C181" s="46" t="str">
        <f t="shared" si="4"/>
        <v/>
      </c>
      <c r="D181" s="46" t="str">
        <f t="shared" si="5"/>
        <v/>
      </c>
    </row>
    <row r="182" spans="3:4" ht="15.75" x14ac:dyDescent="0.25">
      <c r="C182" s="46" t="str">
        <f t="shared" si="4"/>
        <v/>
      </c>
      <c r="D182" s="46" t="str">
        <f t="shared" si="5"/>
        <v/>
      </c>
    </row>
    <row r="183" spans="3:4" ht="15.75" x14ac:dyDescent="0.25">
      <c r="C183" s="46" t="str">
        <f t="shared" si="4"/>
        <v/>
      </c>
      <c r="D183" s="46" t="str">
        <f t="shared" si="5"/>
        <v/>
      </c>
    </row>
    <row r="184" spans="3:4" ht="15.75" x14ac:dyDescent="0.25">
      <c r="C184" s="46" t="str">
        <f t="shared" si="4"/>
        <v/>
      </c>
      <c r="D184" s="46" t="str">
        <f t="shared" si="5"/>
        <v/>
      </c>
    </row>
    <row r="185" spans="3:4" ht="15.75" x14ac:dyDescent="0.25">
      <c r="C185" s="46" t="str">
        <f t="shared" si="4"/>
        <v/>
      </c>
      <c r="D185" s="46" t="str">
        <f t="shared" si="5"/>
        <v/>
      </c>
    </row>
    <row r="186" spans="3:4" ht="15.75" x14ac:dyDescent="0.25">
      <c r="C186" s="46" t="str">
        <f t="shared" si="4"/>
        <v/>
      </c>
      <c r="D186" s="46" t="str">
        <f t="shared" si="5"/>
        <v/>
      </c>
    </row>
    <row r="187" spans="3:4" ht="15.75" x14ac:dyDescent="0.25">
      <c r="C187" s="46" t="str">
        <f t="shared" si="4"/>
        <v/>
      </c>
      <c r="D187" s="46" t="str">
        <f t="shared" si="5"/>
        <v/>
      </c>
    </row>
    <row r="188" spans="3:4" ht="15.75" x14ac:dyDescent="0.25">
      <c r="C188" s="46" t="str">
        <f t="shared" si="4"/>
        <v/>
      </c>
      <c r="D188" s="46" t="str">
        <f t="shared" si="5"/>
        <v/>
      </c>
    </row>
    <row r="189" spans="3:4" ht="15.75" x14ac:dyDescent="0.25">
      <c r="C189" s="46" t="str">
        <f t="shared" si="4"/>
        <v/>
      </c>
      <c r="D189" s="46" t="str">
        <f t="shared" si="5"/>
        <v/>
      </c>
    </row>
    <row r="190" spans="3:4" ht="15.75" x14ac:dyDescent="0.25">
      <c r="C190" s="46" t="str">
        <f t="shared" si="4"/>
        <v/>
      </c>
      <c r="D190" s="46" t="str">
        <f t="shared" si="5"/>
        <v/>
      </c>
    </row>
    <row r="191" spans="3:4" ht="15.75" x14ac:dyDescent="0.25">
      <c r="C191" s="46" t="str">
        <f t="shared" si="4"/>
        <v/>
      </c>
      <c r="D191" s="46" t="str">
        <f t="shared" si="5"/>
        <v/>
      </c>
    </row>
    <row r="192" spans="3:4" ht="15.75" x14ac:dyDescent="0.25">
      <c r="C192" s="46" t="str">
        <f t="shared" si="4"/>
        <v/>
      </c>
      <c r="D192" s="46" t="str">
        <f t="shared" si="5"/>
        <v/>
      </c>
    </row>
    <row r="193" spans="3:4" ht="15.75" x14ac:dyDescent="0.25">
      <c r="C193" s="46" t="str">
        <f t="shared" si="4"/>
        <v/>
      </c>
      <c r="D193" s="46" t="str">
        <f t="shared" si="5"/>
        <v/>
      </c>
    </row>
    <row r="194" spans="3:4" ht="15.75" x14ac:dyDescent="0.25">
      <c r="C194" s="46" t="str">
        <f t="shared" si="4"/>
        <v/>
      </c>
      <c r="D194" s="46" t="str">
        <f t="shared" si="5"/>
        <v/>
      </c>
    </row>
    <row r="195" spans="3:4" ht="15.75" x14ac:dyDescent="0.25">
      <c r="C195" s="46" t="str">
        <f t="shared" si="4"/>
        <v/>
      </c>
      <c r="D195" s="46" t="str">
        <f t="shared" si="5"/>
        <v/>
      </c>
    </row>
    <row r="196" spans="3:4" ht="15.75" x14ac:dyDescent="0.25">
      <c r="C196" s="46" t="str">
        <f t="shared" si="4"/>
        <v/>
      </c>
      <c r="D196" s="46" t="str">
        <f t="shared" si="5"/>
        <v/>
      </c>
    </row>
    <row r="197" spans="3:4" ht="15.75" x14ac:dyDescent="0.25">
      <c r="C197" s="46" t="str">
        <f t="shared" si="4"/>
        <v/>
      </c>
      <c r="D197" s="46" t="str">
        <f t="shared" si="5"/>
        <v/>
      </c>
    </row>
    <row r="198" spans="3:4" ht="15.75" x14ac:dyDescent="0.25">
      <c r="C198" s="46" t="str">
        <f t="shared" ref="C198:C261" si="6">IF(COUNTIF(E198:BA198,"YES")=0,"",COUNTIF(E198:BA198,"YES"))</f>
        <v/>
      </c>
      <c r="D198" s="46" t="str">
        <f t="shared" ref="D198:D261" si="7">IF(COUNTIF(E198:BA198,"NO")=0,"",COUNTIF(E198:BA198,"NO"))</f>
        <v/>
      </c>
    </row>
    <row r="199" spans="3:4" ht="15.75" x14ac:dyDescent="0.25">
      <c r="C199" s="46" t="str">
        <f t="shared" si="6"/>
        <v/>
      </c>
      <c r="D199" s="46" t="str">
        <f t="shared" si="7"/>
        <v/>
      </c>
    </row>
    <row r="200" spans="3:4" ht="15.75" x14ac:dyDescent="0.25">
      <c r="C200" s="46" t="str">
        <f t="shared" si="6"/>
        <v/>
      </c>
      <c r="D200" s="46" t="str">
        <f t="shared" si="7"/>
        <v/>
      </c>
    </row>
    <row r="201" spans="3:4" ht="15.75" x14ac:dyDescent="0.25">
      <c r="C201" s="46" t="str">
        <f t="shared" si="6"/>
        <v/>
      </c>
      <c r="D201" s="46" t="str">
        <f t="shared" si="7"/>
        <v/>
      </c>
    </row>
    <row r="202" spans="3:4" ht="15.75" x14ac:dyDescent="0.25">
      <c r="C202" s="46" t="str">
        <f t="shared" si="6"/>
        <v/>
      </c>
      <c r="D202" s="46" t="str">
        <f t="shared" si="7"/>
        <v/>
      </c>
    </row>
    <row r="203" spans="3:4" ht="15.75" x14ac:dyDescent="0.25">
      <c r="C203" s="46" t="str">
        <f t="shared" si="6"/>
        <v/>
      </c>
      <c r="D203" s="46" t="str">
        <f t="shared" si="7"/>
        <v/>
      </c>
    </row>
    <row r="204" spans="3:4" ht="15.75" x14ac:dyDescent="0.25">
      <c r="C204" s="46" t="str">
        <f t="shared" si="6"/>
        <v/>
      </c>
      <c r="D204" s="46" t="str">
        <f t="shared" si="7"/>
        <v/>
      </c>
    </row>
    <row r="205" spans="3:4" ht="15.75" x14ac:dyDescent="0.25">
      <c r="C205" s="46" t="str">
        <f t="shared" si="6"/>
        <v/>
      </c>
      <c r="D205" s="46" t="str">
        <f t="shared" si="7"/>
        <v/>
      </c>
    </row>
    <row r="206" spans="3:4" ht="15.75" x14ac:dyDescent="0.25">
      <c r="C206" s="46" t="str">
        <f t="shared" si="6"/>
        <v/>
      </c>
      <c r="D206" s="46" t="str">
        <f t="shared" si="7"/>
        <v/>
      </c>
    </row>
    <row r="207" spans="3:4" ht="15.75" x14ac:dyDescent="0.25">
      <c r="C207" s="46" t="str">
        <f t="shared" si="6"/>
        <v/>
      </c>
      <c r="D207" s="46" t="str">
        <f t="shared" si="7"/>
        <v/>
      </c>
    </row>
    <row r="208" spans="3:4" ht="15.75" x14ac:dyDescent="0.25">
      <c r="C208" s="46" t="str">
        <f t="shared" si="6"/>
        <v/>
      </c>
      <c r="D208" s="46" t="str">
        <f t="shared" si="7"/>
        <v/>
      </c>
    </row>
    <row r="209" spans="3:4" ht="15.75" x14ac:dyDescent="0.25">
      <c r="C209" s="46" t="str">
        <f t="shared" si="6"/>
        <v/>
      </c>
      <c r="D209" s="46" t="str">
        <f t="shared" si="7"/>
        <v/>
      </c>
    </row>
    <row r="210" spans="3:4" ht="15.75" x14ac:dyDescent="0.25">
      <c r="C210" s="46" t="str">
        <f t="shared" si="6"/>
        <v/>
      </c>
      <c r="D210" s="46" t="str">
        <f t="shared" si="7"/>
        <v/>
      </c>
    </row>
    <row r="211" spans="3:4" ht="15.75" x14ac:dyDescent="0.25">
      <c r="C211" s="46" t="str">
        <f t="shared" si="6"/>
        <v/>
      </c>
      <c r="D211" s="46" t="str">
        <f t="shared" si="7"/>
        <v/>
      </c>
    </row>
    <row r="212" spans="3:4" ht="15.75" x14ac:dyDescent="0.25">
      <c r="C212" s="46" t="str">
        <f t="shared" si="6"/>
        <v/>
      </c>
      <c r="D212" s="46" t="str">
        <f t="shared" si="7"/>
        <v/>
      </c>
    </row>
    <row r="213" spans="3:4" ht="15.75" x14ac:dyDescent="0.25">
      <c r="C213" s="46" t="str">
        <f t="shared" si="6"/>
        <v/>
      </c>
      <c r="D213" s="46" t="str">
        <f t="shared" si="7"/>
        <v/>
      </c>
    </row>
    <row r="214" spans="3:4" ht="15.75" x14ac:dyDescent="0.25">
      <c r="C214" s="46" t="str">
        <f t="shared" si="6"/>
        <v/>
      </c>
      <c r="D214" s="46" t="str">
        <f t="shared" si="7"/>
        <v/>
      </c>
    </row>
    <row r="215" spans="3:4" ht="15.75" x14ac:dyDescent="0.25">
      <c r="C215" s="46" t="str">
        <f t="shared" si="6"/>
        <v/>
      </c>
      <c r="D215" s="46" t="str">
        <f t="shared" si="7"/>
        <v/>
      </c>
    </row>
    <row r="216" spans="3:4" ht="15.75" x14ac:dyDescent="0.25">
      <c r="C216" s="46" t="str">
        <f t="shared" si="6"/>
        <v/>
      </c>
      <c r="D216" s="46" t="str">
        <f t="shared" si="7"/>
        <v/>
      </c>
    </row>
    <row r="217" spans="3:4" ht="15.75" x14ac:dyDescent="0.25">
      <c r="C217" s="46" t="str">
        <f t="shared" si="6"/>
        <v/>
      </c>
      <c r="D217" s="46" t="str">
        <f t="shared" si="7"/>
        <v/>
      </c>
    </row>
    <row r="218" spans="3:4" ht="15.75" x14ac:dyDescent="0.25">
      <c r="C218" s="46" t="str">
        <f t="shared" si="6"/>
        <v/>
      </c>
      <c r="D218" s="46" t="str">
        <f t="shared" si="7"/>
        <v/>
      </c>
    </row>
    <row r="219" spans="3:4" ht="15.75" x14ac:dyDescent="0.25">
      <c r="C219" s="46" t="str">
        <f t="shared" si="6"/>
        <v/>
      </c>
      <c r="D219" s="46" t="str">
        <f t="shared" si="7"/>
        <v/>
      </c>
    </row>
    <row r="220" spans="3:4" ht="15.75" x14ac:dyDescent="0.25">
      <c r="C220" s="46" t="str">
        <f t="shared" si="6"/>
        <v/>
      </c>
      <c r="D220" s="46" t="str">
        <f t="shared" si="7"/>
        <v/>
      </c>
    </row>
    <row r="221" spans="3:4" ht="15.75" x14ac:dyDescent="0.25">
      <c r="C221" s="46" t="str">
        <f t="shared" si="6"/>
        <v/>
      </c>
      <c r="D221" s="46" t="str">
        <f t="shared" si="7"/>
        <v/>
      </c>
    </row>
    <row r="222" spans="3:4" ht="15.75" x14ac:dyDescent="0.25">
      <c r="C222" s="46" t="str">
        <f t="shared" si="6"/>
        <v/>
      </c>
      <c r="D222" s="46" t="str">
        <f t="shared" si="7"/>
        <v/>
      </c>
    </row>
    <row r="223" spans="3:4" ht="15.75" x14ac:dyDescent="0.25">
      <c r="C223" s="46" t="str">
        <f t="shared" si="6"/>
        <v/>
      </c>
      <c r="D223" s="46" t="str">
        <f t="shared" si="7"/>
        <v/>
      </c>
    </row>
    <row r="224" spans="3:4" ht="15.75" x14ac:dyDescent="0.25">
      <c r="C224" s="46" t="str">
        <f t="shared" si="6"/>
        <v/>
      </c>
      <c r="D224" s="46" t="str">
        <f t="shared" si="7"/>
        <v/>
      </c>
    </row>
    <row r="225" spans="3:4" ht="15.75" x14ac:dyDescent="0.25">
      <c r="C225" s="46" t="str">
        <f t="shared" si="6"/>
        <v/>
      </c>
      <c r="D225" s="46" t="str">
        <f t="shared" si="7"/>
        <v/>
      </c>
    </row>
    <row r="226" spans="3:4" ht="15.75" x14ac:dyDescent="0.25">
      <c r="C226" s="46" t="str">
        <f t="shared" si="6"/>
        <v/>
      </c>
      <c r="D226" s="46" t="str">
        <f t="shared" si="7"/>
        <v/>
      </c>
    </row>
    <row r="227" spans="3:4" ht="15.75" x14ac:dyDescent="0.25">
      <c r="C227" s="46" t="str">
        <f t="shared" si="6"/>
        <v/>
      </c>
      <c r="D227" s="46" t="str">
        <f t="shared" si="7"/>
        <v/>
      </c>
    </row>
    <row r="228" spans="3:4" ht="15.75" x14ac:dyDescent="0.25">
      <c r="C228" s="46" t="str">
        <f t="shared" si="6"/>
        <v/>
      </c>
      <c r="D228" s="46" t="str">
        <f t="shared" si="7"/>
        <v/>
      </c>
    </row>
    <row r="229" spans="3:4" ht="15.75" x14ac:dyDescent="0.25">
      <c r="C229" s="46" t="str">
        <f t="shared" si="6"/>
        <v/>
      </c>
      <c r="D229" s="46" t="str">
        <f t="shared" si="7"/>
        <v/>
      </c>
    </row>
    <row r="230" spans="3:4" ht="15.75" x14ac:dyDescent="0.25">
      <c r="C230" s="46" t="str">
        <f t="shared" si="6"/>
        <v/>
      </c>
      <c r="D230" s="46" t="str">
        <f t="shared" si="7"/>
        <v/>
      </c>
    </row>
    <row r="231" spans="3:4" ht="15.75" x14ac:dyDescent="0.25">
      <c r="C231" s="46" t="str">
        <f t="shared" si="6"/>
        <v/>
      </c>
      <c r="D231" s="46" t="str">
        <f t="shared" si="7"/>
        <v/>
      </c>
    </row>
    <row r="232" spans="3:4" ht="15.75" x14ac:dyDescent="0.25">
      <c r="C232" s="46" t="str">
        <f t="shared" si="6"/>
        <v/>
      </c>
      <c r="D232" s="46" t="str">
        <f t="shared" si="7"/>
        <v/>
      </c>
    </row>
    <row r="233" spans="3:4" ht="15.75" x14ac:dyDescent="0.25">
      <c r="C233" s="46" t="str">
        <f t="shared" si="6"/>
        <v/>
      </c>
      <c r="D233" s="46" t="str">
        <f t="shared" si="7"/>
        <v/>
      </c>
    </row>
    <row r="234" spans="3:4" ht="15.75" x14ac:dyDescent="0.25">
      <c r="C234" s="46" t="str">
        <f t="shared" si="6"/>
        <v/>
      </c>
      <c r="D234" s="46" t="str">
        <f t="shared" si="7"/>
        <v/>
      </c>
    </row>
    <row r="235" spans="3:4" ht="15.75" x14ac:dyDescent="0.25">
      <c r="C235" s="46" t="str">
        <f t="shared" si="6"/>
        <v/>
      </c>
      <c r="D235" s="46" t="str">
        <f t="shared" si="7"/>
        <v/>
      </c>
    </row>
    <row r="236" spans="3:4" ht="15.75" x14ac:dyDescent="0.25">
      <c r="C236" s="46" t="str">
        <f t="shared" si="6"/>
        <v/>
      </c>
      <c r="D236" s="46" t="str">
        <f t="shared" si="7"/>
        <v/>
      </c>
    </row>
    <row r="237" spans="3:4" ht="15.75" x14ac:dyDescent="0.25">
      <c r="C237" s="46" t="str">
        <f t="shared" si="6"/>
        <v/>
      </c>
      <c r="D237" s="46" t="str">
        <f t="shared" si="7"/>
        <v/>
      </c>
    </row>
    <row r="238" spans="3:4" ht="15.75" x14ac:dyDescent="0.25">
      <c r="C238" s="46" t="str">
        <f t="shared" si="6"/>
        <v/>
      </c>
      <c r="D238" s="46" t="str">
        <f t="shared" si="7"/>
        <v/>
      </c>
    </row>
    <row r="239" spans="3:4" ht="15.75" x14ac:dyDescent="0.25">
      <c r="C239" s="46" t="str">
        <f t="shared" si="6"/>
        <v/>
      </c>
      <c r="D239" s="46" t="str">
        <f t="shared" si="7"/>
        <v/>
      </c>
    </row>
    <row r="240" spans="3:4" ht="15.75" x14ac:dyDescent="0.25">
      <c r="C240" s="46" t="str">
        <f t="shared" si="6"/>
        <v/>
      </c>
      <c r="D240" s="46" t="str">
        <f t="shared" si="7"/>
        <v/>
      </c>
    </row>
    <row r="241" spans="3:4" ht="15.75" x14ac:dyDescent="0.25">
      <c r="C241" s="46" t="str">
        <f t="shared" si="6"/>
        <v/>
      </c>
      <c r="D241" s="46" t="str">
        <f t="shared" si="7"/>
        <v/>
      </c>
    </row>
    <row r="242" spans="3:4" ht="15.75" x14ac:dyDescent="0.25">
      <c r="C242" s="46" t="str">
        <f t="shared" si="6"/>
        <v/>
      </c>
      <c r="D242" s="46" t="str">
        <f t="shared" si="7"/>
        <v/>
      </c>
    </row>
    <row r="243" spans="3:4" ht="15.75" x14ac:dyDescent="0.25">
      <c r="C243" s="46" t="str">
        <f t="shared" si="6"/>
        <v/>
      </c>
      <c r="D243" s="46" t="str">
        <f t="shared" si="7"/>
        <v/>
      </c>
    </row>
    <row r="244" spans="3:4" ht="15.75" x14ac:dyDescent="0.25">
      <c r="C244" s="46" t="str">
        <f t="shared" si="6"/>
        <v/>
      </c>
      <c r="D244" s="46" t="str">
        <f t="shared" si="7"/>
        <v/>
      </c>
    </row>
    <row r="245" spans="3:4" ht="15.75" x14ac:dyDescent="0.25">
      <c r="C245" s="46" t="str">
        <f t="shared" si="6"/>
        <v/>
      </c>
      <c r="D245" s="46" t="str">
        <f t="shared" si="7"/>
        <v/>
      </c>
    </row>
    <row r="246" spans="3:4" ht="15.75" x14ac:dyDescent="0.25">
      <c r="C246" s="46" t="str">
        <f t="shared" si="6"/>
        <v/>
      </c>
      <c r="D246" s="46" t="str">
        <f t="shared" si="7"/>
        <v/>
      </c>
    </row>
    <row r="247" spans="3:4" ht="15.75" x14ac:dyDescent="0.25">
      <c r="C247" s="46" t="str">
        <f t="shared" si="6"/>
        <v/>
      </c>
      <c r="D247" s="46" t="str">
        <f t="shared" si="7"/>
        <v/>
      </c>
    </row>
    <row r="248" spans="3:4" ht="15.75" x14ac:dyDescent="0.25">
      <c r="C248" s="46" t="str">
        <f t="shared" si="6"/>
        <v/>
      </c>
      <c r="D248" s="46" t="str">
        <f t="shared" si="7"/>
        <v/>
      </c>
    </row>
    <row r="249" spans="3:4" ht="15.75" x14ac:dyDescent="0.25">
      <c r="C249" s="46" t="str">
        <f t="shared" si="6"/>
        <v/>
      </c>
      <c r="D249" s="46" t="str">
        <f t="shared" si="7"/>
        <v/>
      </c>
    </row>
    <row r="250" spans="3:4" ht="15.75" x14ac:dyDescent="0.25">
      <c r="C250" s="46" t="str">
        <f t="shared" si="6"/>
        <v/>
      </c>
      <c r="D250" s="46" t="str">
        <f t="shared" si="7"/>
        <v/>
      </c>
    </row>
    <row r="251" spans="3:4" ht="15.75" x14ac:dyDescent="0.25">
      <c r="C251" s="46" t="str">
        <f t="shared" si="6"/>
        <v/>
      </c>
      <c r="D251" s="46" t="str">
        <f t="shared" si="7"/>
        <v/>
      </c>
    </row>
    <row r="252" spans="3:4" ht="15.75" x14ac:dyDescent="0.25">
      <c r="C252" s="46" t="str">
        <f t="shared" si="6"/>
        <v/>
      </c>
      <c r="D252" s="46" t="str">
        <f t="shared" si="7"/>
        <v/>
      </c>
    </row>
    <row r="253" spans="3:4" ht="15.75" x14ac:dyDescent="0.25">
      <c r="C253" s="46" t="str">
        <f t="shared" si="6"/>
        <v/>
      </c>
      <c r="D253" s="46" t="str">
        <f t="shared" si="7"/>
        <v/>
      </c>
    </row>
    <row r="254" spans="3:4" ht="15.75" x14ac:dyDescent="0.25">
      <c r="C254" s="46" t="str">
        <f t="shared" si="6"/>
        <v/>
      </c>
      <c r="D254" s="46" t="str">
        <f t="shared" si="7"/>
        <v/>
      </c>
    </row>
    <row r="255" spans="3:4" ht="15.75" x14ac:dyDescent="0.25">
      <c r="C255" s="46" t="str">
        <f t="shared" si="6"/>
        <v/>
      </c>
      <c r="D255" s="46" t="str">
        <f t="shared" si="7"/>
        <v/>
      </c>
    </row>
    <row r="256" spans="3:4" ht="15.75" x14ac:dyDescent="0.25">
      <c r="C256" s="46" t="str">
        <f t="shared" si="6"/>
        <v/>
      </c>
      <c r="D256" s="46" t="str">
        <f t="shared" si="7"/>
        <v/>
      </c>
    </row>
    <row r="257" spans="3:4" ht="15.75" x14ac:dyDescent="0.25">
      <c r="C257" s="46" t="str">
        <f t="shared" si="6"/>
        <v/>
      </c>
      <c r="D257" s="46" t="str">
        <f t="shared" si="7"/>
        <v/>
      </c>
    </row>
    <row r="258" spans="3:4" ht="15.75" x14ac:dyDescent="0.25">
      <c r="C258" s="46" t="str">
        <f t="shared" si="6"/>
        <v/>
      </c>
      <c r="D258" s="46" t="str">
        <f t="shared" si="7"/>
        <v/>
      </c>
    </row>
    <row r="259" spans="3:4" ht="15.75" x14ac:dyDescent="0.25">
      <c r="C259" s="46" t="str">
        <f t="shared" si="6"/>
        <v/>
      </c>
      <c r="D259" s="46" t="str">
        <f t="shared" si="7"/>
        <v/>
      </c>
    </row>
    <row r="260" spans="3:4" ht="15.75" x14ac:dyDescent="0.25">
      <c r="C260" s="46" t="str">
        <f t="shared" si="6"/>
        <v/>
      </c>
      <c r="D260" s="46" t="str">
        <f t="shared" si="7"/>
        <v/>
      </c>
    </row>
    <row r="261" spans="3:4" ht="15.75" x14ac:dyDescent="0.25">
      <c r="C261" s="46" t="str">
        <f t="shared" si="6"/>
        <v/>
      </c>
      <c r="D261" s="46" t="str">
        <f t="shared" si="7"/>
        <v/>
      </c>
    </row>
    <row r="262" spans="3:4" ht="15.75" x14ac:dyDescent="0.25">
      <c r="C262" s="46" t="str">
        <f t="shared" ref="C262:C323" si="8">IF(COUNTIF(E262:BA262,"YES")=0,"",COUNTIF(E262:BA262,"YES"))</f>
        <v/>
      </c>
      <c r="D262" s="46" t="str">
        <f t="shared" ref="D262:D323" si="9">IF(COUNTIF(E262:BA262,"NO")=0,"",COUNTIF(E262:BA262,"NO"))</f>
        <v/>
      </c>
    </row>
    <row r="263" spans="3:4" ht="15.75" x14ac:dyDescent="0.25">
      <c r="C263" s="46" t="str">
        <f t="shared" si="8"/>
        <v/>
      </c>
      <c r="D263" s="46" t="str">
        <f t="shared" si="9"/>
        <v/>
      </c>
    </row>
    <row r="264" spans="3:4" ht="15.75" x14ac:dyDescent="0.25">
      <c r="C264" s="46" t="str">
        <f t="shared" si="8"/>
        <v/>
      </c>
      <c r="D264" s="46" t="str">
        <f t="shared" si="9"/>
        <v/>
      </c>
    </row>
    <row r="265" spans="3:4" ht="15.75" x14ac:dyDescent="0.25">
      <c r="C265" s="46" t="str">
        <f t="shared" si="8"/>
        <v/>
      </c>
      <c r="D265" s="46" t="str">
        <f t="shared" si="9"/>
        <v/>
      </c>
    </row>
    <row r="266" spans="3:4" ht="15.75" x14ac:dyDescent="0.25">
      <c r="C266" s="46" t="str">
        <f t="shared" si="8"/>
        <v/>
      </c>
      <c r="D266" s="46" t="str">
        <f t="shared" si="9"/>
        <v/>
      </c>
    </row>
    <row r="267" spans="3:4" ht="15.75" x14ac:dyDescent="0.25">
      <c r="C267" s="46" t="str">
        <f t="shared" si="8"/>
        <v/>
      </c>
      <c r="D267" s="46" t="str">
        <f t="shared" si="9"/>
        <v/>
      </c>
    </row>
    <row r="268" spans="3:4" ht="15.75" x14ac:dyDescent="0.25">
      <c r="C268" s="46" t="str">
        <f t="shared" si="8"/>
        <v/>
      </c>
      <c r="D268" s="46" t="str">
        <f t="shared" si="9"/>
        <v/>
      </c>
    </row>
    <row r="269" spans="3:4" ht="15.75" x14ac:dyDescent="0.25">
      <c r="C269" s="46" t="str">
        <f t="shared" si="8"/>
        <v/>
      </c>
      <c r="D269" s="46" t="str">
        <f t="shared" si="9"/>
        <v/>
      </c>
    </row>
    <row r="270" spans="3:4" ht="15.75" x14ac:dyDescent="0.25">
      <c r="C270" s="46" t="str">
        <f t="shared" si="8"/>
        <v/>
      </c>
      <c r="D270" s="46" t="str">
        <f t="shared" si="9"/>
        <v/>
      </c>
    </row>
    <row r="271" spans="3:4" ht="15.75" x14ac:dyDescent="0.25">
      <c r="C271" s="46" t="str">
        <f t="shared" si="8"/>
        <v/>
      </c>
      <c r="D271" s="46" t="str">
        <f t="shared" si="9"/>
        <v/>
      </c>
    </row>
    <row r="272" spans="3:4" ht="15.75" x14ac:dyDescent="0.25">
      <c r="C272" s="46" t="str">
        <f t="shared" si="8"/>
        <v/>
      </c>
      <c r="D272" s="46" t="str">
        <f t="shared" si="9"/>
        <v/>
      </c>
    </row>
    <row r="273" spans="3:4" ht="15.75" x14ac:dyDescent="0.25">
      <c r="C273" s="46" t="str">
        <f t="shared" si="8"/>
        <v/>
      </c>
      <c r="D273" s="46" t="str">
        <f t="shared" si="9"/>
        <v/>
      </c>
    </row>
    <row r="274" spans="3:4" ht="15.75" x14ac:dyDescent="0.25">
      <c r="C274" s="46" t="str">
        <f t="shared" si="8"/>
        <v/>
      </c>
      <c r="D274" s="46" t="str">
        <f t="shared" si="9"/>
        <v/>
      </c>
    </row>
    <row r="275" spans="3:4" ht="15.75" x14ac:dyDescent="0.25">
      <c r="C275" s="46" t="str">
        <f t="shared" si="8"/>
        <v/>
      </c>
      <c r="D275" s="46" t="str">
        <f t="shared" si="9"/>
        <v/>
      </c>
    </row>
    <row r="276" spans="3:4" ht="15.75" x14ac:dyDescent="0.25">
      <c r="C276" s="46" t="str">
        <f t="shared" si="8"/>
        <v/>
      </c>
      <c r="D276" s="46" t="str">
        <f t="shared" si="9"/>
        <v/>
      </c>
    </row>
    <row r="277" spans="3:4" ht="15.75" x14ac:dyDescent="0.25">
      <c r="C277" s="46" t="str">
        <f t="shared" si="8"/>
        <v/>
      </c>
      <c r="D277" s="46" t="str">
        <f t="shared" si="9"/>
        <v/>
      </c>
    </row>
    <row r="278" spans="3:4" ht="15.75" x14ac:dyDescent="0.25">
      <c r="C278" s="46" t="str">
        <f t="shared" si="8"/>
        <v/>
      </c>
      <c r="D278" s="46" t="str">
        <f t="shared" si="9"/>
        <v/>
      </c>
    </row>
    <row r="279" spans="3:4" ht="15.75" x14ac:dyDescent="0.25">
      <c r="C279" s="46" t="str">
        <f t="shared" si="8"/>
        <v/>
      </c>
      <c r="D279" s="46" t="str">
        <f t="shared" si="9"/>
        <v/>
      </c>
    </row>
    <row r="280" spans="3:4" ht="15.75" x14ac:dyDescent="0.25">
      <c r="C280" s="46" t="str">
        <f t="shared" si="8"/>
        <v/>
      </c>
      <c r="D280" s="46" t="str">
        <f t="shared" si="9"/>
        <v/>
      </c>
    </row>
    <row r="281" spans="3:4" ht="15.75" x14ac:dyDescent="0.25">
      <c r="C281" s="46" t="str">
        <f t="shared" si="8"/>
        <v/>
      </c>
      <c r="D281" s="46" t="str">
        <f t="shared" si="9"/>
        <v/>
      </c>
    </row>
    <row r="282" spans="3:4" ht="15.75" x14ac:dyDescent="0.25">
      <c r="C282" s="46" t="str">
        <f t="shared" si="8"/>
        <v/>
      </c>
      <c r="D282" s="46" t="str">
        <f t="shared" si="9"/>
        <v/>
      </c>
    </row>
    <row r="283" spans="3:4" ht="15.75" x14ac:dyDescent="0.25">
      <c r="C283" s="46" t="str">
        <f t="shared" si="8"/>
        <v/>
      </c>
      <c r="D283" s="46" t="str">
        <f t="shared" si="9"/>
        <v/>
      </c>
    </row>
    <row r="284" spans="3:4" ht="15.75" x14ac:dyDescent="0.25">
      <c r="C284" s="46" t="str">
        <f t="shared" si="8"/>
        <v/>
      </c>
      <c r="D284" s="46" t="str">
        <f t="shared" si="9"/>
        <v/>
      </c>
    </row>
    <row r="285" spans="3:4" ht="15.75" x14ac:dyDescent="0.25">
      <c r="C285" s="46" t="str">
        <f t="shared" si="8"/>
        <v/>
      </c>
      <c r="D285" s="46" t="str">
        <f t="shared" si="9"/>
        <v/>
      </c>
    </row>
    <row r="286" spans="3:4" ht="15.75" x14ac:dyDescent="0.25">
      <c r="C286" s="46" t="str">
        <f t="shared" si="8"/>
        <v/>
      </c>
      <c r="D286" s="46" t="str">
        <f t="shared" si="9"/>
        <v/>
      </c>
    </row>
    <row r="287" spans="3:4" ht="15.75" x14ac:dyDescent="0.25">
      <c r="C287" s="46" t="str">
        <f t="shared" si="8"/>
        <v/>
      </c>
      <c r="D287" s="46" t="str">
        <f t="shared" si="9"/>
        <v/>
      </c>
    </row>
    <row r="288" spans="3:4" ht="15.75" x14ac:dyDescent="0.25">
      <c r="C288" s="46" t="str">
        <f t="shared" si="8"/>
        <v/>
      </c>
      <c r="D288" s="46" t="str">
        <f t="shared" si="9"/>
        <v/>
      </c>
    </row>
    <row r="289" spans="3:4" ht="15.75" x14ac:dyDescent="0.25">
      <c r="C289" s="46" t="str">
        <f t="shared" si="8"/>
        <v/>
      </c>
      <c r="D289" s="46" t="str">
        <f t="shared" si="9"/>
        <v/>
      </c>
    </row>
    <row r="290" spans="3:4" ht="15.75" x14ac:dyDescent="0.25">
      <c r="C290" s="46" t="str">
        <f t="shared" si="8"/>
        <v/>
      </c>
      <c r="D290" s="46" t="str">
        <f t="shared" si="9"/>
        <v/>
      </c>
    </row>
    <row r="291" spans="3:4" ht="15.75" x14ac:dyDescent="0.25">
      <c r="C291" s="46" t="str">
        <f t="shared" si="8"/>
        <v/>
      </c>
      <c r="D291" s="46" t="str">
        <f t="shared" si="9"/>
        <v/>
      </c>
    </row>
    <row r="292" spans="3:4" ht="15.75" x14ac:dyDescent="0.25">
      <c r="C292" s="46" t="str">
        <f t="shared" si="8"/>
        <v/>
      </c>
      <c r="D292" s="46" t="str">
        <f t="shared" si="9"/>
        <v/>
      </c>
    </row>
    <row r="293" spans="3:4" ht="15.75" x14ac:dyDescent="0.25">
      <c r="C293" s="46" t="str">
        <f t="shared" si="8"/>
        <v/>
      </c>
      <c r="D293" s="46" t="str">
        <f t="shared" si="9"/>
        <v/>
      </c>
    </row>
    <row r="294" spans="3:4" ht="15.75" x14ac:dyDescent="0.25">
      <c r="C294" s="46" t="str">
        <f t="shared" si="8"/>
        <v/>
      </c>
      <c r="D294" s="46" t="str">
        <f t="shared" si="9"/>
        <v/>
      </c>
    </row>
    <row r="295" spans="3:4" ht="15.75" x14ac:dyDescent="0.25">
      <c r="C295" s="46" t="str">
        <f t="shared" si="8"/>
        <v/>
      </c>
      <c r="D295" s="46" t="str">
        <f t="shared" si="9"/>
        <v/>
      </c>
    </row>
    <row r="296" spans="3:4" ht="15.75" x14ac:dyDescent="0.25">
      <c r="C296" s="46" t="str">
        <f t="shared" si="8"/>
        <v/>
      </c>
      <c r="D296" s="46" t="str">
        <f t="shared" si="9"/>
        <v/>
      </c>
    </row>
    <row r="297" spans="3:4" ht="15.75" x14ac:dyDescent="0.25">
      <c r="C297" s="46" t="str">
        <f t="shared" si="8"/>
        <v/>
      </c>
      <c r="D297" s="46" t="str">
        <f t="shared" si="9"/>
        <v/>
      </c>
    </row>
    <row r="298" spans="3:4" ht="15.75" x14ac:dyDescent="0.25">
      <c r="C298" s="46" t="str">
        <f t="shared" si="8"/>
        <v/>
      </c>
      <c r="D298" s="46" t="str">
        <f t="shared" si="9"/>
        <v/>
      </c>
    </row>
    <row r="299" spans="3:4" ht="15.75" x14ac:dyDescent="0.25">
      <c r="C299" s="46" t="str">
        <f t="shared" si="8"/>
        <v/>
      </c>
      <c r="D299" s="46" t="str">
        <f t="shared" si="9"/>
        <v/>
      </c>
    </row>
    <row r="300" spans="3:4" ht="15.75" x14ac:dyDescent="0.25">
      <c r="C300" s="46" t="str">
        <f t="shared" si="8"/>
        <v/>
      </c>
      <c r="D300" s="46" t="str">
        <f t="shared" si="9"/>
        <v/>
      </c>
    </row>
    <row r="301" spans="3:4" ht="15.75" x14ac:dyDescent="0.25">
      <c r="C301" s="46" t="str">
        <f t="shared" si="8"/>
        <v/>
      </c>
      <c r="D301" s="46" t="str">
        <f t="shared" si="9"/>
        <v/>
      </c>
    </row>
    <row r="302" spans="3:4" ht="15.75" x14ac:dyDescent="0.25">
      <c r="C302" s="46" t="str">
        <f t="shared" si="8"/>
        <v/>
      </c>
      <c r="D302" s="46" t="str">
        <f t="shared" si="9"/>
        <v/>
      </c>
    </row>
    <row r="303" spans="3:4" ht="15.75" x14ac:dyDescent="0.25">
      <c r="C303" s="46" t="str">
        <f t="shared" si="8"/>
        <v/>
      </c>
      <c r="D303" s="46" t="str">
        <f t="shared" si="9"/>
        <v/>
      </c>
    </row>
    <row r="304" spans="3:4" ht="15.75" x14ac:dyDescent="0.25">
      <c r="C304" s="46" t="str">
        <f t="shared" si="8"/>
        <v/>
      </c>
      <c r="D304" s="46" t="str">
        <f t="shared" si="9"/>
        <v/>
      </c>
    </row>
    <row r="305" spans="3:4" ht="15.75" x14ac:dyDescent="0.25">
      <c r="C305" s="46" t="str">
        <f t="shared" si="8"/>
        <v/>
      </c>
      <c r="D305" s="46" t="str">
        <f t="shared" si="9"/>
        <v/>
      </c>
    </row>
    <row r="306" spans="3:4" ht="15.75" x14ac:dyDescent="0.25">
      <c r="C306" s="46" t="str">
        <f t="shared" si="8"/>
        <v/>
      </c>
      <c r="D306" s="46" t="str">
        <f t="shared" si="9"/>
        <v/>
      </c>
    </row>
    <row r="307" spans="3:4" ht="15.75" x14ac:dyDescent="0.25">
      <c r="C307" s="46" t="str">
        <f t="shared" si="8"/>
        <v/>
      </c>
      <c r="D307" s="46" t="str">
        <f t="shared" si="9"/>
        <v/>
      </c>
    </row>
    <row r="308" spans="3:4" ht="15.75" x14ac:dyDescent="0.25">
      <c r="C308" s="46" t="str">
        <f t="shared" si="8"/>
        <v/>
      </c>
      <c r="D308" s="46" t="str">
        <f t="shared" si="9"/>
        <v/>
      </c>
    </row>
    <row r="309" spans="3:4" ht="15.75" x14ac:dyDescent="0.25">
      <c r="C309" s="46" t="str">
        <f t="shared" si="8"/>
        <v/>
      </c>
      <c r="D309" s="46" t="str">
        <f t="shared" si="9"/>
        <v/>
      </c>
    </row>
    <row r="310" spans="3:4" ht="15.75" x14ac:dyDescent="0.25">
      <c r="C310" s="46" t="str">
        <f t="shared" si="8"/>
        <v/>
      </c>
      <c r="D310" s="46" t="str">
        <f t="shared" si="9"/>
        <v/>
      </c>
    </row>
    <row r="311" spans="3:4" ht="15.75" x14ac:dyDescent="0.25">
      <c r="C311" s="46" t="str">
        <f t="shared" si="8"/>
        <v/>
      </c>
      <c r="D311" s="46" t="str">
        <f t="shared" si="9"/>
        <v/>
      </c>
    </row>
    <row r="312" spans="3:4" ht="15.75" x14ac:dyDescent="0.25">
      <c r="C312" s="46" t="str">
        <f t="shared" si="8"/>
        <v/>
      </c>
      <c r="D312" s="46" t="str">
        <f t="shared" si="9"/>
        <v/>
      </c>
    </row>
    <row r="313" spans="3:4" ht="15.75" x14ac:dyDescent="0.25">
      <c r="C313" s="46" t="str">
        <f t="shared" si="8"/>
        <v/>
      </c>
      <c r="D313" s="46" t="str">
        <f t="shared" si="9"/>
        <v/>
      </c>
    </row>
    <row r="314" spans="3:4" ht="15.75" x14ac:dyDescent="0.25">
      <c r="C314" s="46" t="str">
        <f t="shared" si="8"/>
        <v/>
      </c>
      <c r="D314" s="46" t="str">
        <f t="shared" si="9"/>
        <v/>
      </c>
    </row>
    <row r="315" spans="3:4" ht="15.75" x14ac:dyDescent="0.25">
      <c r="C315" s="46" t="str">
        <f t="shared" si="8"/>
        <v/>
      </c>
      <c r="D315" s="46" t="str">
        <f t="shared" si="9"/>
        <v/>
      </c>
    </row>
    <row r="316" spans="3:4" ht="15.75" x14ac:dyDescent="0.25">
      <c r="C316" s="46" t="str">
        <f t="shared" si="8"/>
        <v/>
      </c>
      <c r="D316" s="46" t="str">
        <f t="shared" si="9"/>
        <v/>
      </c>
    </row>
    <row r="317" spans="3:4" ht="15.75" x14ac:dyDescent="0.25">
      <c r="C317" s="46" t="str">
        <f t="shared" si="8"/>
        <v/>
      </c>
      <c r="D317" s="46" t="str">
        <f t="shared" si="9"/>
        <v/>
      </c>
    </row>
    <row r="318" spans="3:4" ht="15.75" x14ac:dyDescent="0.25">
      <c r="C318" s="46" t="str">
        <f t="shared" si="8"/>
        <v/>
      </c>
      <c r="D318" s="46" t="str">
        <f t="shared" si="9"/>
        <v/>
      </c>
    </row>
    <row r="319" spans="3:4" ht="15.75" x14ac:dyDescent="0.25">
      <c r="C319" s="46" t="str">
        <f t="shared" si="8"/>
        <v/>
      </c>
      <c r="D319" s="46" t="str">
        <f t="shared" si="9"/>
        <v/>
      </c>
    </row>
    <row r="320" spans="3:4" ht="15.75" x14ac:dyDescent="0.25">
      <c r="C320" s="46" t="str">
        <f t="shared" si="8"/>
        <v/>
      </c>
      <c r="D320" s="46" t="str">
        <f t="shared" si="9"/>
        <v/>
      </c>
    </row>
    <row r="321" spans="3:4" ht="15.75" x14ac:dyDescent="0.25">
      <c r="C321" s="46" t="str">
        <f t="shared" si="8"/>
        <v/>
      </c>
      <c r="D321" s="46" t="str">
        <f t="shared" si="9"/>
        <v/>
      </c>
    </row>
    <row r="322" spans="3:4" ht="15.75" x14ac:dyDescent="0.25">
      <c r="C322" s="46" t="str">
        <f t="shared" si="8"/>
        <v/>
      </c>
      <c r="D322" s="46" t="str">
        <f t="shared" si="9"/>
        <v/>
      </c>
    </row>
    <row r="323" spans="3:4" ht="15.75" x14ac:dyDescent="0.25">
      <c r="C323" s="46" t="str">
        <f t="shared" si="8"/>
        <v/>
      </c>
      <c r="D323" s="46" t="str">
        <f t="shared" si="9"/>
        <v/>
      </c>
    </row>
  </sheetData>
  <phoneticPr fontId="4" type="noConversion"/>
  <conditionalFormatting sqref="E7:H13 E29:H41 E15:H27">
    <cfRule type="cellIs" dxfId="55" priority="5" stopIfTrue="1" operator="equal">
      <formula>"YES"</formula>
    </cfRule>
    <cfRule type="cellIs" dxfId="54" priority="6" stopIfTrue="1" operator="equal">
      <formula>"NO"</formula>
    </cfRule>
  </conditionalFormatting>
  <conditionalFormatting sqref="E14:H14">
    <cfRule type="cellIs" dxfId="53" priority="3" stopIfTrue="1" operator="equal">
      <formula>"YES"</formula>
    </cfRule>
    <cfRule type="cellIs" dxfId="52" priority="4" stopIfTrue="1" operator="equal">
      <formula>"NO"</formula>
    </cfRule>
  </conditionalFormatting>
  <conditionalFormatting sqref="E28:H28">
    <cfRule type="cellIs" dxfId="51" priority="1" stopIfTrue="1" operator="equal">
      <formula>"YES"</formula>
    </cfRule>
    <cfRule type="cellIs" dxfId="50" priority="2" stopIfTrue="1" operator="equal">
      <formula>"NO"</formula>
    </cfRule>
  </conditionalFormatting>
  <dataValidations count="1">
    <dataValidation type="list" allowBlank="1" showInputMessage="1" showErrorMessage="1" sqref="E7:H41" xr:uid="{00000000-0002-0000-0A00-000000000000}">
      <formula1>$D$1:$D$3</formula1>
    </dataValidation>
  </dataValidations>
  <pageMargins left="0.75" right="0.75" top="1" bottom="1" header="0.4921259845" footer="0.4921259845"/>
  <pageSetup paperSize="9" scale="61"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1">
    <tabColor theme="7"/>
    <pageSetUpPr fitToPage="1"/>
  </sheetPr>
  <dimension ref="A1:H316"/>
  <sheetViews>
    <sheetView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 style="40" customWidth="1"/>
    <col min="2" max="2" width="90.85546875" style="57" customWidth="1"/>
    <col min="3" max="4" width="4.42578125" style="40" bestFit="1" customWidth="1"/>
    <col min="5" max="8" width="7" style="40" customWidth="1"/>
    <col min="9" max="16384" width="9.140625" style="40"/>
  </cols>
  <sheetData>
    <row r="1" spans="1:8" ht="0.75" customHeight="1" thickBot="1" x14ac:dyDescent="0.25">
      <c r="D1" s="40" t="s">
        <v>43</v>
      </c>
    </row>
    <row r="2" spans="1:8" hidden="1" x14ac:dyDescent="0.2">
      <c r="D2" s="40" t="s">
        <v>44</v>
      </c>
    </row>
    <row r="3" spans="1:8" ht="13.5" hidden="1" thickBot="1" x14ac:dyDescent="0.25">
      <c r="D3" s="40" t="s">
        <v>13</v>
      </c>
    </row>
    <row r="4" spans="1:8" ht="88.5" thickTop="1" thickBot="1" x14ac:dyDescent="0.4">
      <c r="A4" s="58"/>
      <c r="B4" s="47" t="s">
        <v>480</v>
      </c>
      <c r="C4" s="43" t="s">
        <v>46</v>
      </c>
      <c r="D4" s="43" t="s">
        <v>47</v>
      </c>
      <c r="E4" s="43" t="s">
        <v>84</v>
      </c>
      <c r="F4" s="43" t="s">
        <v>84</v>
      </c>
      <c r="G4" s="43" t="s">
        <v>84</v>
      </c>
      <c r="H4" s="43" t="s">
        <v>84</v>
      </c>
    </row>
    <row r="5" spans="1:8" ht="24" thickTop="1" x14ac:dyDescent="0.35">
      <c r="A5" s="77"/>
      <c r="B5" s="74" t="s">
        <v>85</v>
      </c>
      <c r="C5" s="79"/>
      <c r="D5" s="79"/>
      <c r="E5" s="79"/>
      <c r="F5" s="79"/>
      <c r="G5" s="79"/>
      <c r="H5" s="79"/>
    </row>
    <row r="6" spans="1:8" ht="14.25" customHeight="1" x14ac:dyDescent="0.25">
      <c r="A6" s="69" t="s">
        <v>190</v>
      </c>
      <c r="B6" s="70"/>
      <c r="C6" s="71" t="str">
        <f t="shared" ref="C6:C17" si="0">IF(COUNTIF(E6:BA6,"YES")=0,"",COUNTIF(E6:BA6,"YES"))</f>
        <v/>
      </c>
      <c r="D6" s="71" t="str">
        <f t="shared" ref="D6:D17" si="1">IF(COUNTIF(E6:BA6,"NO")=0,"",COUNTIF(E6:BA6,"NO"))</f>
        <v/>
      </c>
      <c r="E6" s="72"/>
      <c r="F6" s="72"/>
      <c r="G6" s="72"/>
      <c r="H6" s="72"/>
    </row>
    <row r="7" spans="1:8" ht="15.75" x14ac:dyDescent="0.25">
      <c r="A7" s="60" t="s">
        <v>191</v>
      </c>
      <c r="B7" s="259" t="s">
        <v>294</v>
      </c>
      <c r="C7" s="44" t="str">
        <f t="shared" si="0"/>
        <v/>
      </c>
      <c r="D7" s="44" t="str">
        <f t="shared" si="1"/>
        <v/>
      </c>
      <c r="E7" s="41"/>
      <c r="F7" s="41"/>
      <c r="G7" s="41"/>
      <c r="H7" s="41"/>
    </row>
    <row r="8" spans="1:8" ht="15.75" x14ac:dyDescent="0.25">
      <c r="A8" s="60" t="s">
        <v>192</v>
      </c>
      <c r="B8" s="259" t="s">
        <v>543</v>
      </c>
      <c r="C8" s="44" t="str">
        <f t="shared" si="0"/>
        <v/>
      </c>
      <c r="D8" s="44" t="str">
        <f t="shared" si="1"/>
        <v/>
      </c>
      <c r="E8" s="41"/>
      <c r="F8" s="41"/>
      <c r="G8" s="41"/>
      <c r="H8" s="41"/>
    </row>
    <row r="9" spans="1:8" ht="15.75" x14ac:dyDescent="0.25">
      <c r="A9" s="60" t="s">
        <v>193</v>
      </c>
      <c r="B9" s="259" t="s">
        <v>468</v>
      </c>
      <c r="C9" s="44" t="str">
        <f t="shared" si="0"/>
        <v/>
      </c>
      <c r="D9" s="44" t="str">
        <f t="shared" si="1"/>
        <v/>
      </c>
      <c r="E9" s="41"/>
      <c r="F9" s="41"/>
      <c r="G9" s="41"/>
      <c r="H9" s="41"/>
    </row>
    <row r="10" spans="1:8" ht="15.75" x14ac:dyDescent="0.25">
      <c r="A10" s="60" t="s">
        <v>194</v>
      </c>
      <c r="B10" s="259" t="s">
        <v>116</v>
      </c>
      <c r="C10" s="44" t="str">
        <f t="shared" si="0"/>
        <v/>
      </c>
      <c r="D10" s="44" t="str">
        <f t="shared" si="1"/>
        <v/>
      </c>
      <c r="E10" s="41"/>
      <c r="F10" s="41"/>
      <c r="G10" s="41"/>
      <c r="H10" s="41"/>
    </row>
    <row r="11" spans="1:8" ht="15.75" x14ac:dyDescent="0.25">
      <c r="A11" s="60" t="s">
        <v>195</v>
      </c>
      <c r="B11" s="259" t="s">
        <v>117</v>
      </c>
      <c r="C11" s="44" t="str">
        <f t="shared" si="0"/>
        <v/>
      </c>
      <c r="D11" s="44" t="str">
        <f t="shared" si="1"/>
        <v/>
      </c>
      <c r="E11" s="41"/>
      <c r="F11" s="41"/>
      <c r="G11" s="41"/>
      <c r="H11" s="41"/>
    </row>
    <row r="12" spans="1:8" ht="15.75" x14ac:dyDescent="0.25">
      <c r="A12" s="60" t="s">
        <v>196</v>
      </c>
      <c r="B12" s="259" t="s">
        <v>467</v>
      </c>
      <c r="C12" s="44" t="str">
        <f t="shared" si="0"/>
        <v/>
      </c>
      <c r="D12" s="44" t="str">
        <f t="shared" si="1"/>
        <v/>
      </c>
      <c r="E12" s="41"/>
      <c r="F12" s="41"/>
      <c r="G12" s="41"/>
      <c r="H12" s="41"/>
    </row>
    <row r="13" spans="1:8" ht="15.75" x14ac:dyDescent="0.25">
      <c r="A13" s="60" t="s">
        <v>197</v>
      </c>
      <c r="B13" s="259" t="s">
        <v>119</v>
      </c>
      <c r="C13" s="44" t="str">
        <f t="shared" si="0"/>
        <v/>
      </c>
      <c r="D13" s="44" t="str">
        <f t="shared" si="1"/>
        <v/>
      </c>
      <c r="E13" s="41"/>
      <c r="F13" s="41"/>
      <c r="G13" s="41"/>
      <c r="H13" s="41"/>
    </row>
    <row r="14" spans="1:8" ht="15.75" x14ac:dyDescent="0.25">
      <c r="A14" s="60" t="s">
        <v>198</v>
      </c>
      <c r="B14" s="259" t="s">
        <v>189</v>
      </c>
      <c r="C14" s="44" t="str">
        <f t="shared" si="0"/>
        <v/>
      </c>
      <c r="D14" s="44" t="str">
        <f t="shared" si="1"/>
        <v/>
      </c>
      <c r="E14" s="41"/>
      <c r="F14" s="41"/>
      <c r="G14" s="41"/>
      <c r="H14" s="41"/>
    </row>
    <row r="15" spans="1:8" ht="15.75" x14ac:dyDescent="0.25">
      <c r="A15" s="69" t="s">
        <v>202</v>
      </c>
      <c r="B15" s="73"/>
      <c r="C15" s="71" t="str">
        <f t="shared" si="0"/>
        <v/>
      </c>
      <c r="D15" s="71" t="str">
        <f t="shared" si="1"/>
        <v/>
      </c>
      <c r="E15" s="72"/>
      <c r="F15" s="72"/>
      <c r="G15" s="72"/>
      <c r="H15" s="72"/>
    </row>
    <row r="16" spans="1:8" ht="25.5" x14ac:dyDescent="0.25">
      <c r="A16" s="61" t="s">
        <v>199</v>
      </c>
      <c r="B16" s="259" t="s">
        <v>545</v>
      </c>
      <c r="C16" s="44" t="str">
        <f t="shared" si="0"/>
        <v/>
      </c>
      <c r="D16" s="44" t="str">
        <f t="shared" si="1"/>
        <v/>
      </c>
      <c r="E16" s="41"/>
      <c r="F16" s="41"/>
      <c r="G16" s="41"/>
      <c r="H16" s="41"/>
    </row>
    <row r="17" spans="1:8" ht="15.75" x14ac:dyDescent="0.25">
      <c r="A17" s="61" t="s">
        <v>200</v>
      </c>
      <c r="B17" s="259" t="s">
        <v>153</v>
      </c>
      <c r="C17" s="44" t="str">
        <f t="shared" si="0"/>
        <v/>
      </c>
      <c r="D17" s="44" t="str">
        <f t="shared" si="1"/>
        <v/>
      </c>
      <c r="E17" s="41"/>
      <c r="F17" s="41"/>
      <c r="G17" s="41"/>
      <c r="H17" s="41"/>
    </row>
    <row r="18" spans="1:8" ht="15.75" x14ac:dyDescent="0.25">
      <c r="A18" s="61" t="s">
        <v>201</v>
      </c>
      <c r="B18" s="259" t="s">
        <v>120</v>
      </c>
      <c r="C18" s="44"/>
      <c r="D18" s="44"/>
      <c r="E18" s="41"/>
      <c r="F18" s="41"/>
      <c r="G18" s="41"/>
      <c r="H18" s="41"/>
    </row>
    <row r="19" spans="1:8" ht="23.25" x14ac:dyDescent="0.35">
      <c r="A19" s="77"/>
      <c r="B19" s="74" t="s">
        <v>93</v>
      </c>
      <c r="C19" s="71" t="str">
        <f t="shared" ref="C19:C81" si="2">IF(COUNTIF(E19:BA19,"YES")=0,"",COUNTIF(E19:BA19,"YES"))</f>
        <v/>
      </c>
      <c r="D19" s="71" t="str">
        <f t="shared" ref="D19:D81" si="3">IF(COUNTIF(E19:BA19,"NO")=0,"",COUNTIF(E19:BA19,"NO"))</f>
        <v/>
      </c>
      <c r="E19" s="72"/>
      <c r="F19" s="72"/>
      <c r="G19" s="72"/>
      <c r="H19" s="72"/>
    </row>
    <row r="20" spans="1:8" ht="13.5" customHeight="1" x14ac:dyDescent="0.25">
      <c r="A20" s="69" t="s">
        <v>94</v>
      </c>
      <c r="B20" s="70"/>
      <c r="C20" s="71" t="str">
        <f t="shared" si="2"/>
        <v/>
      </c>
      <c r="D20" s="71" t="str">
        <f t="shared" si="3"/>
        <v/>
      </c>
      <c r="E20" s="72"/>
      <c r="F20" s="72"/>
      <c r="G20" s="72"/>
      <c r="H20" s="72"/>
    </row>
    <row r="21" spans="1:8" ht="13.5" customHeight="1" x14ac:dyDescent="0.25">
      <c r="A21" s="60" t="s">
        <v>51</v>
      </c>
      <c r="B21" s="268" t="s">
        <v>121</v>
      </c>
      <c r="C21" s="44" t="str">
        <f t="shared" si="2"/>
        <v/>
      </c>
      <c r="D21" s="44" t="str">
        <f t="shared" si="3"/>
        <v/>
      </c>
      <c r="E21" s="41"/>
      <c r="F21" s="41"/>
      <c r="G21" s="41"/>
      <c r="H21" s="41"/>
    </row>
    <row r="22" spans="1:8" ht="13.5" customHeight="1" x14ac:dyDescent="0.25">
      <c r="A22" s="60" t="s">
        <v>52</v>
      </c>
      <c r="B22" s="268" t="s">
        <v>154</v>
      </c>
      <c r="C22" s="44" t="str">
        <f t="shared" si="2"/>
        <v/>
      </c>
      <c r="D22" s="44" t="str">
        <f t="shared" si="3"/>
        <v/>
      </c>
      <c r="E22" s="41"/>
      <c r="F22" s="41"/>
      <c r="G22" s="41"/>
      <c r="H22" s="41"/>
    </row>
    <row r="23" spans="1:8" ht="13.5" customHeight="1" x14ac:dyDescent="0.25">
      <c r="A23" s="60" t="s">
        <v>53</v>
      </c>
      <c r="B23" s="270" t="s">
        <v>155</v>
      </c>
      <c r="C23" s="44" t="str">
        <f t="shared" si="2"/>
        <v/>
      </c>
      <c r="D23" s="44" t="str">
        <f t="shared" si="3"/>
        <v/>
      </c>
      <c r="E23" s="41"/>
      <c r="F23" s="41"/>
      <c r="G23" s="41"/>
      <c r="H23" s="41"/>
    </row>
    <row r="24" spans="1:8" ht="13.5" customHeight="1" x14ac:dyDescent="0.25">
      <c r="A24" s="60" t="s">
        <v>73</v>
      </c>
      <c r="B24" s="268" t="s">
        <v>156</v>
      </c>
      <c r="C24" s="44" t="str">
        <f t="shared" si="2"/>
        <v/>
      </c>
      <c r="D24" s="44" t="str">
        <f t="shared" si="3"/>
        <v/>
      </c>
      <c r="E24" s="41"/>
      <c r="F24" s="41"/>
      <c r="G24" s="41"/>
      <c r="H24" s="41"/>
    </row>
    <row r="25" spans="1:8" ht="13.5" customHeight="1" x14ac:dyDescent="0.25">
      <c r="A25" s="60" t="s">
        <v>74</v>
      </c>
      <c r="B25" s="268" t="s">
        <v>157</v>
      </c>
      <c r="C25" s="44" t="str">
        <f t="shared" si="2"/>
        <v/>
      </c>
      <c r="D25" s="44" t="str">
        <f t="shared" si="3"/>
        <v/>
      </c>
      <c r="E25" s="41"/>
      <c r="F25" s="41"/>
      <c r="G25" s="41"/>
      <c r="H25" s="41"/>
    </row>
    <row r="26" spans="1:8" ht="13.5" customHeight="1" x14ac:dyDescent="0.25">
      <c r="A26" s="60" t="s">
        <v>75</v>
      </c>
      <c r="B26" s="268" t="s">
        <v>158</v>
      </c>
      <c r="C26" s="44" t="str">
        <f t="shared" si="2"/>
        <v/>
      </c>
      <c r="D26" s="44" t="str">
        <f t="shared" si="3"/>
        <v/>
      </c>
      <c r="E26" s="41"/>
      <c r="F26" s="41"/>
      <c r="G26" s="41"/>
      <c r="H26" s="41"/>
    </row>
    <row r="27" spans="1:8" ht="15.75" x14ac:dyDescent="0.25">
      <c r="A27" s="60" t="s">
        <v>76</v>
      </c>
      <c r="B27" s="268" t="s">
        <v>377</v>
      </c>
      <c r="C27" s="44" t="str">
        <f t="shared" si="2"/>
        <v/>
      </c>
      <c r="D27" s="44" t="str">
        <f t="shared" si="3"/>
        <v/>
      </c>
      <c r="E27" s="41"/>
      <c r="F27" s="41"/>
      <c r="G27" s="41"/>
      <c r="H27" s="41"/>
    </row>
    <row r="28" spans="1:8" ht="15.75" x14ac:dyDescent="0.25">
      <c r="C28" s="46" t="str">
        <f t="shared" si="2"/>
        <v/>
      </c>
      <c r="D28" s="46" t="str">
        <f t="shared" si="3"/>
        <v/>
      </c>
    </row>
    <row r="29" spans="1:8" ht="15.75" x14ac:dyDescent="0.25">
      <c r="C29" s="46" t="str">
        <f t="shared" si="2"/>
        <v/>
      </c>
      <c r="D29" s="46" t="str">
        <f t="shared" si="3"/>
        <v/>
      </c>
    </row>
    <row r="30" spans="1:8" ht="15.75" x14ac:dyDescent="0.25">
      <c r="C30" s="46" t="str">
        <f t="shared" si="2"/>
        <v/>
      </c>
      <c r="D30" s="46" t="str">
        <f t="shared" si="3"/>
        <v/>
      </c>
    </row>
    <row r="31" spans="1:8" ht="15.75" x14ac:dyDescent="0.25">
      <c r="C31" s="46" t="str">
        <f t="shared" si="2"/>
        <v/>
      </c>
      <c r="D31" s="46" t="str">
        <f t="shared" si="3"/>
        <v/>
      </c>
    </row>
    <row r="32" spans="1:8" ht="15.75" x14ac:dyDescent="0.25">
      <c r="C32" s="46" t="str">
        <f t="shared" si="2"/>
        <v/>
      </c>
      <c r="D32" s="46" t="str">
        <f t="shared" si="3"/>
        <v/>
      </c>
    </row>
    <row r="33" spans="3:4" ht="15.75" x14ac:dyDescent="0.25">
      <c r="C33" s="46" t="str">
        <f t="shared" si="2"/>
        <v/>
      </c>
      <c r="D33" s="46" t="str">
        <f t="shared" si="3"/>
        <v/>
      </c>
    </row>
    <row r="34" spans="3:4" ht="15.75" x14ac:dyDescent="0.25">
      <c r="C34" s="46" t="str">
        <f t="shared" si="2"/>
        <v/>
      </c>
      <c r="D34" s="46" t="str">
        <f t="shared" si="3"/>
        <v/>
      </c>
    </row>
    <row r="35" spans="3:4" ht="15.75" x14ac:dyDescent="0.25">
      <c r="C35" s="46" t="str">
        <f t="shared" si="2"/>
        <v/>
      </c>
      <c r="D35" s="46" t="str">
        <f t="shared" si="3"/>
        <v/>
      </c>
    </row>
    <row r="36" spans="3:4" ht="15.75" x14ac:dyDescent="0.25">
      <c r="C36" s="46" t="str">
        <f t="shared" si="2"/>
        <v/>
      </c>
      <c r="D36" s="46" t="str">
        <f t="shared" si="3"/>
        <v/>
      </c>
    </row>
    <row r="37" spans="3:4" ht="15.75" x14ac:dyDescent="0.25">
      <c r="C37" s="46" t="str">
        <f t="shared" si="2"/>
        <v/>
      </c>
      <c r="D37" s="46" t="str">
        <f t="shared" si="3"/>
        <v/>
      </c>
    </row>
    <row r="38" spans="3:4" ht="15.75" x14ac:dyDescent="0.25">
      <c r="C38" s="46" t="str">
        <f t="shared" si="2"/>
        <v/>
      </c>
      <c r="D38" s="46" t="str">
        <f t="shared" si="3"/>
        <v/>
      </c>
    </row>
    <row r="39" spans="3:4" ht="15.75" x14ac:dyDescent="0.25">
      <c r="C39" s="46" t="str">
        <f t="shared" si="2"/>
        <v/>
      </c>
      <c r="D39" s="46" t="str">
        <f t="shared" si="3"/>
        <v/>
      </c>
    </row>
    <row r="40" spans="3:4" ht="15.75" x14ac:dyDescent="0.25">
      <c r="C40" s="46" t="str">
        <f t="shared" si="2"/>
        <v/>
      </c>
      <c r="D40" s="46" t="str">
        <f t="shared" si="3"/>
        <v/>
      </c>
    </row>
    <row r="41" spans="3:4" ht="15.75" x14ac:dyDescent="0.25">
      <c r="C41" s="46" t="str">
        <f t="shared" si="2"/>
        <v/>
      </c>
      <c r="D41" s="46" t="str">
        <f t="shared" si="3"/>
        <v/>
      </c>
    </row>
    <row r="42" spans="3:4" ht="15.75" x14ac:dyDescent="0.25">
      <c r="C42" s="46" t="str">
        <f t="shared" si="2"/>
        <v/>
      </c>
      <c r="D42" s="46" t="str">
        <f t="shared" si="3"/>
        <v/>
      </c>
    </row>
    <row r="43" spans="3:4" ht="15.75" x14ac:dyDescent="0.25">
      <c r="C43" s="46" t="str">
        <f t="shared" si="2"/>
        <v/>
      </c>
      <c r="D43" s="46" t="str">
        <f t="shared" si="3"/>
        <v/>
      </c>
    </row>
    <row r="44" spans="3:4" ht="15.75" x14ac:dyDescent="0.25">
      <c r="C44" s="46" t="str">
        <f t="shared" si="2"/>
        <v/>
      </c>
      <c r="D44" s="46" t="str">
        <f t="shared" si="3"/>
        <v/>
      </c>
    </row>
    <row r="45" spans="3:4" ht="15.75" x14ac:dyDescent="0.25">
      <c r="C45" s="46" t="str">
        <f t="shared" si="2"/>
        <v/>
      </c>
      <c r="D45" s="46" t="str">
        <f t="shared" si="3"/>
        <v/>
      </c>
    </row>
    <row r="46" spans="3:4" ht="15.75" x14ac:dyDescent="0.25">
      <c r="C46" s="46" t="str">
        <f t="shared" si="2"/>
        <v/>
      </c>
      <c r="D46" s="46" t="str">
        <f t="shared" si="3"/>
        <v/>
      </c>
    </row>
    <row r="47" spans="3:4" ht="15.75" x14ac:dyDescent="0.25">
      <c r="C47" s="46" t="str">
        <f t="shared" si="2"/>
        <v/>
      </c>
      <c r="D47" s="46" t="str">
        <f t="shared" si="3"/>
        <v/>
      </c>
    </row>
    <row r="48" spans="3:4" ht="15.75" x14ac:dyDescent="0.25">
      <c r="C48" s="46" t="str">
        <f t="shared" si="2"/>
        <v/>
      </c>
      <c r="D48" s="46" t="str">
        <f t="shared" si="3"/>
        <v/>
      </c>
    </row>
    <row r="49" spans="3:4" ht="15.75" x14ac:dyDescent="0.25">
      <c r="C49" s="46" t="str">
        <f t="shared" si="2"/>
        <v/>
      </c>
      <c r="D49" s="46" t="str">
        <f t="shared" si="3"/>
        <v/>
      </c>
    </row>
    <row r="50" spans="3:4" ht="15.75" x14ac:dyDescent="0.25">
      <c r="C50" s="46" t="str">
        <f t="shared" si="2"/>
        <v/>
      </c>
      <c r="D50" s="46" t="str">
        <f t="shared" si="3"/>
        <v/>
      </c>
    </row>
    <row r="51" spans="3:4" ht="15.75" x14ac:dyDescent="0.25">
      <c r="C51" s="46" t="str">
        <f t="shared" si="2"/>
        <v/>
      </c>
      <c r="D51" s="46" t="str">
        <f t="shared" si="3"/>
        <v/>
      </c>
    </row>
    <row r="52" spans="3:4" ht="15.75" x14ac:dyDescent="0.25">
      <c r="C52" s="46" t="str">
        <f t="shared" si="2"/>
        <v/>
      </c>
      <c r="D52" s="46" t="str">
        <f t="shared" si="3"/>
        <v/>
      </c>
    </row>
    <row r="53" spans="3:4" ht="15.75" x14ac:dyDescent="0.25">
      <c r="C53" s="46" t="str">
        <f t="shared" si="2"/>
        <v/>
      </c>
      <c r="D53" s="46" t="str">
        <f t="shared" si="3"/>
        <v/>
      </c>
    </row>
    <row r="54" spans="3:4" ht="15.75" x14ac:dyDescent="0.25">
      <c r="C54" s="46" t="str">
        <f t="shared" si="2"/>
        <v/>
      </c>
      <c r="D54" s="46" t="str">
        <f t="shared" si="3"/>
        <v/>
      </c>
    </row>
    <row r="55" spans="3:4" ht="15.75" x14ac:dyDescent="0.25">
      <c r="C55" s="46" t="str">
        <f t="shared" si="2"/>
        <v/>
      </c>
      <c r="D55" s="46" t="str">
        <f t="shared" si="3"/>
        <v/>
      </c>
    </row>
    <row r="56" spans="3:4" ht="15.75" x14ac:dyDescent="0.25">
      <c r="C56" s="46" t="str">
        <f t="shared" si="2"/>
        <v/>
      </c>
      <c r="D56" s="46" t="str">
        <f t="shared" si="3"/>
        <v/>
      </c>
    </row>
    <row r="57" spans="3:4" ht="15.75" x14ac:dyDescent="0.25">
      <c r="C57" s="46" t="str">
        <f t="shared" si="2"/>
        <v/>
      </c>
      <c r="D57" s="46" t="str">
        <f t="shared" si="3"/>
        <v/>
      </c>
    </row>
    <row r="58" spans="3:4" ht="15.75" x14ac:dyDescent="0.25">
      <c r="C58" s="46" t="str">
        <f t="shared" si="2"/>
        <v/>
      </c>
      <c r="D58" s="46" t="str">
        <f t="shared" si="3"/>
        <v/>
      </c>
    </row>
    <row r="59" spans="3:4" ht="15.75" x14ac:dyDescent="0.25">
      <c r="C59" s="46" t="str">
        <f t="shared" si="2"/>
        <v/>
      </c>
      <c r="D59" s="46" t="str">
        <f t="shared" si="3"/>
        <v/>
      </c>
    </row>
    <row r="60" spans="3:4" ht="15.75" x14ac:dyDescent="0.25">
      <c r="C60" s="46" t="str">
        <f t="shared" si="2"/>
        <v/>
      </c>
      <c r="D60" s="46" t="str">
        <f t="shared" si="3"/>
        <v/>
      </c>
    </row>
    <row r="61" spans="3:4" ht="15.75" x14ac:dyDescent="0.25">
      <c r="C61" s="46" t="str">
        <f t="shared" si="2"/>
        <v/>
      </c>
      <c r="D61" s="46" t="str">
        <f t="shared" si="3"/>
        <v/>
      </c>
    </row>
    <row r="62" spans="3:4" ht="15.75" x14ac:dyDescent="0.25">
      <c r="C62" s="46" t="str">
        <f t="shared" si="2"/>
        <v/>
      </c>
      <c r="D62" s="46" t="str">
        <f t="shared" si="3"/>
        <v/>
      </c>
    </row>
    <row r="63" spans="3:4" ht="15.75" x14ac:dyDescent="0.25">
      <c r="C63" s="46" t="str">
        <f t="shared" si="2"/>
        <v/>
      </c>
      <c r="D63" s="46" t="str">
        <f t="shared" si="3"/>
        <v/>
      </c>
    </row>
    <row r="64" spans="3:4" ht="15.75" x14ac:dyDescent="0.25">
      <c r="C64" s="46" t="str">
        <f t="shared" si="2"/>
        <v/>
      </c>
      <c r="D64" s="46" t="str">
        <f t="shared" si="3"/>
        <v/>
      </c>
    </row>
    <row r="65" spans="3:4" ht="15.75" x14ac:dyDescent="0.25">
      <c r="C65" s="46" t="str">
        <f t="shared" si="2"/>
        <v/>
      </c>
      <c r="D65" s="46" t="str">
        <f t="shared" si="3"/>
        <v/>
      </c>
    </row>
    <row r="66" spans="3:4" ht="15.75" x14ac:dyDescent="0.25">
      <c r="C66" s="46" t="str">
        <f t="shared" si="2"/>
        <v/>
      </c>
      <c r="D66" s="46" t="str">
        <f t="shared" si="3"/>
        <v/>
      </c>
    </row>
    <row r="67" spans="3:4" ht="15.75" x14ac:dyDescent="0.25">
      <c r="C67" s="46" t="str">
        <f t="shared" si="2"/>
        <v/>
      </c>
      <c r="D67" s="46" t="str">
        <f t="shared" si="3"/>
        <v/>
      </c>
    </row>
    <row r="68" spans="3:4" ht="15.75" x14ac:dyDescent="0.25">
      <c r="C68" s="46" t="str">
        <f t="shared" si="2"/>
        <v/>
      </c>
      <c r="D68" s="46" t="str">
        <f t="shared" si="3"/>
        <v/>
      </c>
    </row>
    <row r="69" spans="3:4" ht="15.75" x14ac:dyDescent="0.25">
      <c r="C69" s="46" t="str">
        <f t="shared" si="2"/>
        <v/>
      </c>
      <c r="D69" s="46" t="str">
        <f t="shared" si="3"/>
        <v/>
      </c>
    </row>
    <row r="70" spans="3:4" ht="15.75" x14ac:dyDescent="0.25">
      <c r="C70" s="46" t="str">
        <f t="shared" si="2"/>
        <v/>
      </c>
      <c r="D70" s="46" t="str">
        <f t="shared" si="3"/>
        <v/>
      </c>
    </row>
    <row r="71" spans="3:4" ht="15.75" x14ac:dyDescent="0.25">
      <c r="C71" s="46" t="str">
        <f t="shared" si="2"/>
        <v/>
      </c>
      <c r="D71" s="46" t="str">
        <f t="shared" si="3"/>
        <v/>
      </c>
    </row>
    <row r="72" spans="3:4" ht="15.75" x14ac:dyDescent="0.25">
      <c r="C72" s="46" t="str">
        <f t="shared" si="2"/>
        <v/>
      </c>
      <c r="D72" s="46" t="str">
        <f t="shared" si="3"/>
        <v/>
      </c>
    </row>
    <row r="73" spans="3:4" ht="15.75" x14ac:dyDescent="0.25">
      <c r="C73" s="46" t="str">
        <f t="shared" si="2"/>
        <v/>
      </c>
      <c r="D73" s="46" t="str">
        <f t="shared" si="3"/>
        <v/>
      </c>
    </row>
    <row r="74" spans="3:4" ht="15.75" x14ac:dyDescent="0.25">
      <c r="C74" s="46" t="str">
        <f t="shared" si="2"/>
        <v/>
      </c>
      <c r="D74" s="46" t="str">
        <f t="shared" si="3"/>
        <v/>
      </c>
    </row>
    <row r="75" spans="3:4" ht="15.75" x14ac:dyDescent="0.25">
      <c r="C75" s="46" t="str">
        <f t="shared" si="2"/>
        <v/>
      </c>
      <c r="D75" s="46" t="str">
        <f t="shared" si="3"/>
        <v/>
      </c>
    </row>
    <row r="76" spans="3:4" ht="15.75" x14ac:dyDescent="0.25">
      <c r="C76" s="46" t="str">
        <f t="shared" si="2"/>
        <v/>
      </c>
      <c r="D76" s="46" t="str">
        <f t="shared" si="3"/>
        <v/>
      </c>
    </row>
    <row r="77" spans="3:4" ht="15.75" x14ac:dyDescent="0.25">
      <c r="C77" s="46" t="str">
        <f t="shared" si="2"/>
        <v/>
      </c>
      <c r="D77" s="46" t="str">
        <f t="shared" si="3"/>
        <v/>
      </c>
    </row>
    <row r="78" spans="3:4" ht="15.75" x14ac:dyDescent="0.25">
      <c r="C78" s="46" t="str">
        <f t="shared" si="2"/>
        <v/>
      </c>
      <c r="D78" s="46" t="str">
        <f t="shared" si="3"/>
        <v/>
      </c>
    </row>
    <row r="79" spans="3:4" ht="15.75" x14ac:dyDescent="0.25">
      <c r="C79" s="46" t="str">
        <f t="shared" si="2"/>
        <v/>
      </c>
      <c r="D79" s="46" t="str">
        <f t="shared" si="3"/>
        <v/>
      </c>
    </row>
    <row r="80" spans="3:4" ht="15.75" x14ac:dyDescent="0.25">
      <c r="C80" s="46" t="str">
        <f t="shared" si="2"/>
        <v/>
      </c>
      <c r="D80" s="46" t="str">
        <f t="shared" si="3"/>
        <v/>
      </c>
    </row>
    <row r="81" spans="3:4" ht="15.75" x14ac:dyDescent="0.25">
      <c r="C81" s="46" t="str">
        <f t="shared" si="2"/>
        <v/>
      </c>
      <c r="D81" s="46" t="str">
        <f t="shared" si="3"/>
        <v/>
      </c>
    </row>
    <row r="82" spans="3:4" ht="15.75" x14ac:dyDescent="0.25">
      <c r="C82" s="46" t="str">
        <f t="shared" ref="C82:C145" si="4">IF(COUNTIF(E82:BA82,"YES")=0,"",COUNTIF(E82:BA82,"YES"))</f>
        <v/>
      </c>
      <c r="D82" s="46" t="str">
        <f t="shared" ref="D82:D145" si="5">IF(COUNTIF(E82:BA82,"NO")=0,"",COUNTIF(E82:BA82,"NO"))</f>
        <v/>
      </c>
    </row>
    <row r="83" spans="3:4" ht="15.75" x14ac:dyDescent="0.25">
      <c r="C83" s="46" t="str">
        <f t="shared" si="4"/>
        <v/>
      </c>
      <c r="D83" s="46" t="str">
        <f t="shared" si="5"/>
        <v/>
      </c>
    </row>
    <row r="84" spans="3:4" ht="15.75" x14ac:dyDescent="0.25">
      <c r="C84" s="46" t="str">
        <f t="shared" si="4"/>
        <v/>
      </c>
      <c r="D84" s="46" t="str">
        <f t="shared" si="5"/>
        <v/>
      </c>
    </row>
    <row r="85" spans="3:4" ht="15.75" x14ac:dyDescent="0.25">
      <c r="C85" s="46" t="str">
        <f t="shared" si="4"/>
        <v/>
      </c>
      <c r="D85" s="46" t="str">
        <f t="shared" si="5"/>
        <v/>
      </c>
    </row>
    <row r="86" spans="3:4" ht="15.75" x14ac:dyDescent="0.25">
      <c r="C86" s="46" t="str">
        <f t="shared" si="4"/>
        <v/>
      </c>
      <c r="D86" s="46" t="str">
        <f t="shared" si="5"/>
        <v/>
      </c>
    </row>
    <row r="87" spans="3:4" ht="15.75" x14ac:dyDescent="0.25">
      <c r="C87" s="46" t="str">
        <f t="shared" si="4"/>
        <v/>
      </c>
      <c r="D87" s="46" t="str">
        <f t="shared" si="5"/>
        <v/>
      </c>
    </row>
    <row r="88" spans="3:4" ht="15.75" x14ac:dyDescent="0.25">
      <c r="C88" s="46" t="str">
        <f t="shared" si="4"/>
        <v/>
      </c>
      <c r="D88" s="46" t="str">
        <f t="shared" si="5"/>
        <v/>
      </c>
    </row>
    <row r="89" spans="3:4" ht="15.75" x14ac:dyDescent="0.25">
      <c r="C89" s="46" t="str">
        <f t="shared" si="4"/>
        <v/>
      </c>
      <c r="D89" s="46" t="str">
        <f t="shared" si="5"/>
        <v/>
      </c>
    </row>
    <row r="90" spans="3:4" ht="15.75" x14ac:dyDescent="0.25">
      <c r="C90" s="46" t="str">
        <f t="shared" si="4"/>
        <v/>
      </c>
      <c r="D90" s="46" t="str">
        <f t="shared" si="5"/>
        <v/>
      </c>
    </row>
    <row r="91" spans="3:4" ht="15.75" x14ac:dyDescent="0.25">
      <c r="C91" s="46" t="str">
        <f t="shared" si="4"/>
        <v/>
      </c>
      <c r="D91" s="46" t="str">
        <f t="shared" si="5"/>
        <v/>
      </c>
    </row>
    <row r="92" spans="3:4" ht="15.75" x14ac:dyDescent="0.25">
      <c r="C92" s="46" t="str">
        <f t="shared" si="4"/>
        <v/>
      </c>
      <c r="D92" s="46" t="str">
        <f t="shared" si="5"/>
        <v/>
      </c>
    </row>
    <row r="93" spans="3:4" ht="15.75" x14ac:dyDescent="0.25">
      <c r="C93" s="46" t="str">
        <f t="shared" si="4"/>
        <v/>
      </c>
      <c r="D93" s="46" t="str">
        <f t="shared" si="5"/>
        <v/>
      </c>
    </row>
    <row r="94" spans="3:4" ht="15.75" x14ac:dyDescent="0.25">
      <c r="C94" s="46" t="str">
        <f t="shared" si="4"/>
        <v/>
      </c>
      <c r="D94" s="46" t="str">
        <f t="shared" si="5"/>
        <v/>
      </c>
    </row>
    <row r="95" spans="3:4" ht="15.75" x14ac:dyDescent="0.25">
      <c r="C95" s="46" t="str">
        <f t="shared" si="4"/>
        <v/>
      </c>
      <c r="D95" s="46" t="str">
        <f t="shared" si="5"/>
        <v/>
      </c>
    </row>
    <row r="96" spans="3:4" ht="15.75" x14ac:dyDescent="0.25">
      <c r="C96" s="46" t="str">
        <f t="shared" si="4"/>
        <v/>
      </c>
      <c r="D96" s="46" t="str">
        <f t="shared" si="5"/>
        <v/>
      </c>
    </row>
    <row r="97" spans="3:4" ht="15.75" x14ac:dyDescent="0.25">
      <c r="C97" s="46" t="str">
        <f t="shared" si="4"/>
        <v/>
      </c>
      <c r="D97" s="46" t="str">
        <f t="shared" si="5"/>
        <v/>
      </c>
    </row>
    <row r="98" spans="3:4" ht="15.75" x14ac:dyDescent="0.25">
      <c r="C98" s="46" t="str">
        <f t="shared" si="4"/>
        <v/>
      </c>
      <c r="D98" s="46" t="str">
        <f t="shared" si="5"/>
        <v/>
      </c>
    </row>
    <row r="99" spans="3:4" ht="15.75" x14ac:dyDescent="0.25">
      <c r="C99" s="46" t="str">
        <f t="shared" si="4"/>
        <v/>
      </c>
      <c r="D99" s="46" t="str">
        <f t="shared" si="5"/>
        <v/>
      </c>
    </row>
    <row r="100" spans="3:4" ht="15.75" x14ac:dyDescent="0.25">
      <c r="C100" s="46" t="str">
        <f t="shared" si="4"/>
        <v/>
      </c>
      <c r="D100" s="46" t="str">
        <f t="shared" si="5"/>
        <v/>
      </c>
    </row>
    <row r="101" spans="3:4" ht="15.75" x14ac:dyDescent="0.25">
      <c r="C101" s="46" t="str">
        <f t="shared" si="4"/>
        <v/>
      </c>
      <c r="D101" s="46" t="str">
        <f t="shared" si="5"/>
        <v/>
      </c>
    </row>
    <row r="102" spans="3:4" ht="15.75" x14ac:dyDescent="0.25">
      <c r="C102" s="46" t="str">
        <f t="shared" si="4"/>
        <v/>
      </c>
      <c r="D102" s="46" t="str">
        <f t="shared" si="5"/>
        <v/>
      </c>
    </row>
    <row r="103" spans="3:4" ht="15.75" x14ac:dyDescent="0.25">
      <c r="C103" s="46" t="str">
        <f t="shared" si="4"/>
        <v/>
      </c>
      <c r="D103" s="46" t="str">
        <f t="shared" si="5"/>
        <v/>
      </c>
    </row>
    <row r="104" spans="3:4" ht="15.75" x14ac:dyDescent="0.25">
      <c r="C104" s="46" t="str">
        <f t="shared" si="4"/>
        <v/>
      </c>
      <c r="D104" s="46" t="str">
        <f t="shared" si="5"/>
        <v/>
      </c>
    </row>
    <row r="105" spans="3:4" ht="15.75" x14ac:dyDescent="0.25">
      <c r="C105" s="46" t="str">
        <f t="shared" si="4"/>
        <v/>
      </c>
      <c r="D105" s="46" t="str">
        <f t="shared" si="5"/>
        <v/>
      </c>
    </row>
    <row r="106" spans="3:4" ht="15.75" x14ac:dyDescent="0.25">
      <c r="C106" s="46" t="str">
        <f t="shared" si="4"/>
        <v/>
      </c>
      <c r="D106" s="46" t="str">
        <f t="shared" si="5"/>
        <v/>
      </c>
    </row>
    <row r="107" spans="3:4" ht="15.75" x14ac:dyDescent="0.25">
      <c r="C107" s="46" t="str">
        <f t="shared" si="4"/>
        <v/>
      </c>
      <c r="D107" s="46" t="str">
        <f t="shared" si="5"/>
        <v/>
      </c>
    </row>
    <row r="108" spans="3:4" ht="15.75" x14ac:dyDescent="0.25">
      <c r="C108" s="46" t="str">
        <f t="shared" si="4"/>
        <v/>
      </c>
      <c r="D108" s="46" t="str">
        <f t="shared" si="5"/>
        <v/>
      </c>
    </row>
    <row r="109" spans="3:4" ht="15.75" x14ac:dyDescent="0.25">
      <c r="C109" s="46" t="str">
        <f t="shared" si="4"/>
        <v/>
      </c>
      <c r="D109" s="46" t="str">
        <f t="shared" si="5"/>
        <v/>
      </c>
    </row>
    <row r="110" spans="3:4" ht="15.75" x14ac:dyDescent="0.25">
      <c r="C110" s="46" t="str">
        <f t="shared" si="4"/>
        <v/>
      </c>
      <c r="D110" s="46" t="str">
        <f t="shared" si="5"/>
        <v/>
      </c>
    </row>
    <row r="111" spans="3:4" ht="15.75" x14ac:dyDescent="0.25">
      <c r="C111" s="46" t="str">
        <f t="shared" si="4"/>
        <v/>
      </c>
      <c r="D111" s="46" t="str">
        <f t="shared" si="5"/>
        <v/>
      </c>
    </row>
    <row r="112" spans="3:4" ht="15.75" x14ac:dyDescent="0.25">
      <c r="C112" s="46" t="str">
        <f t="shared" si="4"/>
        <v/>
      </c>
      <c r="D112" s="46" t="str">
        <f t="shared" si="5"/>
        <v/>
      </c>
    </row>
    <row r="113" spans="3:4" ht="15.75" x14ac:dyDescent="0.25">
      <c r="C113" s="46" t="str">
        <f t="shared" si="4"/>
        <v/>
      </c>
      <c r="D113" s="46" t="str">
        <f t="shared" si="5"/>
        <v/>
      </c>
    </row>
    <row r="114" spans="3:4" ht="15.75" x14ac:dyDescent="0.25">
      <c r="C114" s="46" t="str">
        <f t="shared" si="4"/>
        <v/>
      </c>
      <c r="D114" s="46" t="str">
        <f t="shared" si="5"/>
        <v/>
      </c>
    </row>
    <row r="115" spans="3:4" ht="15.75" x14ac:dyDescent="0.25">
      <c r="C115" s="46" t="str">
        <f t="shared" si="4"/>
        <v/>
      </c>
      <c r="D115" s="46" t="str">
        <f t="shared" si="5"/>
        <v/>
      </c>
    </row>
    <row r="116" spans="3:4" ht="15.75" x14ac:dyDescent="0.25">
      <c r="C116" s="46" t="str">
        <f t="shared" si="4"/>
        <v/>
      </c>
      <c r="D116" s="46" t="str">
        <f t="shared" si="5"/>
        <v/>
      </c>
    </row>
    <row r="117" spans="3:4" ht="15.75" x14ac:dyDescent="0.25">
      <c r="C117" s="46" t="str">
        <f t="shared" si="4"/>
        <v/>
      </c>
      <c r="D117" s="46" t="str">
        <f t="shared" si="5"/>
        <v/>
      </c>
    </row>
    <row r="118" spans="3:4" ht="15.75" x14ac:dyDescent="0.25">
      <c r="C118" s="46" t="str">
        <f t="shared" si="4"/>
        <v/>
      </c>
      <c r="D118" s="46" t="str">
        <f t="shared" si="5"/>
        <v/>
      </c>
    </row>
    <row r="119" spans="3:4" ht="15.75" x14ac:dyDescent="0.25">
      <c r="C119" s="46" t="str">
        <f t="shared" si="4"/>
        <v/>
      </c>
      <c r="D119" s="46" t="str">
        <f t="shared" si="5"/>
        <v/>
      </c>
    </row>
    <row r="120" spans="3:4" ht="15.75" x14ac:dyDescent="0.25">
      <c r="C120" s="46" t="str">
        <f t="shared" si="4"/>
        <v/>
      </c>
      <c r="D120" s="46" t="str">
        <f t="shared" si="5"/>
        <v/>
      </c>
    </row>
    <row r="121" spans="3:4" ht="15.75" x14ac:dyDescent="0.25">
      <c r="C121" s="46" t="str">
        <f t="shared" si="4"/>
        <v/>
      </c>
      <c r="D121" s="46" t="str">
        <f t="shared" si="5"/>
        <v/>
      </c>
    </row>
    <row r="122" spans="3:4" ht="15.75" x14ac:dyDescent="0.25">
      <c r="C122" s="46" t="str">
        <f t="shared" si="4"/>
        <v/>
      </c>
      <c r="D122" s="46" t="str">
        <f t="shared" si="5"/>
        <v/>
      </c>
    </row>
    <row r="123" spans="3:4" ht="15.75" x14ac:dyDescent="0.25">
      <c r="C123" s="46" t="str">
        <f t="shared" si="4"/>
        <v/>
      </c>
      <c r="D123" s="46" t="str">
        <f t="shared" si="5"/>
        <v/>
      </c>
    </row>
    <row r="124" spans="3:4" ht="15.75" x14ac:dyDescent="0.25">
      <c r="C124" s="46" t="str">
        <f t="shared" si="4"/>
        <v/>
      </c>
      <c r="D124" s="46" t="str">
        <f t="shared" si="5"/>
        <v/>
      </c>
    </row>
    <row r="125" spans="3:4" ht="15.75" x14ac:dyDescent="0.25">
      <c r="C125" s="46" t="str">
        <f t="shared" si="4"/>
        <v/>
      </c>
      <c r="D125" s="46" t="str">
        <f t="shared" si="5"/>
        <v/>
      </c>
    </row>
    <row r="126" spans="3:4" ht="15.75" x14ac:dyDescent="0.25">
      <c r="C126" s="46" t="str">
        <f t="shared" si="4"/>
        <v/>
      </c>
      <c r="D126" s="46" t="str">
        <f t="shared" si="5"/>
        <v/>
      </c>
    </row>
    <row r="127" spans="3:4" ht="15.75" x14ac:dyDescent="0.25">
      <c r="C127" s="46" t="str">
        <f t="shared" si="4"/>
        <v/>
      </c>
      <c r="D127" s="46" t="str">
        <f t="shared" si="5"/>
        <v/>
      </c>
    </row>
    <row r="128" spans="3:4" ht="15.75" x14ac:dyDescent="0.25">
      <c r="C128" s="46" t="str">
        <f t="shared" si="4"/>
        <v/>
      </c>
      <c r="D128" s="46" t="str">
        <f t="shared" si="5"/>
        <v/>
      </c>
    </row>
    <row r="129" spans="3:4" ht="15.75" x14ac:dyDescent="0.25">
      <c r="C129" s="46" t="str">
        <f t="shared" si="4"/>
        <v/>
      </c>
      <c r="D129" s="46" t="str">
        <f t="shared" si="5"/>
        <v/>
      </c>
    </row>
    <row r="130" spans="3:4" ht="15.75" x14ac:dyDescent="0.25">
      <c r="C130" s="46" t="str">
        <f t="shared" si="4"/>
        <v/>
      </c>
      <c r="D130" s="46" t="str">
        <f t="shared" si="5"/>
        <v/>
      </c>
    </row>
    <row r="131" spans="3:4" ht="15.75" x14ac:dyDescent="0.25">
      <c r="C131" s="46" t="str">
        <f t="shared" si="4"/>
        <v/>
      </c>
      <c r="D131" s="46" t="str">
        <f t="shared" si="5"/>
        <v/>
      </c>
    </row>
    <row r="132" spans="3:4" ht="15.75" x14ac:dyDescent="0.25">
      <c r="C132" s="46" t="str">
        <f t="shared" si="4"/>
        <v/>
      </c>
      <c r="D132" s="46" t="str">
        <f t="shared" si="5"/>
        <v/>
      </c>
    </row>
    <row r="133" spans="3:4" ht="15.75" x14ac:dyDescent="0.25">
      <c r="C133" s="46" t="str">
        <f t="shared" si="4"/>
        <v/>
      </c>
      <c r="D133" s="46" t="str">
        <f t="shared" si="5"/>
        <v/>
      </c>
    </row>
    <row r="134" spans="3:4" ht="15.75" x14ac:dyDescent="0.25">
      <c r="C134" s="46" t="str">
        <f t="shared" si="4"/>
        <v/>
      </c>
      <c r="D134" s="46" t="str">
        <f t="shared" si="5"/>
        <v/>
      </c>
    </row>
    <row r="135" spans="3:4" ht="15.75" x14ac:dyDescent="0.25">
      <c r="C135" s="46" t="str">
        <f t="shared" si="4"/>
        <v/>
      </c>
      <c r="D135" s="46" t="str">
        <f t="shared" si="5"/>
        <v/>
      </c>
    </row>
    <row r="136" spans="3:4" ht="15.75" x14ac:dyDescent="0.25">
      <c r="C136" s="46" t="str">
        <f t="shared" si="4"/>
        <v/>
      </c>
      <c r="D136" s="46" t="str">
        <f t="shared" si="5"/>
        <v/>
      </c>
    </row>
    <row r="137" spans="3:4" ht="15.75" x14ac:dyDescent="0.25">
      <c r="C137" s="46" t="str">
        <f t="shared" si="4"/>
        <v/>
      </c>
      <c r="D137" s="46" t="str">
        <f t="shared" si="5"/>
        <v/>
      </c>
    </row>
    <row r="138" spans="3:4" ht="15.75" x14ac:dyDescent="0.25">
      <c r="C138" s="46" t="str">
        <f t="shared" si="4"/>
        <v/>
      </c>
      <c r="D138" s="46" t="str">
        <f t="shared" si="5"/>
        <v/>
      </c>
    </row>
    <row r="139" spans="3:4" ht="15.75" x14ac:dyDescent="0.25">
      <c r="C139" s="46" t="str">
        <f t="shared" si="4"/>
        <v/>
      </c>
      <c r="D139" s="46" t="str">
        <f t="shared" si="5"/>
        <v/>
      </c>
    </row>
    <row r="140" spans="3:4" ht="15.75" x14ac:dyDescent="0.25">
      <c r="C140" s="46" t="str">
        <f t="shared" si="4"/>
        <v/>
      </c>
      <c r="D140" s="46" t="str">
        <f t="shared" si="5"/>
        <v/>
      </c>
    </row>
    <row r="141" spans="3:4" ht="15.75" x14ac:dyDescent="0.25">
      <c r="C141" s="46" t="str">
        <f t="shared" si="4"/>
        <v/>
      </c>
      <c r="D141" s="46" t="str">
        <f t="shared" si="5"/>
        <v/>
      </c>
    </row>
    <row r="142" spans="3:4" ht="15.75" x14ac:dyDescent="0.25">
      <c r="C142" s="46" t="str">
        <f t="shared" si="4"/>
        <v/>
      </c>
      <c r="D142" s="46" t="str">
        <f t="shared" si="5"/>
        <v/>
      </c>
    </row>
    <row r="143" spans="3:4" ht="15.75" x14ac:dyDescent="0.25">
      <c r="C143" s="46" t="str">
        <f t="shared" si="4"/>
        <v/>
      </c>
      <c r="D143" s="46" t="str">
        <f t="shared" si="5"/>
        <v/>
      </c>
    </row>
    <row r="144" spans="3:4" ht="15.75" x14ac:dyDescent="0.25">
      <c r="C144" s="46" t="str">
        <f t="shared" si="4"/>
        <v/>
      </c>
      <c r="D144" s="46" t="str">
        <f t="shared" si="5"/>
        <v/>
      </c>
    </row>
    <row r="145" spans="3:4" ht="15.75" x14ac:dyDescent="0.25">
      <c r="C145" s="46" t="str">
        <f t="shared" si="4"/>
        <v/>
      </c>
      <c r="D145" s="46" t="str">
        <f t="shared" si="5"/>
        <v/>
      </c>
    </row>
    <row r="146" spans="3:4" ht="15.75" x14ac:dyDescent="0.25">
      <c r="C146" s="46" t="str">
        <f t="shared" ref="C146:C209" si="6">IF(COUNTIF(E146:BA146,"YES")=0,"",COUNTIF(E146:BA146,"YES"))</f>
        <v/>
      </c>
      <c r="D146" s="46" t="str">
        <f t="shared" ref="D146:D209" si="7">IF(COUNTIF(E146:BA146,"NO")=0,"",COUNTIF(E146:BA146,"NO"))</f>
        <v/>
      </c>
    </row>
    <row r="147" spans="3:4" ht="15.75" x14ac:dyDescent="0.25">
      <c r="C147" s="46" t="str">
        <f t="shared" si="6"/>
        <v/>
      </c>
      <c r="D147" s="46" t="str">
        <f t="shared" si="7"/>
        <v/>
      </c>
    </row>
    <row r="148" spans="3:4" ht="15.75" x14ac:dyDescent="0.25">
      <c r="C148" s="46" t="str">
        <f t="shared" si="6"/>
        <v/>
      </c>
      <c r="D148" s="46" t="str">
        <f t="shared" si="7"/>
        <v/>
      </c>
    </row>
    <row r="149" spans="3:4" ht="15.75" x14ac:dyDescent="0.25">
      <c r="C149" s="46" t="str">
        <f t="shared" si="6"/>
        <v/>
      </c>
      <c r="D149" s="46" t="str">
        <f t="shared" si="7"/>
        <v/>
      </c>
    </row>
    <row r="150" spans="3:4" ht="15.75" x14ac:dyDescent="0.25">
      <c r="C150" s="46" t="str">
        <f t="shared" si="6"/>
        <v/>
      </c>
      <c r="D150" s="46" t="str">
        <f t="shared" si="7"/>
        <v/>
      </c>
    </row>
    <row r="151" spans="3:4" ht="15.75" x14ac:dyDescent="0.25">
      <c r="C151" s="46" t="str">
        <f t="shared" si="6"/>
        <v/>
      </c>
      <c r="D151" s="46" t="str">
        <f t="shared" si="7"/>
        <v/>
      </c>
    </row>
    <row r="152" spans="3:4" ht="15.75" x14ac:dyDescent="0.25">
      <c r="C152" s="46" t="str">
        <f t="shared" si="6"/>
        <v/>
      </c>
      <c r="D152" s="46" t="str">
        <f t="shared" si="7"/>
        <v/>
      </c>
    </row>
    <row r="153" spans="3:4" ht="15.75" x14ac:dyDescent="0.25">
      <c r="C153" s="46" t="str">
        <f t="shared" si="6"/>
        <v/>
      </c>
      <c r="D153" s="46" t="str">
        <f t="shared" si="7"/>
        <v/>
      </c>
    </row>
    <row r="154" spans="3:4" ht="15.75" x14ac:dyDescent="0.25">
      <c r="C154" s="46" t="str">
        <f t="shared" si="6"/>
        <v/>
      </c>
      <c r="D154" s="46" t="str">
        <f t="shared" si="7"/>
        <v/>
      </c>
    </row>
    <row r="155" spans="3:4" ht="15.75" x14ac:dyDescent="0.25">
      <c r="C155" s="46" t="str">
        <f t="shared" si="6"/>
        <v/>
      </c>
      <c r="D155" s="46" t="str">
        <f t="shared" si="7"/>
        <v/>
      </c>
    </row>
    <row r="156" spans="3:4" ht="15.75" x14ac:dyDescent="0.25">
      <c r="C156" s="46" t="str">
        <f t="shared" si="6"/>
        <v/>
      </c>
      <c r="D156" s="46" t="str">
        <f t="shared" si="7"/>
        <v/>
      </c>
    </row>
    <row r="157" spans="3:4" ht="15.75" x14ac:dyDescent="0.25">
      <c r="C157" s="46" t="str">
        <f t="shared" si="6"/>
        <v/>
      </c>
      <c r="D157" s="46" t="str">
        <f t="shared" si="7"/>
        <v/>
      </c>
    </row>
    <row r="158" spans="3:4" ht="15.75" x14ac:dyDescent="0.25">
      <c r="C158" s="46" t="str">
        <f t="shared" si="6"/>
        <v/>
      </c>
      <c r="D158" s="46" t="str">
        <f t="shared" si="7"/>
        <v/>
      </c>
    </row>
    <row r="159" spans="3:4" ht="15.75" x14ac:dyDescent="0.25">
      <c r="C159" s="46" t="str">
        <f t="shared" si="6"/>
        <v/>
      </c>
      <c r="D159" s="46" t="str">
        <f t="shared" si="7"/>
        <v/>
      </c>
    </row>
    <row r="160" spans="3:4" ht="15.75" x14ac:dyDescent="0.25">
      <c r="C160" s="46" t="str">
        <f t="shared" si="6"/>
        <v/>
      </c>
      <c r="D160" s="46" t="str">
        <f t="shared" si="7"/>
        <v/>
      </c>
    </row>
    <row r="161" spans="3:4" ht="15.75" x14ac:dyDescent="0.25">
      <c r="C161" s="46" t="str">
        <f t="shared" si="6"/>
        <v/>
      </c>
      <c r="D161" s="46" t="str">
        <f t="shared" si="7"/>
        <v/>
      </c>
    </row>
    <row r="162" spans="3:4" ht="15.75" x14ac:dyDescent="0.25">
      <c r="C162" s="46" t="str">
        <f t="shared" si="6"/>
        <v/>
      </c>
      <c r="D162" s="46" t="str">
        <f t="shared" si="7"/>
        <v/>
      </c>
    </row>
    <row r="163" spans="3:4" ht="15.75" x14ac:dyDescent="0.25">
      <c r="C163" s="46" t="str">
        <f t="shared" si="6"/>
        <v/>
      </c>
      <c r="D163" s="46" t="str">
        <f t="shared" si="7"/>
        <v/>
      </c>
    </row>
    <row r="164" spans="3:4" ht="15.75" x14ac:dyDescent="0.25">
      <c r="C164" s="46" t="str">
        <f t="shared" si="6"/>
        <v/>
      </c>
      <c r="D164" s="46" t="str">
        <f t="shared" si="7"/>
        <v/>
      </c>
    </row>
    <row r="165" spans="3:4" ht="15.75" x14ac:dyDescent="0.25">
      <c r="C165" s="46" t="str">
        <f t="shared" si="6"/>
        <v/>
      </c>
      <c r="D165" s="46" t="str">
        <f t="shared" si="7"/>
        <v/>
      </c>
    </row>
    <row r="166" spans="3:4" ht="15.75" x14ac:dyDescent="0.25">
      <c r="C166" s="46" t="str">
        <f t="shared" si="6"/>
        <v/>
      </c>
      <c r="D166" s="46" t="str">
        <f t="shared" si="7"/>
        <v/>
      </c>
    </row>
    <row r="167" spans="3:4" ht="15.75" x14ac:dyDescent="0.25">
      <c r="C167" s="46" t="str">
        <f t="shared" si="6"/>
        <v/>
      </c>
      <c r="D167" s="46" t="str">
        <f t="shared" si="7"/>
        <v/>
      </c>
    </row>
    <row r="168" spans="3:4" ht="15.75" x14ac:dyDescent="0.25">
      <c r="C168" s="46" t="str">
        <f t="shared" si="6"/>
        <v/>
      </c>
      <c r="D168" s="46" t="str">
        <f t="shared" si="7"/>
        <v/>
      </c>
    </row>
    <row r="169" spans="3:4" ht="15.75" x14ac:dyDescent="0.25">
      <c r="C169" s="46" t="str">
        <f t="shared" si="6"/>
        <v/>
      </c>
      <c r="D169" s="46" t="str">
        <f t="shared" si="7"/>
        <v/>
      </c>
    </row>
    <row r="170" spans="3:4" ht="15.75" x14ac:dyDescent="0.25">
      <c r="C170" s="46" t="str">
        <f t="shared" si="6"/>
        <v/>
      </c>
      <c r="D170" s="46" t="str">
        <f t="shared" si="7"/>
        <v/>
      </c>
    </row>
    <row r="171" spans="3:4" ht="15.75" x14ac:dyDescent="0.25">
      <c r="C171" s="46" t="str">
        <f t="shared" si="6"/>
        <v/>
      </c>
      <c r="D171" s="46" t="str">
        <f t="shared" si="7"/>
        <v/>
      </c>
    </row>
    <row r="172" spans="3:4" ht="15.75" x14ac:dyDescent="0.25">
      <c r="C172" s="46" t="str">
        <f t="shared" si="6"/>
        <v/>
      </c>
      <c r="D172" s="46" t="str">
        <f t="shared" si="7"/>
        <v/>
      </c>
    </row>
    <row r="173" spans="3:4" ht="15.75" x14ac:dyDescent="0.25">
      <c r="C173" s="46" t="str">
        <f t="shared" si="6"/>
        <v/>
      </c>
      <c r="D173" s="46" t="str">
        <f t="shared" si="7"/>
        <v/>
      </c>
    </row>
    <row r="174" spans="3:4" ht="15.75" x14ac:dyDescent="0.25">
      <c r="C174" s="46" t="str">
        <f t="shared" si="6"/>
        <v/>
      </c>
      <c r="D174" s="46" t="str">
        <f t="shared" si="7"/>
        <v/>
      </c>
    </row>
    <row r="175" spans="3:4" ht="15.75" x14ac:dyDescent="0.25">
      <c r="C175" s="46" t="str">
        <f t="shared" si="6"/>
        <v/>
      </c>
      <c r="D175" s="46" t="str">
        <f t="shared" si="7"/>
        <v/>
      </c>
    </row>
    <row r="176" spans="3:4" ht="15.75" x14ac:dyDescent="0.25">
      <c r="C176" s="46" t="str">
        <f t="shared" si="6"/>
        <v/>
      </c>
      <c r="D176" s="46" t="str">
        <f t="shared" si="7"/>
        <v/>
      </c>
    </row>
    <row r="177" spans="3:4" ht="15.75" x14ac:dyDescent="0.25">
      <c r="C177" s="46" t="str">
        <f t="shared" si="6"/>
        <v/>
      </c>
      <c r="D177" s="46" t="str">
        <f t="shared" si="7"/>
        <v/>
      </c>
    </row>
    <row r="178" spans="3:4" ht="15.75" x14ac:dyDescent="0.25">
      <c r="C178" s="46" t="str">
        <f t="shared" si="6"/>
        <v/>
      </c>
      <c r="D178" s="46" t="str">
        <f t="shared" si="7"/>
        <v/>
      </c>
    </row>
    <row r="179" spans="3:4" ht="15.75" x14ac:dyDescent="0.25">
      <c r="C179" s="46" t="str">
        <f t="shared" si="6"/>
        <v/>
      </c>
      <c r="D179" s="46" t="str">
        <f t="shared" si="7"/>
        <v/>
      </c>
    </row>
    <row r="180" spans="3:4" ht="15.75" x14ac:dyDescent="0.25">
      <c r="C180" s="46" t="str">
        <f t="shared" si="6"/>
        <v/>
      </c>
      <c r="D180" s="46" t="str">
        <f t="shared" si="7"/>
        <v/>
      </c>
    </row>
    <row r="181" spans="3:4" ht="15.75" x14ac:dyDescent="0.25">
      <c r="C181" s="46" t="str">
        <f t="shared" si="6"/>
        <v/>
      </c>
      <c r="D181" s="46" t="str">
        <f t="shared" si="7"/>
        <v/>
      </c>
    </row>
    <row r="182" spans="3:4" ht="15.75" x14ac:dyDescent="0.25">
      <c r="C182" s="46" t="str">
        <f t="shared" si="6"/>
        <v/>
      </c>
      <c r="D182" s="46" t="str">
        <f t="shared" si="7"/>
        <v/>
      </c>
    </row>
    <row r="183" spans="3:4" ht="15.75" x14ac:dyDescent="0.25">
      <c r="C183" s="46" t="str">
        <f t="shared" si="6"/>
        <v/>
      </c>
      <c r="D183" s="46" t="str">
        <f t="shared" si="7"/>
        <v/>
      </c>
    </row>
    <row r="184" spans="3:4" ht="15.75" x14ac:dyDescent="0.25">
      <c r="C184" s="46" t="str">
        <f t="shared" si="6"/>
        <v/>
      </c>
      <c r="D184" s="46" t="str">
        <f t="shared" si="7"/>
        <v/>
      </c>
    </row>
    <row r="185" spans="3:4" ht="15.75" x14ac:dyDescent="0.25">
      <c r="C185" s="46" t="str">
        <f t="shared" si="6"/>
        <v/>
      </c>
      <c r="D185" s="46" t="str">
        <f t="shared" si="7"/>
        <v/>
      </c>
    </row>
    <row r="186" spans="3:4" ht="15.75" x14ac:dyDescent="0.25">
      <c r="C186" s="46" t="str">
        <f t="shared" si="6"/>
        <v/>
      </c>
      <c r="D186" s="46" t="str">
        <f t="shared" si="7"/>
        <v/>
      </c>
    </row>
    <row r="187" spans="3:4" ht="15.75" x14ac:dyDescent="0.25">
      <c r="C187" s="46" t="str">
        <f t="shared" si="6"/>
        <v/>
      </c>
      <c r="D187" s="46" t="str">
        <f t="shared" si="7"/>
        <v/>
      </c>
    </row>
    <row r="188" spans="3:4" ht="15.75" x14ac:dyDescent="0.25">
      <c r="C188" s="46" t="str">
        <f t="shared" si="6"/>
        <v/>
      </c>
      <c r="D188" s="46" t="str">
        <f t="shared" si="7"/>
        <v/>
      </c>
    </row>
    <row r="189" spans="3:4" ht="15.75" x14ac:dyDescent="0.25">
      <c r="C189" s="46" t="str">
        <f t="shared" si="6"/>
        <v/>
      </c>
      <c r="D189" s="46" t="str">
        <f t="shared" si="7"/>
        <v/>
      </c>
    </row>
    <row r="190" spans="3:4" ht="15.75" x14ac:dyDescent="0.25">
      <c r="C190" s="46" t="str">
        <f t="shared" si="6"/>
        <v/>
      </c>
      <c r="D190" s="46" t="str">
        <f t="shared" si="7"/>
        <v/>
      </c>
    </row>
    <row r="191" spans="3:4" ht="15.75" x14ac:dyDescent="0.25">
      <c r="C191" s="46" t="str">
        <f t="shared" si="6"/>
        <v/>
      </c>
      <c r="D191" s="46" t="str">
        <f t="shared" si="7"/>
        <v/>
      </c>
    </row>
    <row r="192" spans="3:4" ht="15.75" x14ac:dyDescent="0.25">
      <c r="C192" s="46" t="str">
        <f t="shared" si="6"/>
        <v/>
      </c>
      <c r="D192" s="46" t="str">
        <f t="shared" si="7"/>
        <v/>
      </c>
    </row>
    <row r="193" spans="3:4" ht="15.75" x14ac:dyDescent="0.25">
      <c r="C193" s="46" t="str">
        <f t="shared" si="6"/>
        <v/>
      </c>
      <c r="D193" s="46" t="str">
        <f t="shared" si="7"/>
        <v/>
      </c>
    </row>
    <row r="194" spans="3:4" ht="15.75" x14ac:dyDescent="0.25">
      <c r="C194" s="46" t="str">
        <f t="shared" si="6"/>
        <v/>
      </c>
      <c r="D194" s="46" t="str">
        <f t="shared" si="7"/>
        <v/>
      </c>
    </row>
    <row r="195" spans="3:4" ht="15.75" x14ac:dyDescent="0.25">
      <c r="C195" s="46" t="str">
        <f t="shared" si="6"/>
        <v/>
      </c>
      <c r="D195" s="46" t="str">
        <f t="shared" si="7"/>
        <v/>
      </c>
    </row>
    <row r="196" spans="3:4" ht="15.75" x14ac:dyDescent="0.25">
      <c r="C196" s="46" t="str">
        <f t="shared" si="6"/>
        <v/>
      </c>
      <c r="D196" s="46" t="str">
        <f t="shared" si="7"/>
        <v/>
      </c>
    </row>
    <row r="197" spans="3:4" ht="15.75" x14ac:dyDescent="0.25">
      <c r="C197" s="46" t="str">
        <f t="shared" si="6"/>
        <v/>
      </c>
      <c r="D197" s="46" t="str">
        <f t="shared" si="7"/>
        <v/>
      </c>
    </row>
    <row r="198" spans="3:4" ht="15.75" x14ac:dyDescent="0.25">
      <c r="C198" s="46" t="str">
        <f t="shared" si="6"/>
        <v/>
      </c>
      <c r="D198" s="46" t="str">
        <f t="shared" si="7"/>
        <v/>
      </c>
    </row>
    <row r="199" spans="3:4" ht="15.75" x14ac:dyDescent="0.25">
      <c r="C199" s="46" t="str">
        <f t="shared" si="6"/>
        <v/>
      </c>
      <c r="D199" s="46" t="str">
        <f t="shared" si="7"/>
        <v/>
      </c>
    </row>
    <row r="200" spans="3:4" ht="15.75" x14ac:dyDescent="0.25">
      <c r="C200" s="46" t="str">
        <f t="shared" si="6"/>
        <v/>
      </c>
      <c r="D200" s="46" t="str">
        <f t="shared" si="7"/>
        <v/>
      </c>
    </row>
    <row r="201" spans="3:4" ht="15.75" x14ac:dyDescent="0.25">
      <c r="C201" s="46" t="str">
        <f t="shared" si="6"/>
        <v/>
      </c>
      <c r="D201" s="46" t="str">
        <f t="shared" si="7"/>
        <v/>
      </c>
    </row>
    <row r="202" spans="3:4" ht="15.75" x14ac:dyDescent="0.25">
      <c r="C202" s="46" t="str">
        <f t="shared" si="6"/>
        <v/>
      </c>
      <c r="D202" s="46" t="str">
        <f t="shared" si="7"/>
        <v/>
      </c>
    </row>
    <row r="203" spans="3:4" ht="15.75" x14ac:dyDescent="0.25">
      <c r="C203" s="46" t="str">
        <f t="shared" si="6"/>
        <v/>
      </c>
      <c r="D203" s="46" t="str">
        <f t="shared" si="7"/>
        <v/>
      </c>
    </row>
    <row r="204" spans="3:4" ht="15.75" x14ac:dyDescent="0.25">
      <c r="C204" s="46" t="str">
        <f t="shared" si="6"/>
        <v/>
      </c>
      <c r="D204" s="46" t="str">
        <f t="shared" si="7"/>
        <v/>
      </c>
    </row>
    <row r="205" spans="3:4" ht="15.75" x14ac:dyDescent="0.25">
      <c r="C205" s="46" t="str">
        <f t="shared" si="6"/>
        <v/>
      </c>
      <c r="D205" s="46" t="str">
        <f t="shared" si="7"/>
        <v/>
      </c>
    </row>
    <row r="206" spans="3:4" ht="15.75" x14ac:dyDescent="0.25">
      <c r="C206" s="46" t="str">
        <f t="shared" si="6"/>
        <v/>
      </c>
      <c r="D206" s="46" t="str">
        <f t="shared" si="7"/>
        <v/>
      </c>
    </row>
    <row r="207" spans="3:4" ht="15.75" x14ac:dyDescent="0.25">
      <c r="C207" s="46" t="str">
        <f t="shared" si="6"/>
        <v/>
      </c>
      <c r="D207" s="46" t="str">
        <f t="shared" si="7"/>
        <v/>
      </c>
    </row>
    <row r="208" spans="3:4" ht="15.75" x14ac:dyDescent="0.25">
      <c r="C208" s="46" t="str">
        <f t="shared" si="6"/>
        <v/>
      </c>
      <c r="D208" s="46" t="str">
        <f t="shared" si="7"/>
        <v/>
      </c>
    </row>
    <row r="209" spans="3:4" ht="15.75" x14ac:dyDescent="0.25">
      <c r="C209" s="46" t="str">
        <f t="shared" si="6"/>
        <v/>
      </c>
      <c r="D209" s="46" t="str">
        <f t="shared" si="7"/>
        <v/>
      </c>
    </row>
    <row r="210" spans="3:4" ht="15.75" x14ac:dyDescent="0.25">
      <c r="C210" s="46" t="str">
        <f t="shared" ref="C210:C273" si="8">IF(COUNTIF(E210:BA210,"YES")=0,"",COUNTIF(E210:BA210,"YES"))</f>
        <v/>
      </c>
      <c r="D210" s="46" t="str">
        <f t="shared" ref="D210:D273" si="9">IF(COUNTIF(E210:BA210,"NO")=0,"",COUNTIF(E210:BA210,"NO"))</f>
        <v/>
      </c>
    </row>
    <row r="211" spans="3:4" ht="15.75" x14ac:dyDescent="0.25">
      <c r="C211" s="46" t="str">
        <f t="shared" si="8"/>
        <v/>
      </c>
      <c r="D211" s="46" t="str">
        <f t="shared" si="9"/>
        <v/>
      </c>
    </row>
    <row r="212" spans="3:4" ht="15.75" x14ac:dyDescent="0.25">
      <c r="C212" s="46" t="str">
        <f t="shared" si="8"/>
        <v/>
      </c>
      <c r="D212" s="46" t="str">
        <f t="shared" si="9"/>
        <v/>
      </c>
    </row>
    <row r="213" spans="3:4" ht="15.75" x14ac:dyDescent="0.25">
      <c r="C213" s="46" t="str">
        <f t="shared" si="8"/>
        <v/>
      </c>
      <c r="D213" s="46" t="str">
        <f t="shared" si="9"/>
        <v/>
      </c>
    </row>
    <row r="214" spans="3:4" ht="15.75" x14ac:dyDescent="0.25">
      <c r="C214" s="46" t="str">
        <f t="shared" si="8"/>
        <v/>
      </c>
      <c r="D214" s="46" t="str">
        <f t="shared" si="9"/>
        <v/>
      </c>
    </row>
    <row r="215" spans="3:4" ht="15.75" x14ac:dyDescent="0.25">
      <c r="C215" s="46" t="str">
        <f t="shared" si="8"/>
        <v/>
      </c>
      <c r="D215" s="46" t="str">
        <f t="shared" si="9"/>
        <v/>
      </c>
    </row>
    <row r="216" spans="3:4" ht="15.75" x14ac:dyDescent="0.25">
      <c r="C216" s="46" t="str">
        <f t="shared" si="8"/>
        <v/>
      </c>
      <c r="D216" s="46" t="str">
        <f t="shared" si="9"/>
        <v/>
      </c>
    </row>
    <row r="217" spans="3:4" ht="15.75" x14ac:dyDescent="0.25">
      <c r="C217" s="46" t="str">
        <f t="shared" si="8"/>
        <v/>
      </c>
      <c r="D217" s="46" t="str">
        <f t="shared" si="9"/>
        <v/>
      </c>
    </row>
    <row r="218" spans="3:4" ht="15.75" x14ac:dyDescent="0.25">
      <c r="C218" s="46" t="str">
        <f t="shared" si="8"/>
        <v/>
      </c>
      <c r="D218" s="46" t="str">
        <f t="shared" si="9"/>
        <v/>
      </c>
    </row>
    <row r="219" spans="3:4" ht="15.75" x14ac:dyDescent="0.25">
      <c r="C219" s="46" t="str">
        <f t="shared" si="8"/>
        <v/>
      </c>
      <c r="D219" s="46" t="str">
        <f t="shared" si="9"/>
        <v/>
      </c>
    </row>
    <row r="220" spans="3:4" ht="15.75" x14ac:dyDescent="0.25">
      <c r="C220" s="46" t="str">
        <f t="shared" si="8"/>
        <v/>
      </c>
      <c r="D220" s="46" t="str">
        <f t="shared" si="9"/>
        <v/>
      </c>
    </row>
    <row r="221" spans="3:4" ht="15.75" x14ac:dyDescent="0.25">
      <c r="C221" s="46" t="str">
        <f t="shared" si="8"/>
        <v/>
      </c>
      <c r="D221" s="46" t="str">
        <f t="shared" si="9"/>
        <v/>
      </c>
    </row>
    <row r="222" spans="3:4" ht="15.75" x14ac:dyDescent="0.25">
      <c r="C222" s="46" t="str">
        <f t="shared" si="8"/>
        <v/>
      </c>
      <c r="D222" s="46" t="str">
        <f t="shared" si="9"/>
        <v/>
      </c>
    </row>
    <row r="223" spans="3:4" ht="15.75" x14ac:dyDescent="0.25">
      <c r="C223" s="46" t="str">
        <f t="shared" si="8"/>
        <v/>
      </c>
      <c r="D223" s="46" t="str">
        <f t="shared" si="9"/>
        <v/>
      </c>
    </row>
    <row r="224" spans="3:4" ht="15.75" x14ac:dyDescent="0.25">
      <c r="C224" s="46" t="str">
        <f t="shared" si="8"/>
        <v/>
      </c>
      <c r="D224" s="46" t="str">
        <f t="shared" si="9"/>
        <v/>
      </c>
    </row>
    <row r="225" spans="3:4" ht="15.75" x14ac:dyDescent="0.25">
      <c r="C225" s="46" t="str">
        <f t="shared" si="8"/>
        <v/>
      </c>
      <c r="D225" s="46" t="str">
        <f t="shared" si="9"/>
        <v/>
      </c>
    </row>
    <row r="226" spans="3:4" ht="15.75" x14ac:dyDescent="0.25">
      <c r="C226" s="46" t="str">
        <f t="shared" si="8"/>
        <v/>
      </c>
      <c r="D226" s="46" t="str">
        <f t="shared" si="9"/>
        <v/>
      </c>
    </row>
    <row r="227" spans="3:4" ht="15.75" x14ac:dyDescent="0.25">
      <c r="C227" s="46" t="str">
        <f t="shared" si="8"/>
        <v/>
      </c>
      <c r="D227" s="46" t="str">
        <f t="shared" si="9"/>
        <v/>
      </c>
    </row>
    <row r="228" spans="3:4" ht="15.75" x14ac:dyDescent="0.25">
      <c r="C228" s="46" t="str">
        <f t="shared" si="8"/>
        <v/>
      </c>
      <c r="D228" s="46" t="str">
        <f t="shared" si="9"/>
        <v/>
      </c>
    </row>
    <row r="229" spans="3:4" ht="15.75" x14ac:dyDescent="0.25">
      <c r="C229" s="46" t="str">
        <f t="shared" si="8"/>
        <v/>
      </c>
      <c r="D229" s="46" t="str">
        <f t="shared" si="9"/>
        <v/>
      </c>
    </row>
    <row r="230" spans="3:4" ht="15.75" x14ac:dyDescent="0.25">
      <c r="C230" s="46" t="str">
        <f t="shared" si="8"/>
        <v/>
      </c>
      <c r="D230" s="46" t="str">
        <f t="shared" si="9"/>
        <v/>
      </c>
    </row>
    <row r="231" spans="3:4" ht="15.75" x14ac:dyDescent="0.25">
      <c r="C231" s="46" t="str">
        <f t="shared" si="8"/>
        <v/>
      </c>
      <c r="D231" s="46" t="str">
        <f t="shared" si="9"/>
        <v/>
      </c>
    </row>
    <row r="232" spans="3:4" ht="15.75" x14ac:dyDescent="0.25">
      <c r="C232" s="46" t="str">
        <f t="shared" si="8"/>
        <v/>
      </c>
      <c r="D232" s="46" t="str">
        <f t="shared" si="9"/>
        <v/>
      </c>
    </row>
    <row r="233" spans="3:4" ht="15.75" x14ac:dyDescent="0.25">
      <c r="C233" s="46" t="str">
        <f t="shared" si="8"/>
        <v/>
      </c>
      <c r="D233" s="46" t="str">
        <f t="shared" si="9"/>
        <v/>
      </c>
    </row>
    <row r="234" spans="3:4" ht="15.75" x14ac:dyDescent="0.25">
      <c r="C234" s="46" t="str">
        <f t="shared" si="8"/>
        <v/>
      </c>
      <c r="D234" s="46" t="str">
        <f t="shared" si="9"/>
        <v/>
      </c>
    </row>
    <row r="235" spans="3:4" ht="15.75" x14ac:dyDescent="0.25">
      <c r="C235" s="46" t="str">
        <f t="shared" si="8"/>
        <v/>
      </c>
      <c r="D235" s="46" t="str">
        <f t="shared" si="9"/>
        <v/>
      </c>
    </row>
    <row r="236" spans="3:4" ht="15.75" x14ac:dyDescent="0.25">
      <c r="C236" s="46" t="str">
        <f t="shared" si="8"/>
        <v/>
      </c>
      <c r="D236" s="46" t="str">
        <f t="shared" si="9"/>
        <v/>
      </c>
    </row>
    <row r="237" spans="3:4" ht="15.75" x14ac:dyDescent="0.25">
      <c r="C237" s="46" t="str">
        <f t="shared" si="8"/>
        <v/>
      </c>
      <c r="D237" s="46" t="str">
        <f t="shared" si="9"/>
        <v/>
      </c>
    </row>
    <row r="238" spans="3:4" ht="15.75" x14ac:dyDescent="0.25">
      <c r="C238" s="46" t="str">
        <f t="shared" si="8"/>
        <v/>
      </c>
      <c r="D238" s="46" t="str">
        <f t="shared" si="9"/>
        <v/>
      </c>
    </row>
    <row r="239" spans="3:4" ht="15.75" x14ac:dyDescent="0.25">
      <c r="C239" s="46" t="str">
        <f t="shared" si="8"/>
        <v/>
      </c>
      <c r="D239" s="46" t="str">
        <f t="shared" si="9"/>
        <v/>
      </c>
    </row>
    <row r="240" spans="3:4" ht="15.75" x14ac:dyDescent="0.25">
      <c r="C240" s="46" t="str">
        <f t="shared" si="8"/>
        <v/>
      </c>
      <c r="D240" s="46" t="str">
        <f t="shared" si="9"/>
        <v/>
      </c>
    </row>
    <row r="241" spans="3:4" ht="15.75" x14ac:dyDescent="0.25">
      <c r="C241" s="46" t="str">
        <f t="shared" si="8"/>
        <v/>
      </c>
      <c r="D241" s="46" t="str">
        <f t="shared" si="9"/>
        <v/>
      </c>
    </row>
    <row r="242" spans="3:4" ht="15.75" x14ac:dyDescent="0.25">
      <c r="C242" s="46" t="str">
        <f t="shared" si="8"/>
        <v/>
      </c>
      <c r="D242" s="46" t="str">
        <f t="shared" si="9"/>
        <v/>
      </c>
    </row>
    <row r="243" spans="3:4" ht="15.75" x14ac:dyDescent="0.25">
      <c r="C243" s="46" t="str">
        <f t="shared" si="8"/>
        <v/>
      </c>
      <c r="D243" s="46" t="str">
        <f t="shared" si="9"/>
        <v/>
      </c>
    </row>
    <row r="244" spans="3:4" ht="15.75" x14ac:dyDescent="0.25">
      <c r="C244" s="46" t="str">
        <f t="shared" si="8"/>
        <v/>
      </c>
      <c r="D244" s="46" t="str">
        <f t="shared" si="9"/>
        <v/>
      </c>
    </row>
    <row r="245" spans="3:4" ht="15.75" x14ac:dyDescent="0.25">
      <c r="C245" s="46" t="str">
        <f t="shared" si="8"/>
        <v/>
      </c>
      <c r="D245" s="46" t="str">
        <f t="shared" si="9"/>
        <v/>
      </c>
    </row>
    <row r="246" spans="3:4" ht="15.75" x14ac:dyDescent="0.25">
      <c r="C246" s="46" t="str">
        <f t="shared" si="8"/>
        <v/>
      </c>
      <c r="D246" s="46" t="str">
        <f t="shared" si="9"/>
        <v/>
      </c>
    </row>
    <row r="247" spans="3:4" ht="15.75" x14ac:dyDescent="0.25">
      <c r="C247" s="46" t="str">
        <f t="shared" si="8"/>
        <v/>
      </c>
      <c r="D247" s="46" t="str">
        <f t="shared" si="9"/>
        <v/>
      </c>
    </row>
    <row r="248" spans="3:4" ht="15.75" x14ac:dyDescent="0.25">
      <c r="C248" s="46" t="str">
        <f t="shared" si="8"/>
        <v/>
      </c>
      <c r="D248" s="46" t="str">
        <f t="shared" si="9"/>
        <v/>
      </c>
    </row>
    <row r="249" spans="3:4" ht="15.75" x14ac:dyDescent="0.25">
      <c r="C249" s="46" t="str">
        <f t="shared" si="8"/>
        <v/>
      </c>
      <c r="D249" s="46" t="str">
        <f t="shared" si="9"/>
        <v/>
      </c>
    </row>
    <row r="250" spans="3:4" ht="15.75" x14ac:dyDescent="0.25">
      <c r="C250" s="46" t="str">
        <f t="shared" si="8"/>
        <v/>
      </c>
      <c r="D250" s="46" t="str">
        <f t="shared" si="9"/>
        <v/>
      </c>
    </row>
    <row r="251" spans="3:4" ht="15.75" x14ac:dyDescent="0.25">
      <c r="C251" s="46" t="str">
        <f t="shared" si="8"/>
        <v/>
      </c>
      <c r="D251" s="46" t="str">
        <f t="shared" si="9"/>
        <v/>
      </c>
    </row>
    <row r="252" spans="3:4" ht="15.75" x14ac:dyDescent="0.25">
      <c r="C252" s="46" t="str">
        <f t="shared" si="8"/>
        <v/>
      </c>
      <c r="D252" s="46" t="str">
        <f t="shared" si="9"/>
        <v/>
      </c>
    </row>
    <row r="253" spans="3:4" ht="15.75" x14ac:dyDescent="0.25">
      <c r="C253" s="46" t="str">
        <f t="shared" si="8"/>
        <v/>
      </c>
      <c r="D253" s="46" t="str">
        <f t="shared" si="9"/>
        <v/>
      </c>
    </row>
    <row r="254" spans="3:4" ht="15.75" x14ac:dyDescent="0.25">
      <c r="C254" s="46" t="str">
        <f t="shared" si="8"/>
        <v/>
      </c>
      <c r="D254" s="46" t="str">
        <f t="shared" si="9"/>
        <v/>
      </c>
    </row>
    <row r="255" spans="3:4" ht="15.75" x14ac:dyDescent="0.25">
      <c r="C255" s="46" t="str">
        <f t="shared" si="8"/>
        <v/>
      </c>
      <c r="D255" s="46" t="str">
        <f t="shared" si="9"/>
        <v/>
      </c>
    </row>
    <row r="256" spans="3:4" ht="15.75" x14ac:dyDescent="0.25">
      <c r="C256" s="46" t="str">
        <f t="shared" si="8"/>
        <v/>
      </c>
      <c r="D256" s="46" t="str">
        <f t="shared" si="9"/>
        <v/>
      </c>
    </row>
    <row r="257" spans="3:4" ht="15.75" x14ac:dyDescent="0.25">
      <c r="C257" s="46" t="str">
        <f t="shared" si="8"/>
        <v/>
      </c>
      <c r="D257" s="46" t="str">
        <f t="shared" si="9"/>
        <v/>
      </c>
    </row>
    <row r="258" spans="3:4" ht="15.75" x14ac:dyDescent="0.25">
      <c r="C258" s="46" t="str">
        <f t="shared" si="8"/>
        <v/>
      </c>
      <c r="D258" s="46" t="str">
        <f t="shared" si="9"/>
        <v/>
      </c>
    </row>
    <row r="259" spans="3:4" ht="15.75" x14ac:dyDescent="0.25">
      <c r="C259" s="46" t="str">
        <f t="shared" si="8"/>
        <v/>
      </c>
      <c r="D259" s="46" t="str">
        <f t="shared" si="9"/>
        <v/>
      </c>
    </row>
    <row r="260" spans="3:4" ht="15.75" x14ac:dyDescent="0.25">
      <c r="C260" s="46" t="str">
        <f t="shared" si="8"/>
        <v/>
      </c>
      <c r="D260" s="46" t="str">
        <f t="shared" si="9"/>
        <v/>
      </c>
    </row>
    <row r="261" spans="3:4" ht="15.75" x14ac:dyDescent="0.25">
      <c r="C261" s="46" t="str">
        <f t="shared" si="8"/>
        <v/>
      </c>
      <c r="D261" s="46" t="str">
        <f t="shared" si="9"/>
        <v/>
      </c>
    </row>
    <row r="262" spans="3:4" ht="15.75" x14ac:dyDescent="0.25">
      <c r="C262" s="46" t="str">
        <f t="shared" si="8"/>
        <v/>
      </c>
      <c r="D262" s="46" t="str">
        <f t="shared" si="9"/>
        <v/>
      </c>
    </row>
    <row r="263" spans="3:4" ht="15.75" x14ac:dyDescent="0.25">
      <c r="C263" s="46" t="str">
        <f t="shared" si="8"/>
        <v/>
      </c>
      <c r="D263" s="46" t="str">
        <f t="shared" si="9"/>
        <v/>
      </c>
    </row>
    <row r="264" spans="3:4" ht="15.75" x14ac:dyDescent="0.25">
      <c r="C264" s="46" t="str">
        <f t="shared" si="8"/>
        <v/>
      </c>
      <c r="D264" s="46" t="str">
        <f t="shared" si="9"/>
        <v/>
      </c>
    </row>
    <row r="265" spans="3:4" ht="15.75" x14ac:dyDescent="0.25">
      <c r="C265" s="46" t="str">
        <f t="shared" si="8"/>
        <v/>
      </c>
      <c r="D265" s="46" t="str">
        <f t="shared" si="9"/>
        <v/>
      </c>
    </row>
    <row r="266" spans="3:4" ht="15.75" x14ac:dyDescent="0.25">
      <c r="C266" s="46" t="str">
        <f t="shared" si="8"/>
        <v/>
      </c>
      <c r="D266" s="46" t="str">
        <f t="shared" si="9"/>
        <v/>
      </c>
    </row>
    <row r="267" spans="3:4" ht="15.75" x14ac:dyDescent="0.25">
      <c r="C267" s="46" t="str">
        <f t="shared" si="8"/>
        <v/>
      </c>
      <c r="D267" s="46" t="str">
        <f t="shared" si="9"/>
        <v/>
      </c>
    </row>
    <row r="268" spans="3:4" ht="15.75" x14ac:dyDescent="0.25">
      <c r="C268" s="46" t="str">
        <f t="shared" si="8"/>
        <v/>
      </c>
      <c r="D268" s="46" t="str">
        <f t="shared" si="9"/>
        <v/>
      </c>
    </row>
    <row r="269" spans="3:4" ht="15.75" x14ac:dyDescent="0.25">
      <c r="C269" s="46" t="str">
        <f t="shared" si="8"/>
        <v/>
      </c>
      <c r="D269" s="46" t="str">
        <f t="shared" si="9"/>
        <v/>
      </c>
    </row>
    <row r="270" spans="3:4" ht="15.75" x14ac:dyDescent="0.25">
      <c r="C270" s="46" t="str">
        <f t="shared" si="8"/>
        <v/>
      </c>
      <c r="D270" s="46" t="str">
        <f t="shared" si="9"/>
        <v/>
      </c>
    </row>
    <row r="271" spans="3:4" ht="15.75" x14ac:dyDescent="0.25">
      <c r="C271" s="46" t="str">
        <f t="shared" si="8"/>
        <v/>
      </c>
      <c r="D271" s="46" t="str">
        <f t="shared" si="9"/>
        <v/>
      </c>
    </row>
    <row r="272" spans="3:4" ht="15.75" x14ac:dyDescent="0.25">
      <c r="C272" s="46" t="str">
        <f t="shared" si="8"/>
        <v/>
      </c>
      <c r="D272" s="46" t="str">
        <f t="shared" si="9"/>
        <v/>
      </c>
    </row>
    <row r="273" spans="3:4" ht="15.75" x14ac:dyDescent="0.25">
      <c r="C273" s="46" t="str">
        <f t="shared" si="8"/>
        <v/>
      </c>
      <c r="D273" s="46" t="str">
        <f t="shared" si="9"/>
        <v/>
      </c>
    </row>
    <row r="274" spans="3:4" ht="15.75" x14ac:dyDescent="0.25">
      <c r="C274" s="46" t="str">
        <f t="shared" ref="C274:C316" si="10">IF(COUNTIF(E274:BA274,"YES")=0,"",COUNTIF(E274:BA274,"YES"))</f>
        <v/>
      </c>
      <c r="D274" s="46" t="str">
        <f t="shared" ref="D274:D316" si="11">IF(COUNTIF(E274:BA274,"NO")=0,"",COUNTIF(E274:BA274,"NO"))</f>
        <v/>
      </c>
    </row>
    <row r="275" spans="3:4" ht="15.75" x14ac:dyDescent="0.25">
      <c r="C275" s="46" t="str">
        <f t="shared" si="10"/>
        <v/>
      </c>
      <c r="D275" s="46" t="str">
        <f t="shared" si="11"/>
        <v/>
      </c>
    </row>
    <row r="276" spans="3:4" ht="15.75" x14ac:dyDescent="0.25">
      <c r="C276" s="46" t="str">
        <f t="shared" si="10"/>
        <v/>
      </c>
      <c r="D276" s="46" t="str">
        <f t="shared" si="11"/>
        <v/>
      </c>
    </row>
    <row r="277" spans="3:4" ht="15.75" x14ac:dyDescent="0.25">
      <c r="C277" s="46" t="str">
        <f t="shared" si="10"/>
        <v/>
      </c>
      <c r="D277" s="46" t="str">
        <f t="shared" si="11"/>
        <v/>
      </c>
    </row>
    <row r="278" spans="3:4" ht="15.75" x14ac:dyDescent="0.25">
      <c r="C278" s="46" t="str">
        <f t="shared" si="10"/>
        <v/>
      </c>
      <c r="D278" s="46" t="str">
        <f t="shared" si="11"/>
        <v/>
      </c>
    </row>
    <row r="279" spans="3:4" ht="15.75" x14ac:dyDescent="0.25">
      <c r="C279" s="46" t="str">
        <f t="shared" si="10"/>
        <v/>
      </c>
      <c r="D279" s="46" t="str">
        <f t="shared" si="11"/>
        <v/>
      </c>
    </row>
    <row r="280" spans="3:4" ht="15.75" x14ac:dyDescent="0.25">
      <c r="C280" s="46" t="str">
        <f t="shared" si="10"/>
        <v/>
      </c>
      <c r="D280" s="46" t="str">
        <f t="shared" si="11"/>
        <v/>
      </c>
    </row>
    <row r="281" spans="3:4" ht="15.75" x14ac:dyDescent="0.25">
      <c r="C281" s="46" t="str">
        <f t="shared" si="10"/>
        <v/>
      </c>
      <c r="D281" s="46" t="str">
        <f t="shared" si="11"/>
        <v/>
      </c>
    </row>
    <row r="282" spans="3:4" ht="15.75" x14ac:dyDescent="0.25">
      <c r="C282" s="46" t="str">
        <f t="shared" si="10"/>
        <v/>
      </c>
      <c r="D282" s="46" t="str">
        <f t="shared" si="11"/>
        <v/>
      </c>
    </row>
    <row r="283" spans="3:4" ht="15.75" x14ac:dyDescent="0.25">
      <c r="C283" s="46" t="str">
        <f t="shared" si="10"/>
        <v/>
      </c>
      <c r="D283" s="46" t="str">
        <f t="shared" si="11"/>
        <v/>
      </c>
    </row>
    <row r="284" spans="3:4" ht="15.75" x14ac:dyDescent="0.25">
      <c r="C284" s="46" t="str">
        <f t="shared" si="10"/>
        <v/>
      </c>
      <c r="D284" s="46" t="str">
        <f t="shared" si="11"/>
        <v/>
      </c>
    </row>
    <row r="285" spans="3:4" ht="15.75" x14ac:dyDescent="0.25">
      <c r="C285" s="46" t="str">
        <f t="shared" si="10"/>
        <v/>
      </c>
      <c r="D285" s="46" t="str">
        <f t="shared" si="11"/>
        <v/>
      </c>
    </row>
    <row r="286" spans="3:4" ht="15.75" x14ac:dyDescent="0.25">
      <c r="C286" s="46" t="str">
        <f t="shared" si="10"/>
        <v/>
      </c>
      <c r="D286" s="46" t="str">
        <f t="shared" si="11"/>
        <v/>
      </c>
    </row>
    <row r="287" spans="3:4" ht="15.75" x14ac:dyDescent="0.25">
      <c r="C287" s="46" t="str">
        <f t="shared" si="10"/>
        <v/>
      </c>
      <c r="D287" s="46" t="str">
        <f t="shared" si="11"/>
        <v/>
      </c>
    </row>
    <row r="288" spans="3:4" ht="15.75" x14ac:dyDescent="0.25">
      <c r="C288" s="46" t="str">
        <f t="shared" si="10"/>
        <v/>
      </c>
      <c r="D288" s="46" t="str">
        <f t="shared" si="11"/>
        <v/>
      </c>
    </row>
    <row r="289" spans="3:4" ht="15.75" x14ac:dyDescent="0.25">
      <c r="C289" s="46" t="str">
        <f t="shared" si="10"/>
        <v/>
      </c>
      <c r="D289" s="46" t="str">
        <f t="shared" si="11"/>
        <v/>
      </c>
    </row>
    <row r="290" spans="3:4" ht="15.75" x14ac:dyDescent="0.25">
      <c r="C290" s="46" t="str">
        <f t="shared" si="10"/>
        <v/>
      </c>
      <c r="D290" s="46" t="str">
        <f t="shared" si="11"/>
        <v/>
      </c>
    </row>
    <row r="291" spans="3:4" ht="15.75" x14ac:dyDescent="0.25">
      <c r="C291" s="46" t="str">
        <f t="shared" si="10"/>
        <v/>
      </c>
      <c r="D291" s="46" t="str">
        <f t="shared" si="11"/>
        <v/>
      </c>
    </row>
    <row r="292" spans="3:4" ht="15.75" x14ac:dyDescent="0.25">
      <c r="C292" s="46" t="str">
        <f t="shared" si="10"/>
        <v/>
      </c>
      <c r="D292" s="46" t="str">
        <f t="shared" si="11"/>
        <v/>
      </c>
    </row>
    <row r="293" spans="3:4" ht="15.75" x14ac:dyDescent="0.25">
      <c r="C293" s="46" t="str">
        <f t="shared" si="10"/>
        <v/>
      </c>
      <c r="D293" s="46" t="str">
        <f t="shared" si="11"/>
        <v/>
      </c>
    </row>
    <row r="294" spans="3:4" ht="15.75" x14ac:dyDescent="0.25">
      <c r="C294" s="46" t="str">
        <f t="shared" si="10"/>
        <v/>
      </c>
      <c r="D294" s="46" t="str">
        <f t="shared" si="11"/>
        <v/>
      </c>
    </row>
    <row r="295" spans="3:4" ht="15.75" x14ac:dyDescent="0.25">
      <c r="C295" s="46" t="str">
        <f t="shared" si="10"/>
        <v/>
      </c>
      <c r="D295" s="46" t="str">
        <f t="shared" si="11"/>
        <v/>
      </c>
    </row>
    <row r="296" spans="3:4" ht="15.75" x14ac:dyDescent="0.25">
      <c r="C296" s="46" t="str">
        <f t="shared" si="10"/>
        <v/>
      </c>
      <c r="D296" s="46" t="str">
        <f t="shared" si="11"/>
        <v/>
      </c>
    </row>
    <row r="297" spans="3:4" ht="15.75" x14ac:dyDescent="0.25">
      <c r="C297" s="46" t="str">
        <f t="shared" si="10"/>
        <v/>
      </c>
      <c r="D297" s="46" t="str">
        <f t="shared" si="11"/>
        <v/>
      </c>
    </row>
    <row r="298" spans="3:4" ht="15.75" x14ac:dyDescent="0.25">
      <c r="C298" s="46" t="str">
        <f t="shared" si="10"/>
        <v/>
      </c>
      <c r="D298" s="46" t="str">
        <f t="shared" si="11"/>
        <v/>
      </c>
    </row>
    <row r="299" spans="3:4" ht="15.75" x14ac:dyDescent="0.25">
      <c r="C299" s="46" t="str">
        <f t="shared" si="10"/>
        <v/>
      </c>
      <c r="D299" s="46" t="str">
        <f t="shared" si="11"/>
        <v/>
      </c>
    </row>
    <row r="300" spans="3:4" ht="15.75" x14ac:dyDescent="0.25">
      <c r="C300" s="46" t="str">
        <f t="shared" si="10"/>
        <v/>
      </c>
      <c r="D300" s="46" t="str">
        <f t="shared" si="11"/>
        <v/>
      </c>
    </row>
    <row r="301" spans="3:4" ht="15.75" x14ac:dyDescent="0.25">
      <c r="C301" s="46" t="str">
        <f t="shared" si="10"/>
        <v/>
      </c>
      <c r="D301" s="46" t="str">
        <f t="shared" si="11"/>
        <v/>
      </c>
    </row>
    <row r="302" spans="3:4" ht="15.75" x14ac:dyDescent="0.25">
      <c r="C302" s="46" t="str">
        <f t="shared" si="10"/>
        <v/>
      </c>
      <c r="D302" s="46" t="str">
        <f t="shared" si="11"/>
        <v/>
      </c>
    </row>
    <row r="303" spans="3:4" ht="15.75" x14ac:dyDescent="0.25">
      <c r="C303" s="46" t="str">
        <f t="shared" si="10"/>
        <v/>
      </c>
      <c r="D303" s="46" t="str">
        <f t="shared" si="11"/>
        <v/>
      </c>
    </row>
    <row r="304" spans="3:4" ht="15.75" x14ac:dyDescent="0.25">
      <c r="C304" s="46" t="str">
        <f t="shared" si="10"/>
        <v/>
      </c>
      <c r="D304" s="46" t="str">
        <f t="shared" si="11"/>
        <v/>
      </c>
    </row>
    <row r="305" spans="3:4" ht="15.75" x14ac:dyDescent="0.25">
      <c r="C305" s="46" t="str">
        <f t="shared" si="10"/>
        <v/>
      </c>
      <c r="D305" s="46" t="str">
        <f t="shared" si="11"/>
        <v/>
      </c>
    </row>
    <row r="306" spans="3:4" ht="15.75" x14ac:dyDescent="0.25">
      <c r="C306" s="46" t="str">
        <f t="shared" si="10"/>
        <v/>
      </c>
      <c r="D306" s="46" t="str">
        <f t="shared" si="11"/>
        <v/>
      </c>
    </row>
    <row r="307" spans="3:4" ht="15.75" x14ac:dyDescent="0.25">
      <c r="C307" s="46" t="str">
        <f t="shared" si="10"/>
        <v/>
      </c>
      <c r="D307" s="46" t="str">
        <f t="shared" si="11"/>
        <v/>
      </c>
    </row>
    <row r="308" spans="3:4" ht="15.75" x14ac:dyDescent="0.25">
      <c r="C308" s="46" t="str">
        <f t="shared" si="10"/>
        <v/>
      </c>
      <c r="D308" s="46" t="str">
        <f t="shared" si="11"/>
        <v/>
      </c>
    </row>
    <row r="309" spans="3:4" ht="15.75" x14ac:dyDescent="0.25">
      <c r="C309" s="46" t="str">
        <f t="shared" si="10"/>
        <v/>
      </c>
      <c r="D309" s="46" t="str">
        <f t="shared" si="11"/>
        <v/>
      </c>
    </row>
    <row r="310" spans="3:4" ht="15.75" x14ac:dyDescent="0.25">
      <c r="C310" s="46" t="str">
        <f t="shared" si="10"/>
        <v/>
      </c>
      <c r="D310" s="46" t="str">
        <f t="shared" si="11"/>
        <v/>
      </c>
    </row>
    <row r="311" spans="3:4" ht="15.75" x14ac:dyDescent="0.25">
      <c r="C311" s="46" t="str">
        <f t="shared" si="10"/>
        <v/>
      </c>
      <c r="D311" s="46" t="str">
        <f t="shared" si="11"/>
        <v/>
      </c>
    </row>
    <row r="312" spans="3:4" ht="15.75" x14ac:dyDescent="0.25">
      <c r="C312" s="46" t="str">
        <f t="shared" si="10"/>
        <v/>
      </c>
      <c r="D312" s="46" t="str">
        <f t="shared" si="11"/>
        <v/>
      </c>
    </row>
    <row r="313" spans="3:4" ht="15.75" x14ac:dyDescent="0.25">
      <c r="C313" s="46" t="str">
        <f t="shared" si="10"/>
        <v/>
      </c>
      <c r="D313" s="46" t="str">
        <f t="shared" si="11"/>
        <v/>
      </c>
    </row>
    <row r="314" spans="3:4" ht="15.75" x14ac:dyDescent="0.25">
      <c r="C314" s="46" t="str">
        <f t="shared" si="10"/>
        <v/>
      </c>
      <c r="D314" s="46" t="str">
        <f t="shared" si="11"/>
        <v/>
      </c>
    </row>
    <row r="315" spans="3:4" ht="15.75" x14ac:dyDescent="0.25">
      <c r="C315" s="46" t="str">
        <f t="shared" si="10"/>
        <v/>
      </c>
      <c r="D315" s="46" t="str">
        <f t="shared" si="11"/>
        <v/>
      </c>
    </row>
    <row r="316" spans="3:4" ht="15.75" x14ac:dyDescent="0.25">
      <c r="C316" s="46" t="str">
        <f t="shared" si="10"/>
        <v/>
      </c>
      <c r="D316" s="46" t="str">
        <f t="shared" si="11"/>
        <v/>
      </c>
    </row>
  </sheetData>
  <phoneticPr fontId="4" type="noConversion"/>
  <conditionalFormatting sqref="E7:H13 E15:H27">
    <cfRule type="cellIs" dxfId="49" priority="3" stopIfTrue="1" operator="equal">
      <formula>"YES"</formula>
    </cfRule>
    <cfRule type="cellIs" dxfId="48" priority="4" stopIfTrue="1" operator="equal">
      <formula>"NO"</formula>
    </cfRule>
  </conditionalFormatting>
  <conditionalFormatting sqref="E14:H14">
    <cfRule type="cellIs" dxfId="47" priority="1" stopIfTrue="1" operator="equal">
      <formula>"YES"</formula>
    </cfRule>
    <cfRule type="cellIs" dxfId="46" priority="2" stopIfTrue="1" operator="equal">
      <formula>"NO"</formula>
    </cfRule>
  </conditionalFormatting>
  <dataValidations count="1">
    <dataValidation type="list" allowBlank="1" showInputMessage="1" showErrorMessage="1" sqref="E7:H27" xr:uid="{00000000-0002-0000-0B00-000000000000}">
      <formula1>$D$1:$D$3</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8">
    <tabColor theme="7"/>
    <pageSetUpPr fitToPage="1"/>
  </sheetPr>
  <dimension ref="A1:H312"/>
  <sheetViews>
    <sheetView zoomScale="90" zoomScaleNormal="90" workbookViewId="0">
      <pane xSplit="2" ySplit="4" topLeftCell="C32"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6.28515625" style="40" customWidth="1"/>
    <col min="2" max="2" width="122.28515625" style="57" customWidth="1"/>
    <col min="3" max="4" width="4.42578125" style="40" bestFit="1" customWidth="1"/>
    <col min="5" max="8" width="6.140625" style="40" customWidth="1"/>
    <col min="9" max="16384" width="9.140625" style="40"/>
  </cols>
  <sheetData>
    <row r="1" spans="1:8" ht="0.75" customHeight="1" thickBot="1" x14ac:dyDescent="0.25">
      <c r="D1" s="40" t="s">
        <v>43</v>
      </c>
    </row>
    <row r="2" spans="1:8" hidden="1" x14ac:dyDescent="0.2">
      <c r="D2" s="40" t="s">
        <v>44</v>
      </c>
    </row>
    <row r="3" spans="1:8" ht="13.5" hidden="1" thickBot="1" x14ac:dyDescent="0.25">
      <c r="D3" s="40" t="s">
        <v>13</v>
      </c>
    </row>
    <row r="4" spans="1:8" ht="88.5" thickTop="1" thickBot="1" x14ac:dyDescent="0.4">
      <c r="A4" s="49"/>
      <c r="B4" s="47" t="s">
        <v>339</v>
      </c>
      <c r="C4" s="43" t="s">
        <v>46</v>
      </c>
      <c r="D4" s="43" t="s">
        <v>47</v>
      </c>
      <c r="E4" s="43" t="s">
        <v>326</v>
      </c>
      <c r="F4" s="43" t="s">
        <v>326</v>
      </c>
      <c r="G4" s="43" t="s">
        <v>326</v>
      </c>
      <c r="H4" s="43" t="s">
        <v>326</v>
      </c>
    </row>
    <row r="5" spans="1:8" ht="17.25" thickTop="1" thickBot="1" x14ac:dyDescent="0.3">
      <c r="A5" s="74"/>
      <c r="B5" s="220" t="s">
        <v>341</v>
      </c>
      <c r="C5" s="81"/>
      <c r="D5" s="71"/>
      <c r="E5" s="72"/>
      <c r="F5" s="72"/>
      <c r="G5" s="72"/>
      <c r="H5" s="72"/>
    </row>
    <row r="6" spans="1:8" ht="16.5" thickBot="1" x14ac:dyDescent="0.3">
      <c r="A6" s="209" t="s">
        <v>48</v>
      </c>
      <c r="B6" s="210" t="s">
        <v>303</v>
      </c>
      <c r="C6" s="71" t="str">
        <f t="shared" ref="C6:C48" si="0">IF(COUNTIF(E6:BA6,"YES")=0,"",COUNTIF(E6:BA6,"YES"))</f>
        <v/>
      </c>
      <c r="D6" s="71" t="str">
        <f t="shared" ref="D6:D48" si="1">IF(COUNTIF(E6:BA6,"NO")=0,"",COUNTIF(E6:BA6,"NO"))</f>
        <v/>
      </c>
      <c r="E6" s="72"/>
      <c r="F6" s="72"/>
      <c r="G6" s="72"/>
      <c r="H6" s="72"/>
    </row>
    <row r="7" spans="1:8" ht="15.75" x14ac:dyDescent="0.25">
      <c r="A7" s="211">
        <v>1</v>
      </c>
      <c r="B7" s="271" t="s">
        <v>336</v>
      </c>
      <c r="C7" s="44" t="str">
        <f t="shared" si="0"/>
        <v/>
      </c>
      <c r="D7" s="44" t="str">
        <f t="shared" si="1"/>
        <v/>
      </c>
      <c r="E7" s="41"/>
      <c r="F7" s="41"/>
      <c r="G7" s="41"/>
      <c r="H7" s="41"/>
    </row>
    <row r="8" spans="1:8" ht="15.75" x14ac:dyDescent="0.25">
      <c r="A8" s="211">
        <v>2</v>
      </c>
      <c r="B8" s="271" t="s">
        <v>337</v>
      </c>
      <c r="C8" s="44" t="str">
        <f t="shared" si="0"/>
        <v/>
      </c>
      <c r="D8" s="44" t="str">
        <f t="shared" si="1"/>
        <v/>
      </c>
      <c r="E8" s="41"/>
      <c r="F8" s="41"/>
      <c r="G8" s="41"/>
      <c r="H8" s="41"/>
    </row>
    <row r="9" spans="1:8" ht="16.5" thickBot="1" x14ac:dyDescent="0.3">
      <c r="A9" s="211">
        <v>3</v>
      </c>
      <c r="B9" s="271" t="s">
        <v>338</v>
      </c>
      <c r="C9" s="44" t="str">
        <f t="shared" si="0"/>
        <v/>
      </c>
      <c r="D9" s="44" t="str">
        <f t="shared" si="1"/>
        <v/>
      </c>
      <c r="E9" s="41"/>
      <c r="F9" s="41"/>
      <c r="G9" s="41"/>
      <c r="H9" s="41"/>
    </row>
    <row r="10" spans="1:8" ht="16.5" thickBot="1" x14ac:dyDescent="0.3">
      <c r="A10" s="212"/>
      <c r="B10" s="213" t="s">
        <v>297</v>
      </c>
      <c r="C10" s="44" t="str">
        <f t="shared" si="0"/>
        <v/>
      </c>
      <c r="D10" s="44" t="str">
        <f t="shared" si="1"/>
        <v/>
      </c>
      <c r="E10" s="72"/>
      <c r="F10" s="72"/>
      <c r="G10" s="72"/>
      <c r="H10" s="72"/>
    </row>
    <row r="11" spans="1:8" ht="25.5" x14ac:dyDescent="0.25">
      <c r="A11" s="214">
        <v>4</v>
      </c>
      <c r="B11" s="272" t="s">
        <v>481</v>
      </c>
      <c r="C11" s="44" t="str">
        <f t="shared" si="0"/>
        <v/>
      </c>
      <c r="D11" s="44" t="str">
        <f t="shared" si="1"/>
        <v/>
      </c>
      <c r="E11" s="41"/>
      <c r="F11" s="41"/>
      <c r="G11" s="41"/>
      <c r="H11" s="41"/>
    </row>
    <row r="12" spans="1:8" ht="25.5" x14ac:dyDescent="0.25">
      <c r="A12" s="211">
        <v>5</v>
      </c>
      <c r="B12" s="271" t="s">
        <v>482</v>
      </c>
      <c r="C12" s="44" t="str">
        <f t="shared" si="0"/>
        <v/>
      </c>
      <c r="D12" s="44" t="str">
        <f t="shared" si="1"/>
        <v/>
      </c>
      <c r="E12" s="41"/>
      <c r="F12" s="41"/>
      <c r="G12" s="41"/>
      <c r="H12" s="41"/>
    </row>
    <row r="13" spans="1:8" ht="25.5" x14ac:dyDescent="0.25">
      <c r="A13" s="214">
        <v>6</v>
      </c>
      <c r="B13" s="273" t="s">
        <v>483</v>
      </c>
      <c r="C13" s="44" t="str">
        <f t="shared" si="0"/>
        <v/>
      </c>
      <c r="D13" s="44" t="str">
        <f t="shared" si="1"/>
        <v/>
      </c>
      <c r="E13" s="41"/>
      <c r="F13" s="41"/>
      <c r="G13" s="41"/>
      <c r="H13" s="41"/>
    </row>
    <row r="14" spans="1:8" ht="25.5" x14ac:dyDescent="0.25">
      <c r="A14" s="214">
        <v>7</v>
      </c>
      <c r="B14" s="272" t="s">
        <v>484</v>
      </c>
      <c r="C14" s="44" t="str">
        <f t="shared" si="0"/>
        <v/>
      </c>
      <c r="D14" s="44" t="str">
        <f t="shared" si="1"/>
        <v/>
      </c>
      <c r="E14" s="41"/>
      <c r="F14" s="41"/>
      <c r="G14" s="41"/>
      <c r="H14" s="41"/>
    </row>
    <row r="15" spans="1:8" ht="26.25" thickBot="1" x14ac:dyDescent="0.3">
      <c r="A15" s="211">
        <v>8</v>
      </c>
      <c r="B15" s="274" t="s">
        <v>485</v>
      </c>
      <c r="C15" s="44" t="str">
        <f t="shared" si="0"/>
        <v/>
      </c>
      <c r="D15" s="44" t="str">
        <f t="shared" si="1"/>
        <v/>
      </c>
      <c r="E15" s="41"/>
      <c r="F15" s="41"/>
      <c r="G15" s="41"/>
      <c r="H15" s="41"/>
    </row>
    <row r="16" spans="1:8" ht="25.5" x14ac:dyDescent="0.25">
      <c r="A16" s="214">
        <v>9</v>
      </c>
      <c r="B16" s="275" t="s">
        <v>486</v>
      </c>
      <c r="C16" s="71" t="str">
        <f t="shared" si="0"/>
        <v/>
      </c>
      <c r="D16" s="71" t="str">
        <f t="shared" si="1"/>
        <v/>
      </c>
      <c r="E16" s="41"/>
      <c r="F16" s="41"/>
      <c r="G16" s="41"/>
      <c r="H16" s="41"/>
    </row>
    <row r="17" spans="1:8" ht="38.25" x14ac:dyDescent="0.25">
      <c r="A17" s="214">
        <v>10</v>
      </c>
      <c r="B17" s="272" t="s">
        <v>487</v>
      </c>
      <c r="C17" s="44" t="str">
        <f t="shared" si="0"/>
        <v/>
      </c>
      <c r="D17" s="44" t="str">
        <f t="shared" si="1"/>
        <v/>
      </c>
      <c r="E17" s="41"/>
      <c r="F17" s="41"/>
      <c r="G17" s="41"/>
      <c r="H17" s="41"/>
    </row>
    <row r="18" spans="1:8" ht="38.25" x14ac:dyDescent="0.25">
      <c r="A18" s="214">
        <v>11</v>
      </c>
      <c r="B18" s="272" t="s">
        <v>488</v>
      </c>
      <c r="C18" s="44" t="str">
        <f t="shared" si="0"/>
        <v/>
      </c>
      <c r="D18" s="44" t="str">
        <f t="shared" si="1"/>
        <v/>
      </c>
      <c r="E18" s="41"/>
      <c r="F18" s="41"/>
      <c r="G18" s="41"/>
      <c r="H18" s="41"/>
    </row>
    <row r="19" spans="1:8" ht="25.5" x14ac:dyDescent="0.25">
      <c r="A19" s="211">
        <v>12</v>
      </c>
      <c r="B19" s="272" t="s">
        <v>489</v>
      </c>
      <c r="C19" s="44" t="str">
        <f t="shared" si="0"/>
        <v/>
      </c>
      <c r="D19" s="44" t="str">
        <f t="shared" si="1"/>
        <v/>
      </c>
      <c r="E19" s="41"/>
      <c r="F19" s="41"/>
      <c r="G19" s="41"/>
      <c r="H19" s="41"/>
    </row>
    <row r="20" spans="1:8" ht="25.5" x14ac:dyDescent="0.25">
      <c r="A20" s="214">
        <v>13</v>
      </c>
      <c r="B20" s="272" t="s">
        <v>490</v>
      </c>
      <c r="C20" s="71" t="str">
        <f t="shared" si="0"/>
        <v/>
      </c>
      <c r="D20" s="71" t="str">
        <f t="shared" si="1"/>
        <v/>
      </c>
      <c r="E20" s="41"/>
      <c r="F20" s="41"/>
      <c r="G20" s="41"/>
      <c r="H20" s="41"/>
    </row>
    <row r="21" spans="1:8" ht="25.5" x14ac:dyDescent="0.25">
      <c r="A21" s="214">
        <v>14</v>
      </c>
      <c r="B21" s="272" t="s">
        <v>491</v>
      </c>
      <c r="C21" s="71" t="str">
        <f t="shared" si="0"/>
        <v/>
      </c>
      <c r="D21" s="71" t="str">
        <f t="shared" si="1"/>
        <v/>
      </c>
      <c r="E21" s="41"/>
      <c r="F21" s="41"/>
      <c r="G21" s="41"/>
      <c r="H21" s="41"/>
    </row>
    <row r="22" spans="1:8" ht="25.5" x14ac:dyDescent="0.25">
      <c r="A22" s="211">
        <v>15</v>
      </c>
      <c r="B22" s="272" t="s">
        <v>492</v>
      </c>
      <c r="C22" s="44" t="str">
        <f t="shared" si="0"/>
        <v/>
      </c>
      <c r="D22" s="44" t="str">
        <f t="shared" si="1"/>
        <v/>
      </c>
      <c r="E22" s="41"/>
      <c r="F22" s="41"/>
      <c r="G22" s="41"/>
      <c r="H22" s="41"/>
    </row>
    <row r="23" spans="1:8" ht="26.25" thickBot="1" x14ac:dyDescent="0.3">
      <c r="A23" s="214">
        <v>16</v>
      </c>
      <c r="B23" s="272" t="s">
        <v>493</v>
      </c>
      <c r="C23" s="44" t="str">
        <f t="shared" si="0"/>
        <v/>
      </c>
      <c r="D23" s="44" t="str">
        <f t="shared" si="1"/>
        <v/>
      </c>
      <c r="E23" s="41"/>
      <c r="F23" s="41"/>
      <c r="G23" s="41"/>
      <c r="H23" s="41"/>
    </row>
    <row r="24" spans="1:8" ht="16.5" thickBot="1" x14ac:dyDescent="0.3">
      <c r="A24" s="211"/>
      <c r="B24" s="276" t="s">
        <v>342</v>
      </c>
      <c r="C24" s="71" t="str">
        <f t="shared" ref="C24:C32" si="2">IF(COUNTIF(E24:BA24,"YES")=0,"",COUNTIF(E24:BA24,"YES"))</f>
        <v/>
      </c>
      <c r="D24" s="71" t="str">
        <f t="shared" ref="D24:D32" si="3">IF(COUNTIF(E24:BA24,"NO")=0,"",COUNTIF(E24:BA24,"NO"))</f>
        <v/>
      </c>
      <c r="E24" s="72"/>
      <c r="F24" s="72"/>
      <c r="G24" s="72"/>
      <c r="H24" s="72"/>
    </row>
    <row r="25" spans="1:8" ht="15.75" x14ac:dyDescent="0.25">
      <c r="A25" s="214">
        <v>17</v>
      </c>
      <c r="B25" s="268" t="s">
        <v>256</v>
      </c>
      <c r="C25" s="44" t="str">
        <f t="shared" si="2"/>
        <v/>
      </c>
      <c r="D25" s="44" t="str">
        <f t="shared" si="3"/>
        <v/>
      </c>
      <c r="E25" s="41"/>
      <c r="F25" s="41"/>
      <c r="G25" s="41"/>
      <c r="H25" s="41"/>
    </row>
    <row r="26" spans="1:8" ht="15.75" x14ac:dyDescent="0.25">
      <c r="A26" s="211">
        <v>18</v>
      </c>
      <c r="B26" s="268" t="s">
        <v>257</v>
      </c>
      <c r="C26" s="44" t="str">
        <f t="shared" si="2"/>
        <v/>
      </c>
      <c r="D26" s="44" t="str">
        <f t="shared" si="3"/>
        <v/>
      </c>
      <c r="E26" s="41"/>
      <c r="F26" s="41"/>
      <c r="G26" s="41"/>
      <c r="H26" s="41"/>
    </row>
    <row r="27" spans="1:8" ht="15.75" x14ac:dyDescent="0.25">
      <c r="A27" s="214">
        <v>19</v>
      </c>
      <c r="B27" s="268" t="s">
        <v>258</v>
      </c>
      <c r="C27" s="44" t="str">
        <f t="shared" si="2"/>
        <v/>
      </c>
      <c r="D27" s="44" t="str">
        <f t="shared" si="3"/>
        <v/>
      </c>
      <c r="E27" s="41"/>
      <c r="F27" s="41"/>
      <c r="G27" s="41"/>
      <c r="H27" s="41"/>
    </row>
    <row r="28" spans="1:8" ht="332.25" customHeight="1" x14ac:dyDescent="0.25">
      <c r="A28" s="211">
        <v>20</v>
      </c>
      <c r="B28" s="268" t="s">
        <v>259</v>
      </c>
      <c r="C28" s="44" t="str">
        <f t="shared" si="2"/>
        <v/>
      </c>
      <c r="D28" s="44" t="str">
        <f t="shared" si="3"/>
        <v/>
      </c>
      <c r="E28" s="41"/>
      <c r="F28" s="41"/>
      <c r="G28" s="41"/>
      <c r="H28" s="41"/>
    </row>
    <row r="29" spans="1:8" ht="15.75" x14ac:dyDescent="0.25">
      <c r="A29" s="214">
        <v>21</v>
      </c>
      <c r="B29" s="277" t="s">
        <v>260</v>
      </c>
      <c r="C29" s="44" t="str">
        <f t="shared" si="2"/>
        <v/>
      </c>
      <c r="D29" s="44" t="str">
        <f t="shared" si="3"/>
        <v/>
      </c>
      <c r="E29" s="41"/>
      <c r="F29" s="41"/>
      <c r="G29" s="41"/>
      <c r="H29" s="41"/>
    </row>
    <row r="30" spans="1:8" ht="15.75" x14ac:dyDescent="0.25">
      <c r="A30" s="211">
        <v>22</v>
      </c>
      <c r="B30" s="277" t="s">
        <v>261</v>
      </c>
      <c r="C30" s="44" t="str">
        <f t="shared" si="2"/>
        <v/>
      </c>
      <c r="D30" s="44" t="str">
        <f t="shared" si="3"/>
        <v/>
      </c>
      <c r="E30" s="41"/>
      <c r="F30" s="41"/>
      <c r="G30" s="41"/>
      <c r="H30" s="41"/>
    </row>
    <row r="31" spans="1:8" ht="15.75" x14ac:dyDescent="0.25">
      <c r="A31" s="214">
        <v>23</v>
      </c>
      <c r="B31" s="277" t="s">
        <v>262</v>
      </c>
      <c r="C31" s="44" t="str">
        <f t="shared" si="2"/>
        <v/>
      </c>
      <c r="D31" s="44" t="str">
        <f t="shared" si="3"/>
        <v/>
      </c>
      <c r="E31" s="41"/>
      <c r="F31" s="41"/>
      <c r="G31" s="41"/>
      <c r="H31" s="41"/>
    </row>
    <row r="32" spans="1:8" ht="51.75" x14ac:dyDescent="0.25">
      <c r="A32" s="211">
        <v>24</v>
      </c>
      <c r="B32" s="278" t="s">
        <v>263</v>
      </c>
      <c r="C32" s="44" t="str">
        <f t="shared" si="2"/>
        <v/>
      </c>
      <c r="D32" s="44" t="str">
        <f t="shared" si="3"/>
        <v/>
      </c>
      <c r="E32" s="41"/>
      <c r="F32" s="41"/>
      <c r="G32" s="41"/>
      <c r="H32" s="41"/>
    </row>
    <row r="33" spans="1:8" ht="15.75" x14ac:dyDescent="0.25">
      <c r="A33" s="214">
        <v>25</v>
      </c>
      <c r="B33" s="277" t="s">
        <v>264</v>
      </c>
      <c r="C33" s="44" t="str">
        <f t="shared" ref="C33:C42" si="4">IF(COUNTIF(E33:BA33,"YES")=0,"",COUNTIF(E33:BA33,"YES"))</f>
        <v/>
      </c>
      <c r="D33" s="44" t="str">
        <f t="shared" ref="D33:D42" si="5">IF(COUNTIF(E33:BA33,"NO")=0,"",COUNTIF(E33:BA33,"NO"))</f>
        <v/>
      </c>
      <c r="E33" s="41"/>
      <c r="F33" s="41"/>
      <c r="G33" s="41"/>
      <c r="H33" s="41"/>
    </row>
    <row r="34" spans="1:8" s="82" customFormat="1" ht="15.75" x14ac:dyDescent="0.25">
      <c r="A34" s="211">
        <v>26</v>
      </c>
      <c r="B34" s="92" t="s">
        <v>265</v>
      </c>
      <c r="C34" s="44" t="str">
        <f t="shared" si="4"/>
        <v/>
      </c>
      <c r="D34" s="44" t="str">
        <f t="shared" si="5"/>
        <v/>
      </c>
      <c r="E34" s="41"/>
      <c r="F34" s="41"/>
      <c r="G34" s="41"/>
      <c r="H34" s="41"/>
    </row>
    <row r="35" spans="1:8" ht="15.75" x14ac:dyDescent="0.25">
      <c r="A35" s="214">
        <v>27</v>
      </c>
      <c r="B35" s="277" t="s">
        <v>266</v>
      </c>
      <c r="C35" s="44" t="str">
        <f t="shared" si="4"/>
        <v/>
      </c>
      <c r="D35" s="44" t="str">
        <f t="shared" si="5"/>
        <v/>
      </c>
      <c r="E35" s="41"/>
      <c r="F35" s="41"/>
      <c r="G35" s="41"/>
      <c r="H35" s="41"/>
    </row>
    <row r="36" spans="1:8" ht="15.75" x14ac:dyDescent="0.25">
      <c r="A36" s="211">
        <v>28</v>
      </c>
      <c r="B36" s="277" t="s">
        <v>267</v>
      </c>
      <c r="C36" s="44" t="str">
        <f t="shared" si="4"/>
        <v/>
      </c>
      <c r="D36" s="44" t="str">
        <f t="shared" si="5"/>
        <v/>
      </c>
      <c r="E36" s="41"/>
      <c r="F36" s="41"/>
      <c r="G36" s="41"/>
      <c r="H36" s="41"/>
    </row>
    <row r="37" spans="1:8" ht="64.5" x14ac:dyDescent="0.25">
      <c r="A37" s="214">
        <v>29</v>
      </c>
      <c r="B37" s="278" t="s">
        <v>268</v>
      </c>
      <c r="C37" s="44" t="str">
        <f t="shared" si="4"/>
        <v/>
      </c>
      <c r="D37" s="44" t="str">
        <f t="shared" si="5"/>
        <v/>
      </c>
      <c r="E37" s="41"/>
      <c r="F37" s="41"/>
      <c r="G37" s="41"/>
      <c r="H37" s="41"/>
    </row>
    <row r="38" spans="1:8" s="82" customFormat="1" ht="15.75" x14ac:dyDescent="0.25">
      <c r="A38" s="211">
        <v>30</v>
      </c>
      <c r="B38" s="157" t="s">
        <v>274</v>
      </c>
      <c r="C38" s="44" t="str">
        <f t="shared" si="4"/>
        <v/>
      </c>
      <c r="D38" s="44" t="str">
        <f t="shared" si="5"/>
        <v/>
      </c>
      <c r="E38" s="41"/>
      <c r="F38" s="41"/>
      <c r="G38" s="41"/>
      <c r="H38" s="41"/>
    </row>
    <row r="39" spans="1:8" s="82" customFormat="1" ht="15.75" x14ac:dyDescent="0.25">
      <c r="A39" s="214">
        <v>31</v>
      </c>
      <c r="B39" s="157" t="s">
        <v>272</v>
      </c>
      <c r="C39" s="44" t="str">
        <f t="shared" si="4"/>
        <v/>
      </c>
      <c r="D39" s="44" t="str">
        <f t="shared" si="5"/>
        <v/>
      </c>
      <c r="E39" s="41"/>
      <c r="F39" s="41"/>
      <c r="G39" s="41"/>
      <c r="H39" s="41"/>
    </row>
    <row r="40" spans="1:8" ht="15.75" x14ac:dyDescent="0.25">
      <c r="A40" s="211">
        <v>32</v>
      </c>
      <c r="B40" s="157" t="s">
        <v>269</v>
      </c>
      <c r="C40" s="44" t="str">
        <f t="shared" si="4"/>
        <v/>
      </c>
      <c r="D40" s="44" t="str">
        <f t="shared" si="5"/>
        <v/>
      </c>
      <c r="E40" s="41"/>
      <c r="F40" s="41"/>
      <c r="G40" s="41"/>
      <c r="H40" s="41"/>
    </row>
    <row r="41" spans="1:8" ht="26.25" x14ac:dyDescent="0.25">
      <c r="A41" s="214">
        <v>33</v>
      </c>
      <c r="B41" s="278" t="s">
        <v>273</v>
      </c>
      <c r="C41" s="44" t="str">
        <f t="shared" si="4"/>
        <v/>
      </c>
      <c r="D41" s="44" t="str">
        <f t="shared" si="5"/>
        <v/>
      </c>
      <c r="E41" s="41"/>
      <c r="F41" s="41"/>
      <c r="G41" s="41"/>
      <c r="H41" s="41"/>
    </row>
    <row r="42" spans="1:8" ht="15.75" x14ac:dyDescent="0.25">
      <c r="A42" s="45"/>
      <c r="B42" s="53"/>
      <c r="C42" s="44" t="str">
        <f t="shared" si="4"/>
        <v/>
      </c>
      <c r="D42" s="44" t="str">
        <f t="shared" si="5"/>
        <v/>
      </c>
      <c r="E42" s="41"/>
      <c r="F42" s="41"/>
      <c r="G42" s="41"/>
      <c r="H42" s="41"/>
    </row>
    <row r="43" spans="1:8" ht="15.75" x14ac:dyDescent="0.25">
      <c r="C43" s="46" t="str">
        <f t="shared" si="0"/>
        <v/>
      </c>
      <c r="D43" s="46" t="str">
        <f t="shared" si="1"/>
        <v/>
      </c>
    </row>
    <row r="44" spans="1:8" ht="15.75" x14ac:dyDescent="0.25">
      <c r="C44" s="46" t="str">
        <f t="shared" si="0"/>
        <v/>
      </c>
      <c r="D44" s="46" t="str">
        <f t="shared" si="1"/>
        <v/>
      </c>
    </row>
    <row r="45" spans="1:8" ht="15.75" x14ac:dyDescent="0.25">
      <c r="C45" s="46" t="str">
        <f t="shared" si="0"/>
        <v/>
      </c>
      <c r="D45" s="46" t="str">
        <f t="shared" si="1"/>
        <v/>
      </c>
    </row>
    <row r="46" spans="1:8" ht="15.75" x14ac:dyDescent="0.25">
      <c r="C46" s="46" t="str">
        <f t="shared" si="0"/>
        <v/>
      </c>
      <c r="D46" s="46" t="str">
        <f t="shared" si="1"/>
        <v/>
      </c>
    </row>
    <row r="47" spans="1:8" ht="15.75" x14ac:dyDescent="0.25">
      <c r="C47" s="46" t="str">
        <f t="shared" si="0"/>
        <v/>
      </c>
      <c r="D47" s="46" t="str">
        <f t="shared" si="1"/>
        <v/>
      </c>
    </row>
    <row r="48" spans="1:8" ht="15.75" x14ac:dyDescent="0.25">
      <c r="C48" s="46" t="str">
        <f t="shared" si="0"/>
        <v/>
      </c>
      <c r="D48" s="46" t="str">
        <f t="shared" si="1"/>
        <v/>
      </c>
    </row>
    <row r="49" spans="3:4" ht="15.75" x14ac:dyDescent="0.25">
      <c r="C49" s="46" t="str">
        <f t="shared" ref="C49:C112" si="6">IF(COUNTIF(E49:BA49,"YES")=0,"",COUNTIF(E49:BA49,"YES"))</f>
        <v/>
      </c>
      <c r="D49" s="46" t="str">
        <f t="shared" ref="D49:D112" si="7">IF(COUNTIF(E49:BA49,"NO")=0,"",COUNTIF(E49:BA49,"NO"))</f>
        <v/>
      </c>
    </row>
    <row r="50" spans="3:4" ht="15.75" x14ac:dyDescent="0.25">
      <c r="C50" s="46" t="str">
        <f t="shared" si="6"/>
        <v/>
      </c>
      <c r="D50" s="46" t="str">
        <f t="shared" si="7"/>
        <v/>
      </c>
    </row>
    <row r="51" spans="3:4" ht="15.75" x14ac:dyDescent="0.25">
      <c r="C51" s="46" t="str">
        <f t="shared" si="6"/>
        <v/>
      </c>
      <c r="D51" s="46" t="str">
        <f t="shared" si="7"/>
        <v/>
      </c>
    </row>
    <row r="52" spans="3:4" ht="15.75" x14ac:dyDescent="0.25">
      <c r="C52" s="46" t="str">
        <f t="shared" si="6"/>
        <v/>
      </c>
      <c r="D52" s="46" t="str">
        <f t="shared" si="7"/>
        <v/>
      </c>
    </row>
    <row r="53" spans="3:4" ht="15.75" x14ac:dyDescent="0.25">
      <c r="C53" s="46" t="str">
        <f t="shared" si="6"/>
        <v/>
      </c>
      <c r="D53" s="46" t="str">
        <f t="shared" si="7"/>
        <v/>
      </c>
    </row>
    <row r="54" spans="3:4" ht="15.75" x14ac:dyDescent="0.25">
      <c r="C54" s="46" t="str">
        <f t="shared" si="6"/>
        <v/>
      </c>
      <c r="D54" s="46" t="str">
        <f t="shared" si="7"/>
        <v/>
      </c>
    </row>
    <row r="55" spans="3:4" ht="15.75" x14ac:dyDescent="0.25">
      <c r="C55" s="46" t="str">
        <f t="shared" si="6"/>
        <v/>
      </c>
      <c r="D55" s="46" t="str">
        <f t="shared" si="7"/>
        <v/>
      </c>
    </row>
    <row r="56" spans="3:4" ht="15.75" x14ac:dyDescent="0.25">
      <c r="C56" s="46" t="str">
        <f t="shared" si="6"/>
        <v/>
      </c>
      <c r="D56" s="46" t="str">
        <f t="shared" si="7"/>
        <v/>
      </c>
    </row>
    <row r="57" spans="3:4" ht="15.75" x14ac:dyDescent="0.25">
      <c r="C57" s="46" t="str">
        <f t="shared" si="6"/>
        <v/>
      </c>
      <c r="D57" s="46" t="str">
        <f t="shared" si="7"/>
        <v/>
      </c>
    </row>
    <row r="58" spans="3:4" ht="15.75" x14ac:dyDescent="0.25">
      <c r="C58" s="46" t="str">
        <f t="shared" si="6"/>
        <v/>
      </c>
      <c r="D58" s="46" t="str">
        <f t="shared" si="7"/>
        <v/>
      </c>
    </row>
    <row r="59" spans="3:4" ht="15.75" x14ac:dyDescent="0.25">
      <c r="C59" s="46" t="str">
        <f t="shared" si="6"/>
        <v/>
      </c>
      <c r="D59" s="46" t="str">
        <f t="shared" si="7"/>
        <v/>
      </c>
    </row>
    <row r="60" spans="3:4" ht="15.75" x14ac:dyDescent="0.25">
      <c r="C60" s="46" t="str">
        <f t="shared" si="6"/>
        <v/>
      </c>
      <c r="D60" s="46" t="str">
        <f t="shared" si="7"/>
        <v/>
      </c>
    </row>
    <row r="61" spans="3:4" ht="15.75" x14ac:dyDescent="0.25">
      <c r="C61" s="46" t="str">
        <f t="shared" si="6"/>
        <v/>
      </c>
      <c r="D61" s="46" t="str">
        <f t="shared" si="7"/>
        <v/>
      </c>
    </row>
    <row r="62" spans="3:4" ht="15.75" x14ac:dyDescent="0.25">
      <c r="C62" s="46" t="str">
        <f t="shared" si="6"/>
        <v/>
      </c>
      <c r="D62" s="46" t="str">
        <f t="shared" si="7"/>
        <v/>
      </c>
    </row>
    <row r="63" spans="3:4" ht="15.75" x14ac:dyDescent="0.25">
      <c r="C63" s="46" t="str">
        <f t="shared" si="6"/>
        <v/>
      </c>
      <c r="D63" s="46" t="str">
        <f t="shared" si="7"/>
        <v/>
      </c>
    </row>
    <row r="64" spans="3:4" ht="15.75" x14ac:dyDescent="0.25">
      <c r="C64" s="46" t="str">
        <f t="shared" si="6"/>
        <v/>
      </c>
      <c r="D64" s="46" t="str">
        <f t="shared" si="7"/>
        <v/>
      </c>
    </row>
    <row r="65" spans="3:4" ht="15.75" x14ac:dyDescent="0.25">
      <c r="C65" s="46" t="str">
        <f t="shared" si="6"/>
        <v/>
      </c>
      <c r="D65" s="46" t="str">
        <f t="shared" si="7"/>
        <v/>
      </c>
    </row>
    <row r="66" spans="3:4" ht="15.75" x14ac:dyDescent="0.25">
      <c r="C66" s="46" t="str">
        <f t="shared" si="6"/>
        <v/>
      </c>
      <c r="D66" s="46" t="str">
        <f t="shared" si="7"/>
        <v/>
      </c>
    </row>
    <row r="67" spans="3:4" ht="15.75" x14ac:dyDescent="0.25">
      <c r="C67" s="46" t="str">
        <f t="shared" si="6"/>
        <v/>
      </c>
      <c r="D67" s="46" t="str">
        <f t="shared" si="7"/>
        <v/>
      </c>
    </row>
    <row r="68" spans="3:4" ht="15.75" x14ac:dyDescent="0.25">
      <c r="C68" s="46" t="str">
        <f t="shared" si="6"/>
        <v/>
      </c>
      <c r="D68" s="46" t="str">
        <f t="shared" si="7"/>
        <v/>
      </c>
    </row>
    <row r="69" spans="3:4" ht="15.75" x14ac:dyDescent="0.25">
      <c r="C69" s="46" t="str">
        <f t="shared" si="6"/>
        <v/>
      </c>
      <c r="D69" s="46" t="str">
        <f t="shared" si="7"/>
        <v/>
      </c>
    </row>
    <row r="70" spans="3:4" ht="15.75" x14ac:dyDescent="0.25">
      <c r="C70" s="46" t="str">
        <f t="shared" si="6"/>
        <v/>
      </c>
      <c r="D70" s="46" t="str">
        <f t="shared" si="7"/>
        <v/>
      </c>
    </row>
    <row r="71" spans="3:4" ht="15.75" x14ac:dyDescent="0.25">
      <c r="C71" s="46" t="str">
        <f t="shared" si="6"/>
        <v/>
      </c>
      <c r="D71" s="46" t="str">
        <f t="shared" si="7"/>
        <v/>
      </c>
    </row>
    <row r="72" spans="3:4" ht="15.75" x14ac:dyDescent="0.25">
      <c r="C72" s="46" t="str">
        <f t="shared" si="6"/>
        <v/>
      </c>
      <c r="D72" s="46" t="str">
        <f t="shared" si="7"/>
        <v/>
      </c>
    </row>
    <row r="73" spans="3:4" ht="15.75" x14ac:dyDescent="0.25">
      <c r="C73" s="46" t="str">
        <f t="shared" si="6"/>
        <v/>
      </c>
      <c r="D73" s="46" t="str">
        <f t="shared" si="7"/>
        <v/>
      </c>
    </row>
    <row r="74" spans="3:4" ht="15.75" x14ac:dyDescent="0.25">
      <c r="C74" s="46" t="str">
        <f t="shared" si="6"/>
        <v/>
      </c>
      <c r="D74" s="46" t="str">
        <f t="shared" si="7"/>
        <v/>
      </c>
    </row>
    <row r="75" spans="3:4" ht="15.75" x14ac:dyDescent="0.25">
      <c r="C75" s="46" t="str">
        <f t="shared" si="6"/>
        <v/>
      </c>
      <c r="D75" s="46" t="str">
        <f t="shared" si="7"/>
        <v/>
      </c>
    </row>
    <row r="76" spans="3:4" ht="15.75" x14ac:dyDescent="0.25">
      <c r="C76" s="46" t="str">
        <f t="shared" si="6"/>
        <v/>
      </c>
      <c r="D76" s="46" t="str">
        <f t="shared" si="7"/>
        <v/>
      </c>
    </row>
    <row r="77" spans="3:4" ht="15.75" x14ac:dyDescent="0.25">
      <c r="C77" s="46" t="str">
        <f t="shared" si="6"/>
        <v/>
      </c>
      <c r="D77" s="46" t="str">
        <f t="shared" si="7"/>
        <v/>
      </c>
    </row>
    <row r="78" spans="3:4" ht="15.75" x14ac:dyDescent="0.25">
      <c r="C78" s="46" t="str">
        <f t="shared" si="6"/>
        <v/>
      </c>
      <c r="D78" s="46" t="str">
        <f t="shared" si="7"/>
        <v/>
      </c>
    </row>
    <row r="79" spans="3:4" ht="15.75" x14ac:dyDescent="0.25">
      <c r="C79" s="46" t="str">
        <f t="shared" si="6"/>
        <v/>
      </c>
      <c r="D79" s="46" t="str">
        <f t="shared" si="7"/>
        <v/>
      </c>
    </row>
    <row r="80" spans="3:4" ht="15.75" x14ac:dyDescent="0.25">
      <c r="C80" s="46" t="str">
        <f t="shared" si="6"/>
        <v/>
      </c>
      <c r="D80" s="46" t="str">
        <f t="shared" si="7"/>
        <v/>
      </c>
    </row>
    <row r="81" spans="3:4" ht="15.75" x14ac:dyDescent="0.25">
      <c r="C81" s="46" t="str">
        <f t="shared" si="6"/>
        <v/>
      </c>
      <c r="D81" s="46" t="str">
        <f t="shared" si="7"/>
        <v/>
      </c>
    </row>
    <row r="82" spans="3:4" ht="15.75" x14ac:dyDescent="0.25">
      <c r="C82" s="46" t="str">
        <f t="shared" si="6"/>
        <v/>
      </c>
      <c r="D82" s="46" t="str">
        <f t="shared" si="7"/>
        <v/>
      </c>
    </row>
    <row r="83" spans="3:4" ht="15.75" x14ac:dyDescent="0.25">
      <c r="C83" s="46" t="str">
        <f t="shared" si="6"/>
        <v/>
      </c>
      <c r="D83" s="46" t="str">
        <f t="shared" si="7"/>
        <v/>
      </c>
    </row>
    <row r="84" spans="3:4" ht="15.75" x14ac:dyDescent="0.25">
      <c r="C84" s="46" t="str">
        <f t="shared" si="6"/>
        <v/>
      </c>
      <c r="D84" s="46" t="str">
        <f t="shared" si="7"/>
        <v/>
      </c>
    </row>
    <row r="85" spans="3:4" ht="15.75" x14ac:dyDescent="0.25">
      <c r="C85" s="46" t="str">
        <f t="shared" si="6"/>
        <v/>
      </c>
      <c r="D85" s="46" t="str">
        <f t="shared" si="7"/>
        <v/>
      </c>
    </row>
    <row r="86" spans="3:4" ht="15.75" x14ac:dyDescent="0.25">
      <c r="C86" s="46" t="str">
        <f t="shared" si="6"/>
        <v/>
      </c>
      <c r="D86" s="46" t="str">
        <f t="shared" si="7"/>
        <v/>
      </c>
    </row>
    <row r="87" spans="3:4" ht="15.75" x14ac:dyDescent="0.25">
      <c r="C87" s="46" t="str">
        <f t="shared" si="6"/>
        <v/>
      </c>
      <c r="D87" s="46" t="str">
        <f t="shared" si="7"/>
        <v/>
      </c>
    </row>
    <row r="88" spans="3:4" ht="15.75" x14ac:dyDescent="0.25">
      <c r="C88" s="46" t="str">
        <f t="shared" si="6"/>
        <v/>
      </c>
      <c r="D88" s="46" t="str">
        <f t="shared" si="7"/>
        <v/>
      </c>
    </row>
    <row r="89" spans="3:4" ht="15.75" x14ac:dyDescent="0.25">
      <c r="C89" s="46" t="str">
        <f t="shared" si="6"/>
        <v/>
      </c>
      <c r="D89" s="46" t="str">
        <f t="shared" si="7"/>
        <v/>
      </c>
    </row>
    <row r="90" spans="3:4" ht="15.75" x14ac:dyDescent="0.25">
      <c r="C90" s="46" t="str">
        <f t="shared" si="6"/>
        <v/>
      </c>
      <c r="D90" s="46" t="str">
        <f t="shared" si="7"/>
        <v/>
      </c>
    </row>
    <row r="91" spans="3:4" ht="15.75" x14ac:dyDescent="0.25">
      <c r="C91" s="46" t="str">
        <f t="shared" si="6"/>
        <v/>
      </c>
      <c r="D91" s="46" t="str">
        <f t="shared" si="7"/>
        <v/>
      </c>
    </row>
    <row r="92" spans="3:4" ht="15.75" x14ac:dyDescent="0.25">
      <c r="C92" s="46" t="str">
        <f t="shared" si="6"/>
        <v/>
      </c>
      <c r="D92" s="46" t="str">
        <f t="shared" si="7"/>
        <v/>
      </c>
    </row>
    <row r="93" spans="3:4" ht="15.75" x14ac:dyDescent="0.25">
      <c r="C93" s="46" t="str">
        <f t="shared" si="6"/>
        <v/>
      </c>
      <c r="D93" s="46" t="str">
        <f t="shared" si="7"/>
        <v/>
      </c>
    </row>
    <row r="94" spans="3:4" ht="15.75" x14ac:dyDescent="0.25">
      <c r="C94" s="46" t="str">
        <f t="shared" si="6"/>
        <v/>
      </c>
      <c r="D94" s="46" t="str">
        <f t="shared" si="7"/>
        <v/>
      </c>
    </row>
    <row r="95" spans="3:4" ht="15.75" x14ac:dyDescent="0.25">
      <c r="C95" s="46" t="str">
        <f t="shared" si="6"/>
        <v/>
      </c>
      <c r="D95" s="46" t="str">
        <f t="shared" si="7"/>
        <v/>
      </c>
    </row>
    <row r="96" spans="3:4" ht="15.75" x14ac:dyDescent="0.25">
      <c r="C96" s="46" t="str">
        <f t="shared" si="6"/>
        <v/>
      </c>
      <c r="D96" s="46" t="str">
        <f t="shared" si="7"/>
        <v/>
      </c>
    </row>
    <row r="97" spans="3:4" ht="15.75" x14ac:dyDescent="0.25">
      <c r="C97" s="46" t="str">
        <f t="shared" si="6"/>
        <v/>
      </c>
      <c r="D97" s="46" t="str">
        <f t="shared" si="7"/>
        <v/>
      </c>
    </row>
    <row r="98" spans="3:4" ht="15.75" x14ac:dyDescent="0.25">
      <c r="C98" s="46" t="str">
        <f t="shared" si="6"/>
        <v/>
      </c>
      <c r="D98" s="46" t="str">
        <f t="shared" si="7"/>
        <v/>
      </c>
    </row>
    <row r="99" spans="3:4" ht="15.75" x14ac:dyDescent="0.25">
      <c r="C99" s="46" t="str">
        <f t="shared" si="6"/>
        <v/>
      </c>
      <c r="D99" s="46" t="str">
        <f t="shared" si="7"/>
        <v/>
      </c>
    </row>
    <row r="100" spans="3:4" ht="15.75" x14ac:dyDescent="0.25">
      <c r="C100" s="46" t="str">
        <f t="shared" si="6"/>
        <v/>
      </c>
      <c r="D100" s="46" t="str">
        <f t="shared" si="7"/>
        <v/>
      </c>
    </row>
    <row r="101" spans="3:4" ht="15.75" x14ac:dyDescent="0.25">
      <c r="C101" s="46" t="str">
        <f t="shared" si="6"/>
        <v/>
      </c>
      <c r="D101" s="46" t="str">
        <f t="shared" si="7"/>
        <v/>
      </c>
    </row>
    <row r="102" spans="3:4" ht="15.75" x14ac:dyDescent="0.25">
      <c r="C102" s="46" t="str">
        <f t="shared" si="6"/>
        <v/>
      </c>
      <c r="D102" s="46" t="str">
        <f t="shared" si="7"/>
        <v/>
      </c>
    </row>
    <row r="103" spans="3:4" ht="15.75" x14ac:dyDescent="0.25">
      <c r="C103" s="46" t="str">
        <f t="shared" si="6"/>
        <v/>
      </c>
      <c r="D103" s="46" t="str">
        <f t="shared" si="7"/>
        <v/>
      </c>
    </row>
    <row r="104" spans="3:4" ht="15.75" x14ac:dyDescent="0.25">
      <c r="C104" s="46" t="str">
        <f t="shared" si="6"/>
        <v/>
      </c>
      <c r="D104" s="46" t="str">
        <f t="shared" si="7"/>
        <v/>
      </c>
    </row>
    <row r="105" spans="3:4" ht="15.75" x14ac:dyDescent="0.25">
      <c r="C105" s="46" t="str">
        <f t="shared" si="6"/>
        <v/>
      </c>
      <c r="D105" s="46" t="str">
        <f t="shared" si="7"/>
        <v/>
      </c>
    </row>
    <row r="106" spans="3:4" ht="15.75" x14ac:dyDescent="0.25">
      <c r="C106" s="46" t="str">
        <f t="shared" si="6"/>
        <v/>
      </c>
      <c r="D106" s="46" t="str">
        <f t="shared" si="7"/>
        <v/>
      </c>
    </row>
    <row r="107" spans="3:4" ht="15.75" x14ac:dyDescent="0.25">
      <c r="C107" s="46" t="str">
        <f t="shared" si="6"/>
        <v/>
      </c>
      <c r="D107" s="46" t="str">
        <f t="shared" si="7"/>
        <v/>
      </c>
    </row>
    <row r="108" spans="3:4" ht="15.75" x14ac:dyDescent="0.25">
      <c r="C108" s="46" t="str">
        <f t="shared" si="6"/>
        <v/>
      </c>
      <c r="D108" s="46" t="str">
        <f t="shared" si="7"/>
        <v/>
      </c>
    </row>
    <row r="109" spans="3:4" ht="15.75" x14ac:dyDescent="0.25">
      <c r="C109" s="46" t="str">
        <f t="shared" si="6"/>
        <v/>
      </c>
      <c r="D109" s="46" t="str">
        <f t="shared" si="7"/>
        <v/>
      </c>
    </row>
    <row r="110" spans="3:4" ht="15.75" x14ac:dyDescent="0.25">
      <c r="C110" s="46" t="str">
        <f t="shared" si="6"/>
        <v/>
      </c>
      <c r="D110" s="46" t="str">
        <f t="shared" si="7"/>
        <v/>
      </c>
    </row>
    <row r="111" spans="3:4" ht="15.75" x14ac:dyDescent="0.25">
      <c r="C111" s="46" t="str">
        <f t="shared" si="6"/>
        <v/>
      </c>
      <c r="D111" s="46" t="str">
        <f t="shared" si="7"/>
        <v/>
      </c>
    </row>
    <row r="112" spans="3:4" ht="15.75" x14ac:dyDescent="0.25">
      <c r="C112" s="46" t="str">
        <f t="shared" si="6"/>
        <v/>
      </c>
      <c r="D112" s="46" t="str">
        <f t="shared" si="7"/>
        <v/>
      </c>
    </row>
    <row r="113" spans="3:4" ht="15.75" x14ac:dyDescent="0.25">
      <c r="C113" s="46" t="str">
        <f t="shared" ref="C113:C176" si="8">IF(COUNTIF(E113:BA113,"YES")=0,"",COUNTIF(E113:BA113,"YES"))</f>
        <v/>
      </c>
      <c r="D113" s="46" t="str">
        <f t="shared" ref="D113:D176" si="9">IF(COUNTIF(E113:BA113,"NO")=0,"",COUNTIF(E113:BA113,"NO"))</f>
        <v/>
      </c>
    </row>
    <row r="114" spans="3:4" ht="15.75" x14ac:dyDescent="0.25">
      <c r="C114" s="46" t="str">
        <f t="shared" si="8"/>
        <v/>
      </c>
      <c r="D114" s="46" t="str">
        <f t="shared" si="9"/>
        <v/>
      </c>
    </row>
    <row r="115" spans="3:4" ht="15.75" x14ac:dyDescent="0.25">
      <c r="C115" s="46" t="str">
        <f t="shared" si="8"/>
        <v/>
      </c>
      <c r="D115" s="46" t="str">
        <f t="shared" si="9"/>
        <v/>
      </c>
    </row>
    <row r="116" spans="3:4" ht="15.75" x14ac:dyDescent="0.25">
      <c r="C116" s="46" t="str">
        <f t="shared" si="8"/>
        <v/>
      </c>
      <c r="D116" s="46" t="str">
        <f t="shared" si="9"/>
        <v/>
      </c>
    </row>
    <row r="117" spans="3:4" ht="15.75" x14ac:dyDescent="0.25">
      <c r="C117" s="46" t="str">
        <f t="shared" si="8"/>
        <v/>
      </c>
      <c r="D117" s="46" t="str">
        <f t="shared" si="9"/>
        <v/>
      </c>
    </row>
    <row r="118" spans="3:4" ht="15.75" x14ac:dyDescent="0.25">
      <c r="C118" s="46" t="str">
        <f t="shared" si="8"/>
        <v/>
      </c>
      <c r="D118" s="46" t="str">
        <f t="shared" si="9"/>
        <v/>
      </c>
    </row>
    <row r="119" spans="3:4" ht="15.75" x14ac:dyDescent="0.25">
      <c r="C119" s="46" t="str">
        <f t="shared" si="8"/>
        <v/>
      </c>
      <c r="D119" s="46" t="str">
        <f t="shared" si="9"/>
        <v/>
      </c>
    </row>
    <row r="120" spans="3:4" ht="15.75" x14ac:dyDescent="0.25">
      <c r="C120" s="46" t="str">
        <f t="shared" si="8"/>
        <v/>
      </c>
      <c r="D120" s="46" t="str">
        <f t="shared" si="9"/>
        <v/>
      </c>
    </row>
    <row r="121" spans="3:4" ht="15.75" x14ac:dyDescent="0.25">
      <c r="C121" s="46" t="str">
        <f t="shared" si="8"/>
        <v/>
      </c>
      <c r="D121" s="46" t="str">
        <f t="shared" si="9"/>
        <v/>
      </c>
    </row>
    <row r="122" spans="3:4" ht="15.75" x14ac:dyDescent="0.25">
      <c r="C122" s="46" t="str">
        <f t="shared" si="8"/>
        <v/>
      </c>
      <c r="D122" s="46" t="str">
        <f t="shared" si="9"/>
        <v/>
      </c>
    </row>
    <row r="123" spans="3:4" ht="15.75" x14ac:dyDescent="0.25">
      <c r="C123" s="46" t="str">
        <f t="shared" si="8"/>
        <v/>
      </c>
      <c r="D123" s="46" t="str">
        <f t="shared" si="9"/>
        <v/>
      </c>
    </row>
    <row r="124" spans="3:4" ht="15.75" x14ac:dyDescent="0.25">
      <c r="C124" s="46" t="str">
        <f t="shared" si="8"/>
        <v/>
      </c>
      <c r="D124" s="46" t="str">
        <f t="shared" si="9"/>
        <v/>
      </c>
    </row>
    <row r="125" spans="3:4" ht="15.75" x14ac:dyDescent="0.25">
      <c r="C125" s="46" t="str">
        <f t="shared" si="8"/>
        <v/>
      </c>
      <c r="D125" s="46" t="str">
        <f t="shared" si="9"/>
        <v/>
      </c>
    </row>
    <row r="126" spans="3:4" ht="15.75" x14ac:dyDescent="0.25">
      <c r="C126" s="46" t="str">
        <f t="shared" si="8"/>
        <v/>
      </c>
      <c r="D126" s="46" t="str">
        <f t="shared" si="9"/>
        <v/>
      </c>
    </row>
    <row r="127" spans="3:4" ht="15.75" x14ac:dyDescent="0.25">
      <c r="C127" s="46" t="str">
        <f t="shared" si="8"/>
        <v/>
      </c>
      <c r="D127" s="46" t="str">
        <f t="shared" si="9"/>
        <v/>
      </c>
    </row>
    <row r="128" spans="3:4" ht="15.75" x14ac:dyDescent="0.25">
      <c r="C128" s="46" t="str">
        <f t="shared" si="8"/>
        <v/>
      </c>
      <c r="D128" s="46" t="str">
        <f t="shared" si="9"/>
        <v/>
      </c>
    </row>
    <row r="129" spans="3:4" ht="15.75" x14ac:dyDescent="0.25">
      <c r="C129" s="46" t="str">
        <f t="shared" si="8"/>
        <v/>
      </c>
      <c r="D129" s="46" t="str">
        <f t="shared" si="9"/>
        <v/>
      </c>
    </row>
    <row r="130" spans="3:4" ht="15.75" x14ac:dyDescent="0.25">
      <c r="C130" s="46" t="str">
        <f t="shared" si="8"/>
        <v/>
      </c>
      <c r="D130" s="46" t="str">
        <f t="shared" si="9"/>
        <v/>
      </c>
    </row>
    <row r="131" spans="3:4" ht="15.75" x14ac:dyDescent="0.25">
      <c r="C131" s="46" t="str">
        <f t="shared" si="8"/>
        <v/>
      </c>
      <c r="D131" s="46" t="str">
        <f t="shared" si="9"/>
        <v/>
      </c>
    </row>
    <row r="132" spans="3:4" ht="15.75" x14ac:dyDescent="0.25">
      <c r="C132" s="46" t="str">
        <f t="shared" si="8"/>
        <v/>
      </c>
      <c r="D132" s="46" t="str">
        <f t="shared" si="9"/>
        <v/>
      </c>
    </row>
    <row r="133" spans="3:4" ht="15.75" x14ac:dyDescent="0.25">
      <c r="C133" s="46" t="str">
        <f t="shared" si="8"/>
        <v/>
      </c>
      <c r="D133" s="46" t="str">
        <f t="shared" si="9"/>
        <v/>
      </c>
    </row>
    <row r="134" spans="3:4" ht="15.75" x14ac:dyDescent="0.25">
      <c r="C134" s="46" t="str">
        <f t="shared" si="8"/>
        <v/>
      </c>
      <c r="D134" s="46" t="str">
        <f t="shared" si="9"/>
        <v/>
      </c>
    </row>
    <row r="135" spans="3:4" ht="15.75" x14ac:dyDescent="0.25">
      <c r="C135" s="46" t="str">
        <f t="shared" si="8"/>
        <v/>
      </c>
      <c r="D135" s="46" t="str">
        <f t="shared" si="9"/>
        <v/>
      </c>
    </row>
    <row r="136" spans="3:4" ht="15.75" x14ac:dyDescent="0.25">
      <c r="C136" s="46" t="str">
        <f t="shared" si="8"/>
        <v/>
      </c>
      <c r="D136" s="46" t="str">
        <f t="shared" si="9"/>
        <v/>
      </c>
    </row>
    <row r="137" spans="3:4" ht="15.75" x14ac:dyDescent="0.25">
      <c r="C137" s="46" t="str">
        <f t="shared" si="8"/>
        <v/>
      </c>
      <c r="D137" s="46" t="str">
        <f t="shared" si="9"/>
        <v/>
      </c>
    </row>
    <row r="138" spans="3:4" ht="15.75" x14ac:dyDescent="0.25">
      <c r="C138" s="46" t="str">
        <f t="shared" si="8"/>
        <v/>
      </c>
      <c r="D138" s="46" t="str">
        <f t="shared" si="9"/>
        <v/>
      </c>
    </row>
    <row r="139" spans="3:4" ht="15.75" x14ac:dyDescent="0.25">
      <c r="C139" s="46" t="str">
        <f t="shared" si="8"/>
        <v/>
      </c>
      <c r="D139" s="46" t="str">
        <f t="shared" si="9"/>
        <v/>
      </c>
    </row>
    <row r="140" spans="3:4" ht="15.75" x14ac:dyDescent="0.25">
      <c r="C140" s="46" t="str">
        <f t="shared" si="8"/>
        <v/>
      </c>
      <c r="D140" s="46" t="str">
        <f t="shared" si="9"/>
        <v/>
      </c>
    </row>
    <row r="141" spans="3:4" ht="15.75" x14ac:dyDescent="0.25">
      <c r="C141" s="46" t="str">
        <f t="shared" si="8"/>
        <v/>
      </c>
      <c r="D141" s="46" t="str">
        <f t="shared" si="9"/>
        <v/>
      </c>
    </row>
    <row r="142" spans="3:4" ht="15.75" x14ac:dyDescent="0.25">
      <c r="C142" s="46" t="str">
        <f t="shared" si="8"/>
        <v/>
      </c>
      <c r="D142" s="46" t="str">
        <f t="shared" si="9"/>
        <v/>
      </c>
    </row>
    <row r="143" spans="3:4" ht="15.75" x14ac:dyDescent="0.25">
      <c r="C143" s="46" t="str">
        <f t="shared" si="8"/>
        <v/>
      </c>
      <c r="D143" s="46" t="str">
        <f t="shared" si="9"/>
        <v/>
      </c>
    </row>
    <row r="144" spans="3:4" ht="15.75" x14ac:dyDescent="0.25">
      <c r="C144" s="46" t="str">
        <f t="shared" si="8"/>
        <v/>
      </c>
      <c r="D144" s="46" t="str">
        <f t="shared" si="9"/>
        <v/>
      </c>
    </row>
    <row r="145" spans="3:4" ht="15.75" x14ac:dyDescent="0.25">
      <c r="C145" s="46" t="str">
        <f t="shared" si="8"/>
        <v/>
      </c>
      <c r="D145" s="46" t="str">
        <f t="shared" si="9"/>
        <v/>
      </c>
    </row>
    <row r="146" spans="3:4" ht="15.75" x14ac:dyDescent="0.25">
      <c r="C146" s="46" t="str">
        <f t="shared" si="8"/>
        <v/>
      </c>
      <c r="D146" s="46" t="str">
        <f t="shared" si="9"/>
        <v/>
      </c>
    </row>
    <row r="147" spans="3:4" ht="15.75" x14ac:dyDescent="0.25">
      <c r="C147" s="46" t="str">
        <f t="shared" si="8"/>
        <v/>
      </c>
      <c r="D147" s="46" t="str">
        <f t="shared" si="9"/>
        <v/>
      </c>
    </row>
    <row r="148" spans="3:4" ht="15.75" x14ac:dyDescent="0.25">
      <c r="C148" s="46" t="str">
        <f t="shared" si="8"/>
        <v/>
      </c>
      <c r="D148" s="46" t="str">
        <f t="shared" si="9"/>
        <v/>
      </c>
    </row>
    <row r="149" spans="3:4" ht="15.75" x14ac:dyDescent="0.25">
      <c r="C149" s="46" t="str">
        <f t="shared" si="8"/>
        <v/>
      </c>
      <c r="D149" s="46" t="str">
        <f t="shared" si="9"/>
        <v/>
      </c>
    </row>
    <row r="150" spans="3:4" ht="15.75" x14ac:dyDescent="0.25">
      <c r="C150" s="46" t="str">
        <f t="shared" si="8"/>
        <v/>
      </c>
      <c r="D150" s="46" t="str">
        <f t="shared" si="9"/>
        <v/>
      </c>
    </row>
    <row r="151" spans="3:4" ht="15.75" x14ac:dyDescent="0.25">
      <c r="C151" s="46" t="str">
        <f t="shared" si="8"/>
        <v/>
      </c>
      <c r="D151" s="46" t="str">
        <f t="shared" si="9"/>
        <v/>
      </c>
    </row>
    <row r="152" spans="3:4" ht="15.75" x14ac:dyDescent="0.25">
      <c r="C152" s="46" t="str">
        <f t="shared" si="8"/>
        <v/>
      </c>
      <c r="D152" s="46" t="str">
        <f t="shared" si="9"/>
        <v/>
      </c>
    </row>
    <row r="153" spans="3:4" ht="15.75" x14ac:dyDescent="0.25">
      <c r="C153" s="46" t="str">
        <f t="shared" si="8"/>
        <v/>
      </c>
      <c r="D153" s="46" t="str">
        <f t="shared" si="9"/>
        <v/>
      </c>
    </row>
    <row r="154" spans="3:4" ht="15.75" x14ac:dyDescent="0.25">
      <c r="C154" s="46" t="str">
        <f t="shared" si="8"/>
        <v/>
      </c>
      <c r="D154" s="46" t="str">
        <f t="shared" si="9"/>
        <v/>
      </c>
    </row>
    <row r="155" spans="3:4" ht="15.75" x14ac:dyDescent="0.25">
      <c r="C155" s="46" t="str">
        <f t="shared" si="8"/>
        <v/>
      </c>
      <c r="D155" s="46" t="str">
        <f t="shared" si="9"/>
        <v/>
      </c>
    </row>
    <row r="156" spans="3:4" ht="15.75" x14ac:dyDescent="0.25">
      <c r="C156" s="46" t="str">
        <f t="shared" si="8"/>
        <v/>
      </c>
      <c r="D156" s="46" t="str">
        <f t="shared" si="9"/>
        <v/>
      </c>
    </row>
    <row r="157" spans="3:4" ht="15.75" x14ac:dyDescent="0.25">
      <c r="C157" s="46" t="str">
        <f t="shared" si="8"/>
        <v/>
      </c>
      <c r="D157" s="46" t="str">
        <f t="shared" si="9"/>
        <v/>
      </c>
    </row>
    <row r="158" spans="3:4" ht="15.75" x14ac:dyDescent="0.25">
      <c r="C158" s="46" t="str">
        <f t="shared" si="8"/>
        <v/>
      </c>
      <c r="D158" s="46" t="str">
        <f t="shared" si="9"/>
        <v/>
      </c>
    </row>
    <row r="159" spans="3:4" ht="15.75" x14ac:dyDescent="0.25">
      <c r="C159" s="46" t="str">
        <f t="shared" si="8"/>
        <v/>
      </c>
      <c r="D159" s="46" t="str">
        <f t="shared" si="9"/>
        <v/>
      </c>
    </row>
    <row r="160" spans="3:4" ht="15.75" x14ac:dyDescent="0.25">
      <c r="C160" s="46" t="str">
        <f t="shared" si="8"/>
        <v/>
      </c>
      <c r="D160" s="46" t="str">
        <f t="shared" si="9"/>
        <v/>
      </c>
    </row>
    <row r="161" spans="3:4" ht="15.75" x14ac:dyDescent="0.25">
      <c r="C161" s="46" t="str">
        <f t="shared" si="8"/>
        <v/>
      </c>
      <c r="D161" s="46" t="str">
        <f t="shared" si="9"/>
        <v/>
      </c>
    </row>
    <row r="162" spans="3:4" ht="15.75" x14ac:dyDescent="0.25">
      <c r="C162" s="46" t="str">
        <f t="shared" si="8"/>
        <v/>
      </c>
      <c r="D162" s="46" t="str">
        <f t="shared" si="9"/>
        <v/>
      </c>
    </row>
    <row r="163" spans="3:4" ht="15.75" x14ac:dyDescent="0.25">
      <c r="C163" s="46" t="str">
        <f t="shared" si="8"/>
        <v/>
      </c>
      <c r="D163" s="46" t="str">
        <f t="shared" si="9"/>
        <v/>
      </c>
    </row>
    <row r="164" spans="3:4" ht="15.75" x14ac:dyDescent="0.25">
      <c r="C164" s="46" t="str">
        <f t="shared" si="8"/>
        <v/>
      </c>
      <c r="D164" s="46" t="str">
        <f t="shared" si="9"/>
        <v/>
      </c>
    </row>
    <row r="165" spans="3:4" ht="15.75" x14ac:dyDescent="0.25">
      <c r="C165" s="46" t="str">
        <f t="shared" si="8"/>
        <v/>
      </c>
      <c r="D165" s="46" t="str">
        <f t="shared" si="9"/>
        <v/>
      </c>
    </row>
    <row r="166" spans="3:4" ht="15.75" x14ac:dyDescent="0.25">
      <c r="C166" s="46" t="str">
        <f t="shared" si="8"/>
        <v/>
      </c>
      <c r="D166" s="46" t="str">
        <f t="shared" si="9"/>
        <v/>
      </c>
    </row>
    <row r="167" spans="3:4" ht="15.75" x14ac:dyDescent="0.25">
      <c r="C167" s="46" t="str">
        <f t="shared" si="8"/>
        <v/>
      </c>
      <c r="D167" s="46" t="str">
        <f t="shared" si="9"/>
        <v/>
      </c>
    </row>
    <row r="168" spans="3:4" ht="15.75" x14ac:dyDescent="0.25">
      <c r="C168" s="46" t="str">
        <f t="shared" si="8"/>
        <v/>
      </c>
      <c r="D168" s="46" t="str">
        <f t="shared" si="9"/>
        <v/>
      </c>
    </row>
    <row r="169" spans="3:4" ht="15.75" x14ac:dyDescent="0.25">
      <c r="C169" s="46" t="str">
        <f t="shared" si="8"/>
        <v/>
      </c>
      <c r="D169" s="46" t="str">
        <f t="shared" si="9"/>
        <v/>
      </c>
    </row>
    <row r="170" spans="3:4" ht="15.75" x14ac:dyDescent="0.25">
      <c r="C170" s="46" t="str">
        <f t="shared" si="8"/>
        <v/>
      </c>
      <c r="D170" s="46" t="str">
        <f t="shared" si="9"/>
        <v/>
      </c>
    </row>
    <row r="171" spans="3:4" ht="15.75" x14ac:dyDescent="0.25">
      <c r="C171" s="46" t="str">
        <f t="shared" si="8"/>
        <v/>
      </c>
      <c r="D171" s="46" t="str">
        <f t="shared" si="9"/>
        <v/>
      </c>
    </row>
    <row r="172" spans="3:4" ht="15.75" x14ac:dyDescent="0.25">
      <c r="C172" s="46" t="str">
        <f t="shared" si="8"/>
        <v/>
      </c>
      <c r="D172" s="46" t="str">
        <f t="shared" si="9"/>
        <v/>
      </c>
    </row>
    <row r="173" spans="3:4" ht="15.75" x14ac:dyDescent="0.25">
      <c r="C173" s="46" t="str">
        <f t="shared" si="8"/>
        <v/>
      </c>
      <c r="D173" s="46" t="str">
        <f t="shared" si="9"/>
        <v/>
      </c>
    </row>
    <row r="174" spans="3:4" ht="15.75" x14ac:dyDescent="0.25">
      <c r="C174" s="46" t="str">
        <f t="shared" si="8"/>
        <v/>
      </c>
      <c r="D174" s="46" t="str">
        <f t="shared" si="9"/>
        <v/>
      </c>
    </row>
    <row r="175" spans="3:4" ht="15.75" x14ac:dyDescent="0.25">
      <c r="C175" s="46" t="str">
        <f t="shared" si="8"/>
        <v/>
      </c>
      <c r="D175" s="46" t="str">
        <f t="shared" si="9"/>
        <v/>
      </c>
    </row>
    <row r="176" spans="3:4" ht="15.75" x14ac:dyDescent="0.25">
      <c r="C176" s="46" t="str">
        <f t="shared" si="8"/>
        <v/>
      </c>
      <c r="D176" s="46" t="str">
        <f t="shared" si="9"/>
        <v/>
      </c>
    </row>
    <row r="177" spans="3:4" ht="15.75" x14ac:dyDescent="0.25">
      <c r="C177" s="46" t="str">
        <f t="shared" ref="C177:C240" si="10">IF(COUNTIF(E177:BA177,"YES")=0,"",COUNTIF(E177:BA177,"YES"))</f>
        <v/>
      </c>
      <c r="D177" s="46" t="str">
        <f t="shared" ref="D177:D240" si="11">IF(COUNTIF(E177:BA177,"NO")=0,"",COUNTIF(E177:BA177,"NO"))</f>
        <v/>
      </c>
    </row>
    <row r="178" spans="3:4" ht="15.75" x14ac:dyDescent="0.25">
      <c r="C178" s="46" t="str">
        <f t="shared" si="10"/>
        <v/>
      </c>
      <c r="D178" s="46" t="str">
        <f t="shared" si="11"/>
        <v/>
      </c>
    </row>
    <row r="179" spans="3:4" ht="15.75" x14ac:dyDescent="0.25">
      <c r="C179" s="46" t="str">
        <f t="shared" si="10"/>
        <v/>
      </c>
      <c r="D179" s="46" t="str">
        <f t="shared" si="11"/>
        <v/>
      </c>
    </row>
    <row r="180" spans="3:4" ht="15.75" x14ac:dyDescent="0.25">
      <c r="C180" s="46" t="str">
        <f t="shared" si="10"/>
        <v/>
      </c>
      <c r="D180" s="46" t="str">
        <f t="shared" si="11"/>
        <v/>
      </c>
    </row>
    <row r="181" spans="3:4" ht="15.75" x14ac:dyDescent="0.25">
      <c r="C181" s="46" t="str">
        <f t="shared" si="10"/>
        <v/>
      </c>
      <c r="D181" s="46" t="str">
        <f t="shared" si="11"/>
        <v/>
      </c>
    </row>
    <row r="182" spans="3:4" ht="15.75" x14ac:dyDescent="0.25">
      <c r="C182" s="46" t="str">
        <f t="shared" si="10"/>
        <v/>
      </c>
      <c r="D182" s="46" t="str">
        <f t="shared" si="11"/>
        <v/>
      </c>
    </row>
    <row r="183" spans="3:4" ht="15.75" x14ac:dyDescent="0.25">
      <c r="C183" s="46" t="str">
        <f t="shared" si="10"/>
        <v/>
      </c>
      <c r="D183" s="46" t="str">
        <f t="shared" si="11"/>
        <v/>
      </c>
    </row>
    <row r="184" spans="3:4" ht="15.75" x14ac:dyDescent="0.25">
      <c r="C184" s="46" t="str">
        <f t="shared" si="10"/>
        <v/>
      </c>
      <c r="D184" s="46" t="str">
        <f t="shared" si="11"/>
        <v/>
      </c>
    </row>
    <row r="185" spans="3:4" ht="15.75" x14ac:dyDescent="0.25">
      <c r="C185" s="46" t="str">
        <f t="shared" si="10"/>
        <v/>
      </c>
      <c r="D185" s="46" t="str">
        <f t="shared" si="11"/>
        <v/>
      </c>
    </row>
    <row r="186" spans="3:4" ht="15.75" x14ac:dyDescent="0.25">
      <c r="C186" s="46" t="str">
        <f t="shared" si="10"/>
        <v/>
      </c>
      <c r="D186" s="46" t="str">
        <f t="shared" si="11"/>
        <v/>
      </c>
    </row>
    <row r="187" spans="3:4" ht="15.75" x14ac:dyDescent="0.25">
      <c r="C187" s="46" t="str">
        <f t="shared" si="10"/>
        <v/>
      </c>
      <c r="D187" s="46" t="str">
        <f t="shared" si="11"/>
        <v/>
      </c>
    </row>
    <row r="188" spans="3:4" ht="15.75" x14ac:dyDescent="0.25">
      <c r="C188" s="46" t="str">
        <f t="shared" si="10"/>
        <v/>
      </c>
      <c r="D188" s="46" t="str">
        <f t="shared" si="11"/>
        <v/>
      </c>
    </row>
    <row r="189" spans="3:4" ht="15.75" x14ac:dyDescent="0.25">
      <c r="C189" s="46" t="str">
        <f t="shared" si="10"/>
        <v/>
      </c>
      <c r="D189" s="46" t="str">
        <f t="shared" si="11"/>
        <v/>
      </c>
    </row>
    <row r="190" spans="3:4" ht="15.75" x14ac:dyDescent="0.25">
      <c r="C190" s="46" t="str">
        <f t="shared" si="10"/>
        <v/>
      </c>
      <c r="D190" s="46" t="str">
        <f t="shared" si="11"/>
        <v/>
      </c>
    </row>
    <row r="191" spans="3:4" ht="15.75" x14ac:dyDescent="0.25">
      <c r="C191" s="46" t="str">
        <f t="shared" si="10"/>
        <v/>
      </c>
      <c r="D191" s="46" t="str">
        <f t="shared" si="11"/>
        <v/>
      </c>
    </row>
    <row r="192" spans="3:4" ht="15.75" x14ac:dyDescent="0.25">
      <c r="C192" s="46" t="str">
        <f t="shared" si="10"/>
        <v/>
      </c>
      <c r="D192" s="46" t="str">
        <f t="shared" si="11"/>
        <v/>
      </c>
    </row>
    <row r="193" spans="3:4" ht="15.75" x14ac:dyDescent="0.25">
      <c r="C193" s="46" t="str">
        <f t="shared" si="10"/>
        <v/>
      </c>
      <c r="D193" s="46" t="str">
        <f t="shared" si="11"/>
        <v/>
      </c>
    </row>
    <row r="194" spans="3:4" ht="15.75" x14ac:dyDescent="0.25">
      <c r="C194" s="46" t="str">
        <f t="shared" si="10"/>
        <v/>
      </c>
      <c r="D194" s="46" t="str">
        <f t="shared" si="11"/>
        <v/>
      </c>
    </row>
    <row r="195" spans="3:4" ht="15.75" x14ac:dyDescent="0.25">
      <c r="C195" s="46" t="str">
        <f t="shared" si="10"/>
        <v/>
      </c>
      <c r="D195" s="46" t="str">
        <f t="shared" si="11"/>
        <v/>
      </c>
    </row>
    <row r="196" spans="3:4" ht="15.75" x14ac:dyDescent="0.25">
      <c r="C196" s="46" t="str">
        <f t="shared" si="10"/>
        <v/>
      </c>
      <c r="D196" s="46" t="str">
        <f t="shared" si="11"/>
        <v/>
      </c>
    </row>
    <row r="197" spans="3:4" ht="15.75" x14ac:dyDescent="0.25">
      <c r="C197" s="46" t="str">
        <f t="shared" si="10"/>
        <v/>
      </c>
      <c r="D197" s="46" t="str">
        <f t="shared" si="11"/>
        <v/>
      </c>
    </row>
    <row r="198" spans="3:4" ht="15.75" x14ac:dyDescent="0.25">
      <c r="C198" s="46" t="str">
        <f t="shared" si="10"/>
        <v/>
      </c>
      <c r="D198" s="46" t="str">
        <f t="shared" si="11"/>
        <v/>
      </c>
    </row>
    <row r="199" spans="3:4" ht="15.75" x14ac:dyDescent="0.25">
      <c r="C199" s="46" t="str">
        <f t="shared" si="10"/>
        <v/>
      </c>
      <c r="D199" s="46" t="str">
        <f t="shared" si="11"/>
        <v/>
      </c>
    </row>
    <row r="200" spans="3:4" ht="15.75" x14ac:dyDescent="0.25">
      <c r="C200" s="46" t="str">
        <f t="shared" si="10"/>
        <v/>
      </c>
      <c r="D200" s="46" t="str">
        <f t="shared" si="11"/>
        <v/>
      </c>
    </row>
    <row r="201" spans="3:4" ht="15.75" x14ac:dyDescent="0.25">
      <c r="C201" s="46" t="str">
        <f t="shared" si="10"/>
        <v/>
      </c>
      <c r="D201" s="46" t="str">
        <f t="shared" si="11"/>
        <v/>
      </c>
    </row>
    <row r="202" spans="3:4" ht="15.75" x14ac:dyDescent="0.25">
      <c r="C202" s="46" t="str">
        <f t="shared" si="10"/>
        <v/>
      </c>
      <c r="D202" s="46" t="str">
        <f t="shared" si="11"/>
        <v/>
      </c>
    </row>
    <row r="203" spans="3:4" ht="15.75" x14ac:dyDescent="0.25">
      <c r="C203" s="46" t="str">
        <f t="shared" si="10"/>
        <v/>
      </c>
      <c r="D203" s="46" t="str">
        <f t="shared" si="11"/>
        <v/>
      </c>
    </row>
    <row r="204" spans="3:4" ht="15.75" x14ac:dyDescent="0.25">
      <c r="C204" s="46" t="str">
        <f t="shared" si="10"/>
        <v/>
      </c>
      <c r="D204" s="46" t="str">
        <f t="shared" si="11"/>
        <v/>
      </c>
    </row>
    <row r="205" spans="3:4" ht="15.75" x14ac:dyDescent="0.25">
      <c r="C205" s="46" t="str">
        <f t="shared" si="10"/>
        <v/>
      </c>
      <c r="D205" s="46" t="str">
        <f t="shared" si="11"/>
        <v/>
      </c>
    </row>
    <row r="206" spans="3:4" ht="15.75" x14ac:dyDescent="0.25">
      <c r="C206" s="46" t="str">
        <f t="shared" si="10"/>
        <v/>
      </c>
      <c r="D206" s="46" t="str">
        <f t="shared" si="11"/>
        <v/>
      </c>
    </row>
    <row r="207" spans="3:4" ht="15.75" x14ac:dyDescent="0.25">
      <c r="C207" s="46" t="str">
        <f t="shared" si="10"/>
        <v/>
      </c>
      <c r="D207" s="46" t="str">
        <f t="shared" si="11"/>
        <v/>
      </c>
    </row>
    <row r="208" spans="3:4" ht="15.75" x14ac:dyDescent="0.25">
      <c r="C208" s="46" t="str">
        <f t="shared" si="10"/>
        <v/>
      </c>
      <c r="D208" s="46" t="str">
        <f t="shared" si="11"/>
        <v/>
      </c>
    </row>
    <row r="209" spans="3:4" ht="15.75" x14ac:dyDescent="0.25">
      <c r="C209" s="46" t="str">
        <f t="shared" si="10"/>
        <v/>
      </c>
      <c r="D209" s="46" t="str">
        <f t="shared" si="11"/>
        <v/>
      </c>
    </row>
    <row r="210" spans="3:4" ht="15.75" x14ac:dyDescent="0.25">
      <c r="C210" s="46" t="str">
        <f t="shared" si="10"/>
        <v/>
      </c>
      <c r="D210" s="46" t="str">
        <f t="shared" si="11"/>
        <v/>
      </c>
    </row>
    <row r="211" spans="3:4" ht="15.75" x14ac:dyDescent="0.25">
      <c r="C211" s="46" t="str">
        <f t="shared" si="10"/>
        <v/>
      </c>
      <c r="D211" s="46" t="str">
        <f t="shared" si="11"/>
        <v/>
      </c>
    </row>
    <row r="212" spans="3:4" ht="15.75" x14ac:dyDescent="0.25">
      <c r="C212" s="46" t="str">
        <f t="shared" si="10"/>
        <v/>
      </c>
      <c r="D212" s="46" t="str">
        <f t="shared" si="11"/>
        <v/>
      </c>
    </row>
    <row r="213" spans="3:4" ht="15.75" x14ac:dyDescent="0.25">
      <c r="C213" s="46" t="str">
        <f t="shared" si="10"/>
        <v/>
      </c>
      <c r="D213" s="46" t="str">
        <f t="shared" si="11"/>
        <v/>
      </c>
    </row>
    <row r="214" spans="3:4" ht="15.75" x14ac:dyDescent="0.25">
      <c r="C214" s="46" t="str">
        <f t="shared" si="10"/>
        <v/>
      </c>
      <c r="D214" s="46" t="str">
        <f t="shared" si="11"/>
        <v/>
      </c>
    </row>
    <row r="215" spans="3:4" ht="15.75" x14ac:dyDescent="0.25">
      <c r="C215" s="46" t="str">
        <f t="shared" si="10"/>
        <v/>
      </c>
      <c r="D215" s="46" t="str">
        <f t="shared" si="11"/>
        <v/>
      </c>
    </row>
    <row r="216" spans="3:4" ht="15.75" x14ac:dyDescent="0.25">
      <c r="C216" s="46" t="str">
        <f t="shared" si="10"/>
        <v/>
      </c>
      <c r="D216" s="46" t="str">
        <f t="shared" si="11"/>
        <v/>
      </c>
    </row>
    <row r="217" spans="3:4" ht="15.75" x14ac:dyDescent="0.25">
      <c r="C217" s="46" t="str">
        <f t="shared" si="10"/>
        <v/>
      </c>
      <c r="D217" s="46" t="str">
        <f t="shared" si="11"/>
        <v/>
      </c>
    </row>
    <row r="218" spans="3:4" ht="15.75" x14ac:dyDescent="0.25">
      <c r="C218" s="46" t="str">
        <f t="shared" si="10"/>
        <v/>
      </c>
      <c r="D218" s="46" t="str">
        <f t="shared" si="11"/>
        <v/>
      </c>
    </row>
    <row r="219" spans="3:4" ht="15.75" x14ac:dyDescent="0.25">
      <c r="C219" s="46" t="str">
        <f t="shared" si="10"/>
        <v/>
      </c>
      <c r="D219" s="46" t="str">
        <f t="shared" si="11"/>
        <v/>
      </c>
    </row>
    <row r="220" spans="3:4" ht="15.75" x14ac:dyDescent="0.25">
      <c r="C220" s="46" t="str">
        <f t="shared" si="10"/>
        <v/>
      </c>
      <c r="D220" s="46" t="str">
        <f t="shared" si="11"/>
        <v/>
      </c>
    </row>
    <row r="221" spans="3:4" ht="15.75" x14ac:dyDescent="0.25">
      <c r="C221" s="46" t="str">
        <f t="shared" si="10"/>
        <v/>
      </c>
      <c r="D221" s="46" t="str">
        <f t="shared" si="11"/>
        <v/>
      </c>
    </row>
    <row r="222" spans="3:4" ht="15.75" x14ac:dyDescent="0.25">
      <c r="C222" s="46" t="str">
        <f t="shared" si="10"/>
        <v/>
      </c>
      <c r="D222" s="46" t="str">
        <f t="shared" si="11"/>
        <v/>
      </c>
    </row>
    <row r="223" spans="3:4" ht="15.75" x14ac:dyDescent="0.25">
      <c r="C223" s="46" t="str">
        <f t="shared" si="10"/>
        <v/>
      </c>
      <c r="D223" s="46" t="str">
        <f t="shared" si="11"/>
        <v/>
      </c>
    </row>
    <row r="224" spans="3:4" ht="15.75" x14ac:dyDescent="0.25">
      <c r="C224" s="46" t="str">
        <f t="shared" si="10"/>
        <v/>
      </c>
      <c r="D224" s="46" t="str">
        <f t="shared" si="11"/>
        <v/>
      </c>
    </row>
    <row r="225" spans="3:4" ht="15.75" x14ac:dyDescent="0.25">
      <c r="C225" s="46" t="str">
        <f t="shared" si="10"/>
        <v/>
      </c>
      <c r="D225" s="46" t="str">
        <f t="shared" si="11"/>
        <v/>
      </c>
    </row>
    <row r="226" spans="3:4" ht="15.75" x14ac:dyDescent="0.25">
      <c r="C226" s="46" t="str">
        <f t="shared" si="10"/>
        <v/>
      </c>
      <c r="D226" s="46" t="str">
        <f t="shared" si="11"/>
        <v/>
      </c>
    </row>
    <row r="227" spans="3:4" ht="15.75" x14ac:dyDescent="0.25">
      <c r="C227" s="46" t="str">
        <f t="shared" si="10"/>
        <v/>
      </c>
      <c r="D227" s="46" t="str">
        <f t="shared" si="11"/>
        <v/>
      </c>
    </row>
    <row r="228" spans="3:4" ht="15.75" x14ac:dyDescent="0.25">
      <c r="C228" s="46" t="str">
        <f t="shared" si="10"/>
        <v/>
      </c>
      <c r="D228" s="46" t="str">
        <f t="shared" si="11"/>
        <v/>
      </c>
    </row>
    <row r="229" spans="3:4" ht="15.75" x14ac:dyDescent="0.25">
      <c r="C229" s="46" t="str">
        <f t="shared" si="10"/>
        <v/>
      </c>
      <c r="D229" s="46" t="str">
        <f t="shared" si="11"/>
        <v/>
      </c>
    </row>
    <row r="230" spans="3:4" ht="15.75" x14ac:dyDescent="0.25">
      <c r="C230" s="46" t="str">
        <f t="shared" si="10"/>
        <v/>
      </c>
      <c r="D230" s="46" t="str">
        <f t="shared" si="11"/>
        <v/>
      </c>
    </row>
    <row r="231" spans="3:4" ht="15.75" x14ac:dyDescent="0.25">
      <c r="C231" s="46" t="str">
        <f t="shared" si="10"/>
        <v/>
      </c>
      <c r="D231" s="46" t="str">
        <f t="shared" si="11"/>
        <v/>
      </c>
    </row>
    <row r="232" spans="3:4" ht="15.75" x14ac:dyDescent="0.25">
      <c r="C232" s="46" t="str">
        <f t="shared" si="10"/>
        <v/>
      </c>
      <c r="D232" s="46" t="str">
        <f t="shared" si="11"/>
        <v/>
      </c>
    </row>
    <row r="233" spans="3:4" ht="15.75" x14ac:dyDescent="0.25">
      <c r="C233" s="46" t="str">
        <f t="shared" si="10"/>
        <v/>
      </c>
      <c r="D233" s="46" t="str">
        <f t="shared" si="11"/>
        <v/>
      </c>
    </row>
    <row r="234" spans="3:4" ht="15.75" x14ac:dyDescent="0.25">
      <c r="C234" s="46" t="str">
        <f t="shared" si="10"/>
        <v/>
      </c>
      <c r="D234" s="46" t="str">
        <f t="shared" si="11"/>
        <v/>
      </c>
    </row>
    <row r="235" spans="3:4" ht="15.75" x14ac:dyDescent="0.25">
      <c r="C235" s="46" t="str">
        <f t="shared" si="10"/>
        <v/>
      </c>
      <c r="D235" s="46" t="str">
        <f t="shared" si="11"/>
        <v/>
      </c>
    </row>
    <row r="236" spans="3:4" ht="15.75" x14ac:dyDescent="0.25">
      <c r="C236" s="46" t="str">
        <f t="shared" si="10"/>
        <v/>
      </c>
      <c r="D236" s="46" t="str">
        <f t="shared" si="11"/>
        <v/>
      </c>
    </row>
    <row r="237" spans="3:4" ht="15.75" x14ac:dyDescent="0.25">
      <c r="C237" s="46" t="str">
        <f t="shared" si="10"/>
        <v/>
      </c>
      <c r="D237" s="46" t="str">
        <f t="shared" si="11"/>
        <v/>
      </c>
    </row>
    <row r="238" spans="3:4" ht="15.75" x14ac:dyDescent="0.25">
      <c r="C238" s="46" t="str">
        <f t="shared" si="10"/>
        <v/>
      </c>
      <c r="D238" s="46" t="str">
        <f t="shared" si="11"/>
        <v/>
      </c>
    </row>
    <row r="239" spans="3:4" ht="15.75" x14ac:dyDescent="0.25">
      <c r="C239" s="46" t="str">
        <f t="shared" si="10"/>
        <v/>
      </c>
      <c r="D239" s="46" t="str">
        <f t="shared" si="11"/>
        <v/>
      </c>
    </row>
    <row r="240" spans="3:4" ht="15.75" x14ac:dyDescent="0.25">
      <c r="C240" s="46" t="str">
        <f t="shared" si="10"/>
        <v/>
      </c>
      <c r="D240" s="46" t="str">
        <f t="shared" si="11"/>
        <v/>
      </c>
    </row>
    <row r="241" spans="3:4" ht="15.75" x14ac:dyDescent="0.25">
      <c r="C241" s="46" t="str">
        <f t="shared" ref="C241:C304" si="12">IF(COUNTIF(E241:BA241,"YES")=0,"",COUNTIF(E241:BA241,"YES"))</f>
        <v/>
      </c>
      <c r="D241" s="46" t="str">
        <f t="shared" ref="D241:D304" si="13">IF(COUNTIF(E241:BA241,"NO")=0,"",COUNTIF(E241:BA241,"NO"))</f>
        <v/>
      </c>
    </row>
    <row r="242" spans="3:4" ht="15.75" x14ac:dyDescent="0.25">
      <c r="C242" s="46" t="str">
        <f t="shared" si="12"/>
        <v/>
      </c>
      <c r="D242" s="46" t="str">
        <f t="shared" si="13"/>
        <v/>
      </c>
    </row>
    <row r="243" spans="3:4" ht="15.75" x14ac:dyDescent="0.25">
      <c r="C243" s="46" t="str">
        <f t="shared" si="12"/>
        <v/>
      </c>
      <c r="D243" s="46" t="str">
        <f t="shared" si="13"/>
        <v/>
      </c>
    </row>
    <row r="244" spans="3:4" ht="15.75" x14ac:dyDescent="0.25">
      <c r="C244" s="46" t="str">
        <f t="shared" si="12"/>
        <v/>
      </c>
      <c r="D244" s="46" t="str">
        <f t="shared" si="13"/>
        <v/>
      </c>
    </row>
    <row r="245" spans="3:4" ht="15.75" x14ac:dyDescent="0.25">
      <c r="C245" s="46" t="str">
        <f t="shared" si="12"/>
        <v/>
      </c>
      <c r="D245" s="46" t="str">
        <f t="shared" si="13"/>
        <v/>
      </c>
    </row>
    <row r="246" spans="3:4" ht="15.75" x14ac:dyDescent="0.25">
      <c r="C246" s="46" t="str">
        <f t="shared" si="12"/>
        <v/>
      </c>
      <c r="D246" s="46" t="str">
        <f t="shared" si="13"/>
        <v/>
      </c>
    </row>
    <row r="247" spans="3:4" ht="15.75" x14ac:dyDescent="0.25">
      <c r="C247" s="46" t="str">
        <f t="shared" si="12"/>
        <v/>
      </c>
      <c r="D247" s="46" t="str">
        <f t="shared" si="13"/>
        <v/>
      </c>
    </row>
    <row r="248" spans="3:4" ht="15.75" x14ac:dyDescent="0.25">
      <c r="C248" s="46" t="str">
        <f t="shared" si="12"/>
        <v/>
      </c>
      <c r="D248" s="46" t="str">
        <f t="shared" si="13"/>
        <v/>
      </c>
    </row>
    <row r="249" spans="3:4" ht="15.75" x14ac:dyDescent="0.25">
      <c r="C249" s="46" t="str">
        <f t="shared" si="12"/>
        <v/>
      </c>
      <c r="D249" s="46" t="str">
        <f t="shared" si="13"/>
        <v/>
      </c>
    </row>
    <row r="250" spans="3:4" ht="15.75" x14ac:dyDescent="0.25">
      <c r="C250" s="46" t="str">
        <f t="shared" si="12"/>
        <v/>
      </c>
      <c r="D250" s="46" t="str">
        <f t="shared" si="13"/>
        <v/>
      </c>
    </row>
    <row r="251" spans="3:4" ht="15.75" x14ac:dyDescent="0.25">
      <c r="C251" s="46" t="str">
        <f t="shared" si="12"/>
        <v/>
      </c>
      <c r="D251" s="46" t="str">
        <f t="shared" si="13"/>
        <v/>
      </c>
    </row>
    <row r="252" spans="3:4" ht="15.75" x14ac:dyDescent="0.25">
      <c r="C252" s="46" t="str">
        <f t="shared" si="12"/>
        <v/>
      </c>
      <c r="D252" s="46" t="str">
        <f t="shared" si="13"/>
        <v/>
      </c>
    </row>
    <row r="253" spans="3:4" ht="15.75" x14ac:dyDescent="0.25">
      <c r="C253" s="46" t="str">
        <f t="shared" si="12"/>
        <v/>
      </c>
      <c r="D253" s="46" t="str">
        <f t="shared" si="13"/>
        <v/>
      </c>
    </row>
    <row r="254" spans="3:4" ht="15.75" x14ac:dyDescent="0.25">
      <c r="C254" s="46" t="str">
        <f t="shared" si="12"/>
        <v/>
      </c>
      <c r="D254" s="46" t="str">
        <f t="shared" si="13"/>
        <v/>
      </c>
    </row>
    <row r="255" spans="3:4" ht="15.75" x14ac:dyDescent="0.25">
      <c r="C255" s="46" t="str">
        <f t="shared" si="12"/>
        <v/>
      </c>
      <c r="D255" s="46" t="str">
        <f t="shared" si="13"/>
        <v/>
      </c>
    </row>
    <row r="256" spans="3:4" ht="15.75" x14ac:dyDescent="0.25">
      <c r="C256" s="46" t="str">
        <f t="shared" si="12"/>
        <v/>
      </c>
      <c r="D256" s="46" t="str">
        <f t="shared" si="13"/>
        <v/>
      </c>
    </row>
    <row r="257" spans="3:4" ht="15.75" x14ac:dyDescent="0.25">
      <c r="C257" s="46" t="str">
        <f t="shared" si="12"/>
        <v/>
      </c>
      <c r="D257" s="46" t="str">
        <f t="shared" si="13"/>
        <v/>
      </c>
    </row>
    <row r="258" spans="3:4" ht="15.75" x14ac:dyDescent="0.25">
      <c r="C258" s="46" t="str">
        <f t="shared" si="12"/>
        <v/>
      </c>
      <c r="D258" s="46" t="str">
        <f t="shared" si="13"/>
        <v/>
      </c>
    </row>
    <row r="259" spans="3:4" ht="15.75" x14ac:dyDescent="0.25">
      <c r="C259" s="46" t="str">
        <f t="shared" si="12"/>
        <v/>
      </c>
      <c r="D259" s="46" t="str">
        <f t="shared" si="13"/>
        <v/>
      </c>
    </row>
    <row r="260" spans="3:4" ht="15.75" x14ac:dyDescent="0.25">
      <c r="C260" s="46" t="str">
        <f t="shared" si="12"/>
        <v/>
      </c>
      <c r="D260" s="46" t="str">
        <f t="shared" si="13"/>
        <v/>
      </c>
    </row>
    <row r="261" spans="3:4" ht="15.75" x14ac:dyDescent="0.25">
      <c r="C261" s="46" t="str">
        <f t="shared" si="12"/>
        <v/>
      </c>
      <c r="D261" s="46" t="str">
        <f t="shared" si="13"/>
        <v/>
      </c>
    </row>
    <row r="262" spans="3:4" ht="15.75" x14ac:dyDescent="0.25">
      <c r="C262" s="46" t="str">
        <f t="shared" si="12"/>
        <v/>
      </c>
      <c r="D262" s="46" t="str">
        <f t="shared" si="13"/>
        <v/>
      </c>
    </row>
    <row r="263" spans="3:4" ht="15.75" x14ac:dyDescent="0.25">
      <c r="C263" s="46" t="str">
        <f t="shared" si="12"/>
        <v/>
      </c>
      <c r="D263" s="46" t="str">
        <f t="shared" si="13"/>
        <v/>
      </c>
    </row>
    <row r="264" spans="3:4" ht="15.75" x14ac:dyDescent="0.25">
      <c r="C264" s="46" t="str">
        <f t="shared" si="12"/>
        <v/>
      </c>
      <c r="D264" s="46" t="str">
        <f t="shared" si="13"/>
        <v/>
      </c>
    </row>
    <row r="265" spans="3:4" ht="15.75" x14ac:dyDescent="0.25">
      <c r="C265" s="46" t="str">
        <f t="shared" si="12"/>
        <v/>
      </c>
      <c r="D265" s="46" t="str">
        <f t="shared" si="13"/>
        <v/>
      </c>
    </row>
    <row r="266" spans="3:4" ht="15.75" x14ac:dyDescent="0.25">
      <c r="C266" s="46" t="str">
        <f t="shared" si="12"/>
        <v/>
      </c>
      <c r="D266" s="46" t="str">
        <f t="shared" si="13"/>
        <v/>
      </c>
    </row>
    <row r="267" spans="3:4" ht="15.75" x14ac:dyDescent="0.25">
      <c r="C267" s="46" t="str">
        <f t="shared" si="12"/>
        <v/>
      </c>
      <c r="D267" s="46" t="str">
        <f t="shared" si="13"/>
        <v/>
      </c>
    </row>
    <row r="268" spans="3:4" ht="15.75" x14ac:dyDescent="0.25">
      <c r="C268" s="46" t="str">
        <f t="shared" si="12"/>
        <v/>
      </c>
      <c r="D268" s="46" t="str">
        <f t="shared" si="13"/>
        <v/>
      </c>
    </row>
    <row r="269" spans="3:4" ht="15.75" x14ac:dyDescent="0.25">
      <c r="C269" s="46" t="str">
        <f t="shared" si="12"/>
        <v/>
      </c>
      <c r="D269" s="46" t="str">
        <f t="shared" si="13"/>
        <v/>
      </c>
    </row>
    <row r="270" spans="3:4" ht="15.75" x14ac:dyDescent="0.25">
      <c r="C270" s="46" t="str">
        <f t="shared" si="12"/>
        <v/>
      </c>
      <c r="D270" s="46" t="str">
        <f t="shared" si="13"/>
        <v/>
      </c>
    </row>
    <row r="271" spans="3:4" ht="15.75" x14ac:dyDescent="0.25">
      <c r="C271" s="46" t="str">
        <f t="shared" si="12"/>
        <v/>
      </c>
      <c r="D271" s="46" t="str">
        <f t="shared" si="13"/>
        <v/>
      </c>
    </row>
    <row r="272" spans="3:4" ht="15.75" x14ac:dyDescent="0.25">
      <c r="C272" s="46" t="str">
        <f t="shared" si="12"/>
        <v/>
      </c>
      <c r="D272" s="46" t="str">
        <f t="shared" si="13"/>
        <v/>
      </c>
    </row>
    <row r="273" spans="3:4" ht="15.75" x14ac:dyDescent="0.25">
      <c r="C273" s="46" t="str">
        <f t="shared" si="12"/>
        <v/>
      </c>
      <c r="D273" s="46" t="str">
        <f t="shared" si="13"/>
        <v/>
      </c>
    </row>
    <row r="274" spans="3:4" ht="15.75" x14ac:dyDescent="0.25">
      <c r="C274" s="46" t="str">
        <f t="shared" si="12"/>
        <v/>
      </c>
      <c r="D274" s="46" t="str">
        <f t="shared" si="13"/>
        <v/>
      </c>
    </row>
    <row r="275" spans="3:4" ht="15.75" x14ac:dyDescent="0.25">
      <c r="C275" s="46" t="str">
        <f t="shared" si="12"/>
        <v/>
      </c>
      <c r="D275" s="46" t="str">
        <f t="shared" si="13"/>
        <v/>
      </c>
    </row>
    <row r="276" spans="3:4" ht="15.75" x14ac:dyDescent="0.25">
      <c r="C276" s="46" t="str">
        <f t="shared" si="12"/>
        <v/>
      </c>
      <c r="D276" s="46" t="str">
        <f t="shared" si="13"/>
        <v/>
      </c>
    </row>
    <row r="277" spans="3:4" ht="15.75" x14ac:dyDescent="0.25">
      <c r="C277" s="46" t="str">
        <f t="shared" si="12"/>
        <v/>
      </c>
      <c r="D277" s="46" t="str">
        <f t="shared" si="13"/>
        <v/>
      </c>
    </row>
    <row r="278" spans="3:4" ht="15.75" x14ac:dyDescent="0.25">
      <c r="C278" s="46" t="str">
        <f t="shared" si="12"/>
        <v/>
      </c>
      <c r="D278" s="46" t="str">
        <f t="shared" si="13"/>
        <v/>
      </c>
    </row>
    <row r="279" spans="3:4" ht="15.75" x14ac:dyDescent="0.25">
      <c r="C279" s="46" t="str">
        <f t="shared" si="12"/>
        <v/>
      </c>
      <c r="D279" s="46" t="str">
        <f t="shared" si="13"/>
        <v/>
      </c>
    </row>
    <row r="280" spans="3:4" ht="15.75" x14ac:dyDescent="0.25">
      <c r="C280" s="46" t="str">
        <f t="shared" si="12"/>
        <v/>
      </c>
      <c r="D280" s="46" t="str">
        <f t="shared" si="13"/>
        <v/>
      </c>
    </row>
    <row r="281" spans="3:4" ht="15.75" x14ac:dyDescent="0.25">
      <c r="C281" s="46" t="str">
        <f t="shared" si="12"/>
        <v/>
      </c>
      <c r="D281" s="46" t="str">
        <f t="shared" si="13"/>
        <v/>
      </c>
    </row>
    <row r="282" spans="3:4" ht="15.75" x14ac:dyDescent="0.25">
      <c r="C282" s="46" t="str">
        <f t="shared" si="12"/>
        <v/>
      </c>
      <c r="D282" s="46" t="str">
        <f t="shared" si="13"/>
        <v/>
      </c>
    </row>
    <row r="283" spans="3:4" ht="15.75" x14ac:dyDescent="0.25">
      <c r="C283" s="46" t="str">
        <f t="shared" si="12"/>
        <v/>
      </c>
      <c r="D283" s="46" t="str">
        <f t="shared" si="13"/>
        <v/>
      </c>
    </row>
    <row r="284" spans="3:4" ht="15.75" x14ac:dyDescent="0.25">
      <c r="C284" s="46" t="str">
        <f t="shared" si="12"/>
        <v/>
      </c>
      <c r="D284" s="46" t="str">
        <f t="shared" si="13"/>
        <v/>
      </c>
    </row>
    <row r="285" spans="3:4" ht="15.75" x14ac:dyDescent="0.25">
      <c r="C285" s="46" t="str">
        <f t="shared" si="12"/>
        <v/>
      </c>
      <c r="D285" s="46" t="str">
        <f t="shared" si="13"/>
        <v/>
      </c>
    </row>
    <row r="286" spans="3:4" ht="15.75" x14ac:dyDescent="0.25">
      <c r="C286" s="46" t="str">
        <f t="shared" si="12"/>
        <v/>
      </c>
      <c r="D286" s="46" t="str">
        <f t="shared" si="13"/>
        <v/>
      </c>
    </row>
    <row r="287" spans="3:4" ht="15.75" x14ac:dyDescent="0.25">
      <c r="C287" s="46" t="str">
        <f t="shared" si="12"/>
        <v/>
      </c>
      <c r="D287" s="46" t="str">
        <f t="shared" si="13"/>
        <v/>
      </c>
    </row>
    <row r="288" spans="3:4" ht="15.75" x14ac:dyDescent="0.25">
      <c r="C288" s="46" t="str">
        <f t="shared" si="12"/>
        <v/>
      </c>
      <c r="D288" s="46" t="str">
        <f t="shared" si="13"/>
        <v/>
      </c>
    </row>
    <row r="289" spans="3:4" ht="15.75" x14ac:dyDescent="0.25">
      <c r="C289" s="46" t="str">
        <f t="shared" si="12"/>
        <v/>
      </c>
      <c r="D289" s="46" t="str">
        <f t="shared" si="13"/>
        <v/>
      </c>
    </row>
    <row r="290" spans="3:4" ht="15.75" x14ac:dyDescent="0.25">
      <c r="C290" s="46" t="str">
        <f t="shared" si="12"/>
        <v/>
      </c>
      <c r="D290" s="46" t="str">
        <f t="shared" si="13"/>
        <v/>
      </c>
    </row>
    <row r="291" spans="3:4" ht="15.75" x14ac:dyDescent="0.25">
      <c r="C291" s="46" t="str">
        <f t="shared" si="12"/>
        <v/>
      </c>
      <c r="D291" s="46" t="str">
        <f t="shared" si="13"/>
        <v/>
      </c>
    </row>
    <row r="292" spans="3:4" ht="15.75" x14ac:dyDescent="0.25">
      <c r="C292" s="46" t="str">
        <f t="shared" si="12"/>
        <v/>
      </c>
      <c r="D292" s="46" t="str">
        <f t="shared" si="13"/>
        <v/>
      </c>
    </row>
    <row r="293" spans="3:4" ht="15.75" x14ac:dyDescent="0.25">
      <c r="C293" s="46" t="str">
        <f t="shared" si="12"/>
        <v/>
      </c>
      <c r="D293" s="46" t="str">
        <f t="shared" si="13"/>
        <v/>
      </c>
    </row>
    <row r="294" spans="3:4" ht="15.75" x14ac:dyDescent="0.25">
      <c r="C294" s="46" t="str">
        <f t="shared" si="12"/>
        <v/>
      </c>
      <c r="D294" s="46" t="str">
        <f t="shared" si="13"/>
        <v/>
      </c>
    </row>
    <row r="295" spans="3:4" ht="15.75" x14ac:dyDescent="0.25">
      <c r="C295" s="46" t="str">
        <f t="shared" si="12"/>
        <v/>
      </c>
      <c r="D295" s="46" t="str">
        <f t="shared" si="13"/>
        <v/>
      </c>
    </row>
    <row r="296" spans="3:4" ht="15.75" x14ac:dyDescent="0.25">
      <c r="C296" s="46" t="str">
        <f t="shared" si="12"/>
        <v/>
      </c>
      <c r="D296" s="46" t="str">
        <f t="shared" si="13"/>
        <v/>
      </c>
    </row>
    <row r="297" spans="3:4" ht="15.75" x14ac:dyDescent="0.25">
      <c r="C297" s="46" t="str">
        <f t="shared" si="12"/>
        <v/>
      </c>
      <c r="D297" s="46" t="str">
        <f t="shared" si="13"/>
        <v/>
      </c>
    </row>
    <row r="298" spans="3:4" ht="15.75" x14ac:dyDescent="0.25">
      <c r="C298" s="46" t="str">
        <f t="shared" si="12"/>
        <v/>
      </c>
      <c r="D298" s="46" t="str">
        <f t="shared" si="13"/>
        <v/>
      </c>
    </row>
    <row r="299" spans="3:4" ht="15.75" x14ac:dyDescent="0.25">
      <c r="C299" s="46" t="str">
        <f t="shared" si="12"/>
        <v/>
      </c>
      <c r="D299" s="46" t="str">
        <f t="shared" si="13"/>
        <v/>
      </c>
    </row>
    <row r="300" spans="3:4" ht="15.75" x14ac:dyDescent="0.25">
      <c r="C300" s="46" t="str">
        <f t="shared" si="12"/>
        <v/>
      </c>
      <c r="D300" s="46" t="str">
        <f t="shared" si="13"/>
        <v/>
      </c>
    </row>
    <row r="301" spans="3:4" ht="15.75" x14ac:dyDescent="0.25">
      <c r="C301" s="46" t="str">
        <f t="shared" si="12"/>
        <v/>
      </c>
      <c r="D301" s="46" t="str">
        <f t="shared" si="13"/>
        <v/>
      </c>
    </row>
    <row r="302" spans="3:4" ht="15.75" x14ac:dyDescent="0.25">
      <c r="C302" s="46" t="str">
        <f t="shared" si="12"/>
        <v/>
      </c>
      <c r="D302" s="46" t="str">
        <f t="shared" si="13"/>
        <v/>
      </c>
    </row>
    <row r="303" spans="3:4" ht="15.75" x14ac:dyDescent="0.25">
      <c r="C303" s="46" t="str">
        <f t="shared" si="12"/>
        <v/>
      </c>
      <c r="D303" s="46" t="str">
        <f t="shared" si="13"/>
        <v/>
      </c>
    </row>
    <row r="304" spans="3:4" ht="15.75" x14ac:dyDescent="0.25">
      <c r="C304" s="46" t="str">
        <f t="shared" si="12"/>
        <v/>
      </c>
      <c r="D304" s="46" t="str">
        <f t="shared" si="13"/>
        <v/>
      </c>
    </row>
    <row r="305" spans="3:4" ht="15.75" x14ac:dyDescent="0.25">
      <c r="C305" s="46" t="str">
        <f t="shared" ref="C305:C312" si="14">IF(COUNTIF(E305:BA305,"YES")=0,"",COUNTIF(E305:BA305,"YES"))</f>
        <v/>
      </c>
      <c r="D305" s="46" t="str">
        <f t="shared" ref="D305:D312" si="15">IF(COUNTIF(E305:BA305,"NO")=0,"",COUNTIF(E305:BA305,"NO"))</f>
        <v/>
      </c>
    </row>
    <row r="306" spans="3:4" ht="15.75" x14ac:dyDescent="0.25">
      <c r="C306" s="46" t="str">
        <f t="shared" si="14"/>
        <v/>
      </c>
      <c r="D306" s="46" t="str">
        <f t="shared" si="15"/>
        <v/>
      </c>
    </row>
    <row r="307" spans="3:4" ht="15.75" x14ac:dyDescent="0.25">
      <c r="C307" s="46" t="str">
        <f t="shared" si="14"/>
        <v/>
      </c>
      <c r="D307" s="46" t="str">
        <f t="shared" si="15"/>
        <v/>
      </c>
    </row>
    <row r="308" spans="3:4" ht="15.75" x14ac:dyDescent="0.25">
      <c r="C308" s="46" t="str">
        <f t="shared" si="14"/>
        <v/>
      </c>
      <c r="D308" s="46" t="str">
        <f t="shared" si="15"/>
        <v/>
      </c>
    </row>
    <row r="309" spans="3:4" ht="15.75" x14ac:dyDescent="0.25">
      <c r="C309" s="46" t="str">
        <f t="shared" si="14"/>
        <v/>
      </c>
      <c r="D309" s="46" t="str">
        <f t="shared" si="15"/>
        <v/>
      </c>
    </row>
    <row r="310" spans="3:4" ht="15.75" x14ac:dyDescent="0.25">
      <c r="C310" s="46" t="str">
        <f t="shared" si="14"/>
        <v/>
      </c>
      <c r="D310" s="46" t="str">
        <f t="shared" si="15"/>
        <v/>
      </c>
    </row>
    <row r="311" spans="3:4" ht="15.75" x14ac:dyDescent="0.25">
      <c r="C311" s="46" t="str">
        <f t="shared" si="14"/>
        <v/>
      </c>
      <c r="D311" s="46" t="str">
        <f t="shared" si="15"/>
        <v/>
      </c>
    </row>
    <row r="312" spans="3:4" ht="15.75" x14ac:dyDescent="0.25">
      <c r="C312" s="46" t="str">
        <f t="shared" si="14"/>
        <v/>
      </c>
      <c r="D312" s="46" t="str">
        <f t="shared" si="15"/>
        <v/>
      </c>
    </row>
  </sheetData>
  <phoneticPr fontId="4" type="noConversion"/>
  <conditionalFormatting sqref="E7:H13 E15:H23">
    <cfRule type="cellIs" dxfId="45" priority="5" stopIfTrue="1" operator="equal">
      <formula>"YES"</formula>
    </cfRule>
    <cfRule type="cellIs" dxfId="44" priority="6" stopIfTrue="1" operator="equal">
      <formula>"NO"</formula>
    </cfRule>
  </conditionalFormatting>
  <conditionalFormatting sqref="E14:H14">
    <cfRule type="cellIs" dxfId="43" priority="3" stopIfTrue="1" operator="equal">
      <formula>"YES"</formula>
    </cfRule>
    <cfRule type="cellIs" dxfId="42" priority="4" stopIfTrue="1" operator="equal">
      <formula>"NO"</formula>
    </cfRule>
  </conditionalFormatting>
  <conditionalFormatting sqref="E24:H42">
    <cfRule type="cellIs" dxfId="41" priority="1" stopIfTrue="1" operator="equal">
      <formula>"YES"</formula>
    </cfRule>
    <cfRule type="cellIs" dxfId="40" priority="2" stopIfTrue="1" operator="equal">
      <formula>"NO"</formula>
    </cfRule>
  </conditionalFormatting>
  <dataValidations count="1">
    <dataValidation type="list" allowBlank="1" showInputMessage="1" showErrorMessage="1" sqref="E7:H42" xr:uid="{00000000-0002-0000-0C00-000000000000}">
      <formula1>$D$1:$D$3</formula1>
    </dataValidation>
  </dataValidations>
  <hyperlinks>
    <hyperlink ref="B5" r:id="rId1" display="ALE_2.10n" xr:uid="{00000000-0004-0000-0C00-000000000000}"/>
  </hyperlinks>
  <pageMargins left="0.75" right="0.75" top="1" bottom="1" header="0.4921259845" footer="0.4921259845"/>
  <pageSetup paperSize="9" scale="64" fitToHeight="0" orientation="portrait" r:id="rId2"/>
  <headerFooter alignWithMargins="0"/>
  <drawing r:id="rId3"/>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23">
    <tabColor theme="7"/>
    <pageSetUpPr fitToPage="1"/>
  </sheetPr>
  <dimension ref="A1:P326"/>
  <sheetViews>
    <sheetView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 style="40" customWidth="1"/>
    <col min="2" max="2" width="90.85546875" style="57" customWidth="1"/>
    <col min="3" max="4" width="4.42578125" style="40" bestFit="1" customWidth="1"/>
    <col min="5" max="8" width="7" style="40" customWidth="1"/>
    <col min="9" max="16384" width="9.140625" style="40"/>
  </cols>
  <sheetData>
    <row r="1" spans="1:16" ht="0.75" customHeight="1" thickBot="1" x14ac:dyDescent="0.25">
      <c r="D1" s="40" t="s">
        <v>43</v>
      </c>
    </row>
    <row r="2" spans="1:16" ht="13.5" hidden="1" thickBot="1" x14ac:dyDescent="0.25">
      <c r="D2" s="40" t="s">
        <v>44</v>
      </c>
    </row>
    <row r="3" spans="1:16" ht="13.5" hidden="1" thickBot="1" x14ac:dyDescent="0.25">
      <c r="D3" s="40" t="s">
        <v>13</v>
      </c>
    </row>
    <row r="4" spans="1:16" ht="113.25" thickTop="1" thickBot="1" x14ac:dyDescent="0.4">
      <c r="A4" s="58"/>
      <c r="B4" s="47" t="s">
        <v>400</v>
      </c>
      <c r="C4" s="43" t="s">
        <v>46</v>
      </c>
      <c r="D4" s="43" t="s">
        <v>47</v>
      </c>
      <c r="E4" s="43" t="s">
        <v>433</v>
      </c>
      <c r="F4" s="43" t="s">
        <v>433</v>
      </c>
      <c r="G4" s="43" t="s">
        <v>433</v>
      </c>
      <c r="H4" s="43" t="s">
        <v>433</v>
      </c>
      <c r="I4" s="43" t="s">
        <v>433</v>
      </c>
      <c r="J4" s="43" t="s">
        <v>433</v>
      </c>
      <c r="K4" s="43" t="s">
        <v>433</v>
      </c>
      <c r="L4" s="43" t="s">
        <v>433</v>
      </c>
      <c r="M4" s="43" t="s">
        <v>433</v>
      </c>
      <c r="N4" s="43" t="s">
        <v>433</v>
      </c>
      <c r="O4" s="43" t="s">
        <v>433</v>
      </c>
      <c r="P4" s="43" t="s">
        <v>433</v>
      </c>
    </row>
    <row r="5" spans="1:16" ht="24" thickTop="1" x14ac:dyDescent="0.35">
      <c r="A5" s="59"/>
      <c r="B5" s="50" t="s">
        <v>85</v>
      </c>
      <c r="C5" s="51"/>
      <c r="D5" s="51"/>
      <c r="E5" s="51"/>
      <c r="F5" s="51"/>
      <c r="G5" s="51"/>
      <c r="H5" s="51"/>
    </row>
    <row r="6" spans="1:16" ht="14.25" customHeight="1" x14ac:dyDescent="0.25">
      <c r="A6" s="69" t="s">
        <v>406</v>
      </c>
      <c r="B6" s="70"/>
      <c r="C6" s="71" t="str">
        <f t="shared" ref="C6:C11" si="0">IF(COUNTIF(E6:BA6,"YES")=0,"",COUNTIF(E6:BA6,"YES"))</f>
        <v/>
      </c>
      <c r="D6" s="71" t="str">
        <f>IF(COUNTIF(E6:BA6,"NO")=0,"",COUNTIF(E6:BA6,"NO"))</f>
        <v/>
      </c>
      <c r="E6" s="72"/>
      <c r="F6" s="72"/>
      <c r="G6" s="72"/>
      <c r="H6" s="72"/>
    </row>
    <row r="7" spans="1:16" ht="15.75" x14ac:dyDescent="0.25">
      <c r="A7" s="60" t="s">
        <v>191</v>
      </c>
      <c r="B7" s="259" t="s">
        <v>401</v>
      </c>
      <c r="C7" s="44" t="str">
        <f t="shared" si="0"/>
        <v/>
      </c>
      <c r="D7" s="44" t="str">
        <f>IF(COUNTIF(E7:BA7,"NO")=0,"",COUNTIF(E7:BA7,"NO"))</f>
        <v/>
      </c>
      <c r="E7" s="41"/>
      <c r="F7" s="41"/>
      <c r="G7" s="41"/>
      <c r="H7" s="41"/>
      <c r="I7" s="41"/>
      <c r="J7" s="41"/>
      <c r="K7" s="41"/>
      <c r="L7" s="41"/>
      <c r="M7" s="41"/>
      <c r="N7" s="41"/>
      <c r="O7" s="41"/>
      <c r="P7" s="41"/>
    </row>
    <row r="8" spans="1:16" ht="15.75" x14ac:dyDescent="0.25">
      <c r="A8" s="60" t="s">
        <v>192</v>
      </c>
      <c r="B8" s="259" t="s">
        <v>402</v>
      </c>
      <c r="C8" s="44" t="str">
        <f t="shared" si="0"/>
        <v/>
      </c>
      <c r="D8" s="44" t="str">
        <f>IF(COUNTIF(E8:BA8,"NO")=0,"",COUNTIF(E8:BA8,"NO"))</f>
        <v/>
      </c>
      <c r="E8" s="41"/>
      <c r="F8" s="41"/>
      <c r="G8" s="41"/>
      <c r="H8" s="41"/>
      <c r="I8" s="41"/>
      <c r="J8" s="41"/>
      <c r="K8" s="41"/>
      <c r="L8" s="41"/>
      <c r="M8" s="41"/>
      <c r="N8" s="41"/>
      <c r="O8" s="41"/>
      <c r="P8" s="41"/>
    </row>
    <row r="9" spans="1:16" ht="15.75" x14ac:dyDescent="0.25">
      <c r="A9" s="60" t="s">
        <v>193</v>
      </c>
      <c r="B9" s="259" t="s">
        <v>403</v>
      </c>
      <c r="C9" s="44" t="str">
        <f t="shared" si="0"/>
        <v/>
      </c>
      <c r="D9" s="44"/>
      <c r="E9" s="41"/>
      <c r="F9" s="41"/>
      <c r="G9" s="41"/>
      <c r="H9" s="41"/>
      <c r="I9" s="41"/>
      <c r="J9" s="41"/>
      <c r="K9" s="41"/>
      <c r="L9" s="41"/>
      <c r="M9" s="41"/>
      <c r="N9" s="41"/>
      <c r="O9" s="41"/>
      <c r="P9" s="41"/>
    </row>
    <row r="10" spans="1:16" ht="25.5" x14ac:dyDescent="0.25">
      <c r="A10" s="60" t="s">
        <v>194</v>
      </c>
      <c r="B10" s="259" t="s">
        <v>404</v>
      </c>
      <c r="C10" s="44" t="str">
        <f t="shared" si="0"/>
        <v/>
      </c>
      <c r="D10" s="44" t="str">
        <f>IF(COUNTIF(E10:BA10,"NO")=0,"",COUNTIF(E10:BA10,"NO"))</f>
        <v/>
      </c>
      <c r="E10" s="41"/>
      <c r="F10" s="41"/>
      <c r="G10" s="41"/>
      <c r="H10" s="41"/>
      <c r="I10" s="41"/>
      <c r="J10" s="41"/>
      <c r="K10" s="41"/>
      <c r="L10" s="41"/>
      <c r="M10" s="41"/>
      <c r="N10" s="41"/>
      <c r="O10" s="41"/>
      <c r="P10" s="41"/>
    </row>
    <row r="11" spans="1:16" ht="25.5" x14ac:dyDescent="0.25">
      <c r="A11" s="60" t="s">
        <v>195</v>
      </c>
      <c r="B11" s="259" t="s">
        <v>405</v>
      </c>
      <c r="C11" s="44" t="str">
        <f t="shared" si="0"/>
        <v/>
      </c>
      <c r="D11" s="44" t="str">
        <f>IF(COUNTIF(E11:BA11,"NO")=0,"",COUNTIF(E11:BA11,"NO"))</f>
        <v/>
      </c>
      <c r="E11" s="41"/>
      <c r="F11" s="41"/>
      <c r="G11" s="41"/>
      <c r="H11" s="41"/>
      <c r="I11" s="41"/>
      <c r="J11" s="41"/>
      <c r="K11" s="41"/>
      <c r="L11" s="41"/>
      <c r="M11" s="41"/>
      <c r="N11" s="41"/>
      <c r="O11" s="41"/>
      <c r="P11" s="41"/>
    </row>
    <row r="12" spans="1:16" ht="15.75" x14ac:dyDescent="0.25">
      <c r="A12" s="69" t="s">
        <v>202</v>
      </c>
      <c r="B12" s="73"/>
      <c r="C12" s="71"/>
      <c r="D12" s="71"/>
      <c r="E12" s="72"/>
      <c r="F12" s="72"/>
      <c r="G12" s="72"/>
      <c r="H12" s="72"/>
    </row>
    <row r="13" spans="1:16" ht="25.5" x14ac:dyDescent="0.25">
      <c r="A13" s="61" t="s">
        <v>199</v>
      </c>
      <c r="B13" s="259" t="s">
        <v>551</v>
      </c>
      <c r="C13" s="44" t="str">
        <f t="shared" ref="C13:C73" si="1">IF(COUNTIF(E13:BA13,"YES")=0,"",COUNTIF(E13:BA13,"YES"))</f>
        <v/>
      </c>
      <c r="D13" s="44"/>
      <c r="E13" s="41"/>
      <c r="F13" s="41"/>
      <c r="G13" s="41"/>
      <c r="H13" s="41"/>
      <c r="I13" s="41"/>
      <c r="J13" s="41"/>
      <c r="K13" s="41"/>
      <c r="L13" s="41"/>
      <c r="M13" s="41"/>
      <c r="N13" s="41"/>
      <c r="O13" s="41"/>
      <c r="P13" s="41"/>
    </row>
    <row r="14" spans="1:16" ht="15.75" x14ac:dyDescent="0.25">
      <c r="A14" s="61" t="s">
        <v>200</v>
      </c>
      <c r="B14" s="259" t="s">
        <v>120</v>
      </c>
      <c r="C14" s="44" t="str">
        <f t="shared" si="1"/>
        <v/>
      </c>
      <c r="D14" s="44"/>
      <c r="E14" s="41"/>
      <c r="F14" s="41"/>
      <c r="G14" s="41"/>
      <c r="H14" s="41"/>
      <c r="I14" s="41"/>
      <c r="J14" s="41"/>
      <c r="K14" s="41"/>
      <c r="L14" s="41"/>
      <c r="M14" s="41"/>
      <c r="N14" s="41"/>
      <c r="O14" s="41"/>
      <c r="P14" s="41"/>
    </row>
    <row r="15" spans="1:16" ht="23.25" x14ac:dyDescent="0.35">
      <c r="A15" s="59"/>
      <c r="B15" s="74" t="s">
        <v>93</v>
      </c>
      <c r="C15" s="71" t="str">
        <f t="shared" si="1"/>
        <v/>
      </c>
      <c r="D15" s="71"/>
      <c r="E15" s="72"/>
      <c r="F15" s="72"/>
      <c r="G15" s="72"/>
      <c r="H15" s="72"/>
    </row>
    <row r="16" spans="1:16" ht="13.5" customHeight="1" x14ac:dyDescent="0.25">
      <c r="A16" s="69" t="s">
        <v>407</v>
      </c>
      <c r="B16" s="70"/>
      <c r="C16" s="71" t="str">
        <f t="shared" si="1"/>
        <v/>
      </c>
      <c r="D16" s="71" t="str">
        <f t="shared" ref="D16:D79" si="2">IF(COUNTIF(E16:BA16,"NO")=0,"",COUNTIF(E16:BA16,"NO"))</f>
        <v/>
      </c>
      <c r="E16" s="72"/>
      <c r="F16" s="72"/>
      <c r="G16" s="72"/>
      <c r="H16" s="72"/>
    </row>
    <row r="17" spans="1:16" ht="13.5" customHeight="1" x14ac:dyDescent="0.25">
      <c r="A17" s="45" t="s">
        <v>51</v>
      </c>
      <c r="B17" s="279" t="s">
        <v>408</v>
      </c>
      <c r="C17" s="44" t="str">
        <f t="shared" si="1"/>
        <v/>
      </c>
      <c r="D17" s="44" t="str">
        <f t="shared" si="2"/>
        <v/>
      </c>
      <c r="E17" s="41"/>
      <c r="F17" s="41"/>
      <c r="G17" s="41"/>
      <c r="H17" s="41"/>
      <c r="I17" s="41"/>
      <c r="J17" s="41"/>
      <c r="K17" s="41"/>
      <c r="L17" s="41"/>
      <c r="M17" s="41"/>
      <c r="N17" s="41"/>
      <c r="O17" s="41"/>
      <c r="P17" s="41"/>
    </row>
    <row r="18" spans="1:16" ht="25.5" x14ac:dyDescent="0.25">
      <c r="A18" s="45" t="s">
        <v>52</v>
      </c>
      <c r="B18" s="279" t="s">
        <v>409</v>
      </c>
      <c r="C18" s="44" t="str">
        <f t="shared" si="1"/>
        <v/>
      </c>
      <c r="D18" s="44" t="str">
        <f t="shared" si="2"/>
        <v/>
      </c>
      <c r="E18" s="41"/>
      <c r="F18" s="41"/>
      <c r="G18" s="41"/>
      <c r="H18" s="41"/>
      <c r="I18" s="41"/>
      <c r="J18" s="41"/>
      <c r="K18" s="41"/>
      <c r="L18" s="41"/>
      <c r="M18" s="41"/>
      <c r="N18" s="41"/>
      <c r="O18" s="41"/>
      <c r="P18" s="41"/>
    </row>
    <row r="19" spans="1:16" ht="25.5" x14ac:dyDescent="0.25">
      <c r="A19" s="45" t="s">
        <v>53</v>
      </c>
      <c r="B19" s="279" t="s">
        <v>410</v>
      </c>
      <c r="C19" s="44" t="str">
        <f t="shared" si="1"/>
        <v/>
      </c>
      <c r="D19" s="44" t="str">
        <f t="shared" si="2"/>
        <v/>
      </c>
      <c r="E19" s="41"/>
      <c r="F19" s="41"/>
      <c r="G19" s="41"/>
      <c r="H19" s="41"/>
      <c r="I19" s="41"/>
      <c r="J19" s="41"/>
      <c r="K19" s="41"/>
      <c r="L19" s="41"/>
      <c r="M19" s="41"/>
      <c r="N19" s="41"/>
      <c r="O19" s="41"/>
      <c r="P19" s="41"/>
    </row>
    <row r="20" spans="1:16" ht="25.5" x14ac:dyDescent="0.25">
      <c r="A20" s="45" t="s">
        <v>73</v>
      </c>
      <c r="B20" s="259" t="s">
        <v>411</v>
      </c>
      <c r="C20" s="44" t="str">
        <f t="shared" si="1"/>
        <v/>
      </c>
      <c r="D20" s="44" t="str">
        <f t="shared" si="2"/>
        <v/>
      </c>
      <c r="E20" s="41"/>
      <c r="F20" s="41"/>
      <c r="G20" s="41"/>
      <c r="H20" s="41"/>
      <c r="I20" s="41"/>
      <c r="J20" s="41"/>
      <c r="K20" s="41"/>
      <c r="L20" s="41"/>
      <c r="M20" s="41"/>
      <c r="N20" s="41"/>
      <c r="O20" s="41"/>
      <c r="P20" s="41"/>
    </row>
    <row r="21" spans="1:16" ht="15.75" x14ac:dyDescent="0.25">
      <c r="A21" s="69" t="s">
        <v>412</v>
      </c>
      <c r="B21" s="70"/>
      <c r="C21" s="44" t="str">
        <f t="shared" si="1"/>
        <v/>
      </c>
      <c r="D21" s="44" t="str">
        <f t="shared" si="2"/>
        <v/>
      </c>
      <c r="E21" s="41"/>
      <c r="F21" s="41"/>
      <c r="G21" s="41"/>
      <c r="H21" s="41"/>
      <c r="I21" s="41"/>
      <c r="J21" s="41"/>
      <c r="K21" s="41"/>
      <c r="L21" s="41"/>
      <c r="M21" s="41"/>
      <c r="N21" s="41"/>
      <c r="O21" s="41"/>
      <c r="P21" s="41"/>
    </row>
    <row r="22" spans="1:16" ht="15.75" x14ac:dyDescent="0.25">
      <c r="A22" s="45" t="s">
        <v>54</v>
      </c>
      <c r="B22" s="268" t="s">
        <v>413</v>
      </c>
      <c r="C22" s="44" t="str">
        <f t="shared" si="1"/>
        <v/>
      </c>
      <c r="D22" s="44" t="str">
        <f t="shared" si="2"/>
        <v/>
      </c>
      <c r="E22" s="41"/>
      <c r="F22" s="41"/>
      <c r="G22" s="41"/>
      <c r="H22" s="41"/>
      <c r="I22" s="41"/>
      <c r="J22" s="41"/>
      <c r="K22" s="41"/>
      <c r="L22" s="41"/>
      <c r="M22" s="41"/>
      <c r="N22" s="41"/>
      <c r="O22" s="41"/>
      <c r="P22" s="41"/>
    </row>
    <row r="23" spans="1:16" ht="15.75" x14ac:dyDescent="0.25">
      <c r="A23" s="69" t="s">
        <v>414</v>
      </c>
      <c r="B23" s="70"/>
      <c r="C23" s="44" t="str">
        <f t="shared" si="1"/>
        <v/>
      </c>
      <c r="D23" s="44" t="str">
        <f t="shared" si="2"/>
        <v/>
      </c>
      <c r="E23" s="41"/>
      <c r="F23" s="41"/>
      <c r="G23" s="41"/>
      <c r="H23" s="41"/>
      <c r="I23" s="41"/>
      <c r="J23" s="41"/>
      <c r="K23" s="41"/>
      <c r="L23" s="41"/>
      <c r="M23" s="41"/>
      <c r="N23" s="41"/>
      <c r="O23" s="41"/>
      <c r="P23" s="41"/>
    </row>
    <row r="24" spans="1:16" ht="15.75" x14ac:dyDescent="0.25">
      <c r="A24" s="45" t="s">
        <v>58</v>
      </c>
      <c r="B24" s="279" t="s">
        <v>470</v>
      </c>
      <c r="C24" s="44" t="str">
        <f t="shared" si="1"/>
        <v/>
      </c>
      <c r="D24" s="44" t="str">
        <f t="shared" si="2"/>
        <v/>
      </c>
      <c r="E24" s="41"/>
      <c r="F24" s="41"/>
      <c r="G24" s="41"/>
      <c r="H24" s="41"/>
      <c r="I24" s="41"/>
      <c r="J24" s="41"/>
      <c r="K24" s="41"/>
      <c r="L24" s="41"/>
      <c r="M24" s="41"/>
      <c r="N24" s="41"/>
      <c r="O24" s="41"/>
      <c r="P24" s="41"/>
    </row>
    <row r="25" spans="1:16" ht="25.5" x14ac:dyDescent="0.25">
      <c r="A25" s="45" t="s">
        <v>59</v>
      </c>
      <c r="B25" s="268" t="s">
        <v>415</v>
      </c>
      <c r="C25" s="44" t="str">
        <f t="shared" si="1"/>
        <v/>
      </c>
      <c r="D25" s="44" t="str">
        <f t="shared" si="2"/>
        <v/>
      </c>
      <c r="E25" s="41"/>
      <c r="F25" s="41"/>
      <c r="G25" s="41"/>
      <c r="H25" s="41"/>
      <c r="I25" s="41"/>
      <c r="J25" s="41"/>
      <c r="K25" s="41"/>
      <c r="L25" s="41"/>
      <c r="M25" s="41"/>
      <c r="N25" s="41"/>
      <c r="O25" s="41"/>
      <c r="P25" s="41"/>
    </row>
    <row r="26" spans="1:16" ht="25.5" x14ac:dyDescent="0.25">
      <c r="A26" s="45" t="s">
        <v>60</v>
      </c>
      <c r="B26" s="268" t="s">
        <v>416</v>
      </c>
      <c r="C26" s="44" t="str">
        <f t="shared" si="1"/>
        <v/>
      </c>
      <c r="D26" s="44" t="str">
        <f t="shared" si="2"/>
        <v/>
      </c>
      <c r="E26" s="41"/>
      <c r="F26" s="41"/>
      <c r="G26" s="41"/>
      <c r="H26" s="41"/>
      <c r="I26" s="41"/>
      <c r="J26" s="41"/>
      <c r="K26" s="41"/>
      <c r="L26" s="41"/>
      <c r="M26" s="41"/>
      <c r="N26" s="41"/>
      <c r="O26" s="41"/>
      <c r="P26" s="41"/>
    </row>
    <row r="27" spans="1:16" ht="25.5" x14ac:dyDescent="0.25">
      <c r="A27" s="45" t="s">
        <v>61</v>
      </c>
      <c r="B27" s="268" t="s">
        <v>417</v>
      </c>
      <c r="C27" s="44" t="str">
        <f t="shared" si="1"/>
        <v/>
      </c>
      <c r="D27" s="44" t="str">
        <f t="shared" si="2"/>
        <v/>
      </c>
      <c r="E27" s="41"/>
      <c r="F27" s="41"/>
      <c r="G27" s="41"/>
      <c r="H27" s="41"/>
      <c r="I27" s="41"/>
      <c r="J27" s="41"/>
      <c r="K27" s="41"/>
      <c r="L27" s="41"/>
      <c r="M27" s="41"/>
      <c r="N27" s="41"/>
      <c r="O27" s="41"/>
      <c r="P27" s="41"/>
    </row>
    <row r="28" spans="1:16" ht="15.75" x14ac:dyDescent="0.25">
      <c r="A28" s="45" t="s">
        <v>62</v>
      </c>
      <c r="B28" s="268" t="s">
        <v>418</v>
      </c>
      <c r="C28" s="44" t="str">
        <f t="shared" si="1"/>
        <v/>
      </c>
      <c r="D28" s="44" t="str">
        <f t="shared" si="2"/>
        <v/>
      </c>
      <c r="E28" s="41"/>
      <c r="F28" s="41"/>
      <c r="G28" s="41"/>
      <c r="H28" s="41"/>
      <c r="I28" s="41"/>
      <c r="J28" s="41"/>
      <c r="K28" s="41"/>
      <c r="L28" s="41"/>
      <c r="M28" s="41"/>
      <c r="N28" s="41"/>
      <c r="O28" s="41"/>
      <c r="P28" s="41"/>
    </row>
    <row r="29" spans="1:16" ht="15.75" x14ac:dyDescent="0.25">
      <c r="A29" s="45" t="s">
        <v>63</v>
      </c>
      <c r="B29" s="268" t="s">
        <v>419</v>
      </c>
      <c r="C29" s="44" t="str">
        <f t="shared" si="1"/>
        <v/>
      </c>
      <c r="D29" s="44" t="str">
        <f t="shared" si="2"/>
        <v/>
      </c>
      <c r="E29" s="41"/>
      <c r="F29" s="41"/>
      <c r="G29" s="41"/>
      <c r="H29" s="41"/>
      <c r="I29" s="41"/>
      <c r="J29" s="41"/>
      <c r="K29" s="41"/>
      <c r="L29" s="41"/>
      <c r="M29" s="41"/>
      <c r="N29" s="41"/>
      <c r="O29" s="41"/>
      <c r="P29" s="41"/>
    </row>
    <row r="30" spans="1:16" ht="25.5" x14ac:dyDescent="0.25">
      <c r="A30" s="45" t="s">
        <v>64</v>
      </c>
      <c r="B30" s="268" t="s">
        <v>420</v>
      </c>
      <c r="C30" s="44" t="str">
        <f t="shared" si="1"/>
        <v/>
      </c>
      <c r="D30" s="44" t="str">
        <f t="shared" si="2"/>
        <v/>
      </c>
      <c r="E30" s="41"/>
      <c r="F30" s="41"/>
      <c r="G30" s="41"/>
      <c r="H30" s="41"/>
      <c r="I30" s="41"/>
      <c r="J30" s="41"/>
      <c r="K30" s="41"/>
      <c r="L30" s="41"/>
      <c r="M30" s="41"/>
      <c r="N30" s="41"/>
      <c r="O30" s="41"/>
      <c r="P30" s="41"/>
    </row>
    <row r="31" spans="1:16" ht="15.75" x14ac:dyDescent="0.25">
      <c r="A31" s="45" t="s">
        <v>65</v>
      </c>
      <c r="B31" s="268" t="s">
        <v>421</v>
      </c>
      <c r="C31" s="44" t="str">
        <f t="shared" si="1"/>
        <v/>
      </c>
      <c r="D31" s="44" t="str">
        <f t="shared" si="2"/>
        <v/>
      </c>
      <c r="E31" s="41"/>
      <c r="F31" s="41"/>
      <c r="G31" s="41"/>
      <c r="H31" s="41"/>
      <c r="I31" s="41"/>
      <c r="J31" s="41"/>
      <c r="K31" s="41"/>
      <c r="L31" s="41"/>
      <c r="M31" s="41"/>
      <c r="N31" s="41"/>
      <c r="O31" s="41"/>
      <c r="P31" s="41"/>
    </row>
    <row r="32" spans="1:16" ht="15.75" x14ac:dyDescent="0.25">
      <c r="A32" s="45" t="s">
        <v>66</v>
      </c>
      <c r="B32" s="268" t="s">
        <v>422</v>
      </c>
      <c r="C32" s="44" t="str">
        <f t="shared" si="1"/>
        <v/>
      </c>
      <c r="D32" s="44" t="str">
        <f t="shared" si="2"/>
        <v/>
      </c>
      <c r="E32" s="41"/>
      <c r="F32" s="41"/>
      <c r="G32" s="41"/>
      <c r="H32" s="41"/>
      <c r="I32" s="41"/>
      <c r="J32" s="41"/>
      <c r="K32" s="41"/>
      <c r="L32" s="41"/>
      <c r="M32" s="41"/>
      <c r="N32" s="41"/>
      <c r="O32" s="41"/>
      <c r="P32" s="41"/>
    </row>
    <row r="33" spans="1:16" ht="15.75" x14ac:dyDescent="0.25">
      <c r="A33" s="69" t="s">
        <v>423</v>
      </c>
      <c r="B33" s="70"/>
      <c r="C33" s="44" t="str">
        <f t="shared" si="1"/>
        <v/>
      </c>
      <c r="D33" s="44" t="str">
        <f t="shared" si="2"/>
        <v/>
      </c>
      <c r="E33" s="41"/>
      <c r="F33" s="41"/>
      <c r="G33" s="41"/>
      <c r="H33" s="41"/>
      <c r="I33" s="41"/>
      <c r="J33" s="41"/>
      <c r="K33" s="41"/>
      <c r="L33" s="41"/>
      <c r="M33" s="41"/>
      <c r="N33" s="41"/>
      <c r="O33" s="41"/>
      <c r="P33" s="41"/>
    </row>
    <row r="34" spans="1:16" ht="15.75" x14ac:dyDescent="0.25">
      <c r="A34" s="45" t="s">
        <v>67</v>
      </c>
      <c r="B34" s="268" t="s">
        <v>424</v>
      </c>
      <c r="C34" s="44" t="str">
        <f t="shared" si="1"/>
        <v/>
      </c>
      <c r="D34" s="44" t="str">
        <f t="shared" si="2"/>
        <v/>
      </c>
      <c r="E34" s="41"/>
      <c r="F34" s="41"/>
      <c r="G34" s="41"/>
      <c r="H34" s="41"/>
      <c r="I34" s="41"/>
      <c r="J34" s="41"/>
      <c r="K34" s="41"/>
      <c r="L34" s="41"/>
      <c r="M34" s="41"/>
      <c r="N34" s="41"/>
      <c r="O34" s="41"/>
      <c r="P34" s="41"/>
    </row>
    <row r="35" spans="1:16" ht="25.5" x14ac:dyDescent="0.25">
      <c r="A35" s="60" t="s">
        <v>68</v>
      </c>
      <c r="B35" s="259" t="s">
        <v>425</v>
      </c>
      <c r="C35" s="44" t="str">
        <f t="shared" si="1"/>
        <v/>
      </c>
      <c r="D35" s="44" t="str">
        <f t="shared" si="2"/>
        <v/>
      </c>
      <c r="E35" s="41"/>
      <c r="F35" s="41"/>
      <c r="G35" s="41"/>
      <c r="H35" s="41"/>
      <c r="I35" s="41"/>
      <c r="J35" s="41"/>
      <c r="K35" s="41"/>
      <c r="L35" s="41"/>
      <c r="M35" s="41"/>
      <c r="N35" s="41"/>
      <c r="O35" s="41"/>
      <c r="P35" s="41"/>
    </row>
    <row r="36" spans="1:16" ht="15.75" x14ac:dyDescent="0.25">
      <c r="A36" s="45" t="s">
        <v>83</v>
      </c>
      <c r="B36" s="268" t="s">
        <v>426</v>
      </c>
      <c r="C36" s="44" t="str">
        <f t="shared" si="1"/>
        <v/>
      </c>
      <c r="D36" s="44" t="str">
        <f t="shared" si="2"/>
        <v/>
      </c>
      <c r="E36" s="41"/>
      <c r="F36" s="41"/>
      <c r="G36" s="41"/>
      <c r="H36" s="41"/>
      <c r="I36" s="41"/>
      <c r="J36" s="41"/>
      <c r="K36" s="41"/>
      <c r="L36" s="41"/>
      <c r="M36" s="41"/>
      <c r="N36" s="41"/>
      <c r="O36" s="41"/>
      <c r="P36" s="41"/>
    </row>
    <row r="37" spans="1:16" ht="15.75" x14ac:dyDescent="0.25">
      <c r="A37" s="45" t="s">
        <v>378</v>
      </c>
      <c r="B37" s="259" t="s">
        <v>427</v>
      </c>
      <c r="C37" s="44" t="str">
        <f t="shared" si="1"/>
        <v/>
      </c>
      <c r="D37" s="44" t="str">
        <f t="shared" si="2"/>
        <v/>
      </c>
      <c r="E37" s="41"/>
      <c r="F37" s="41"/>
      <c r="G37" s="41"/>
      <c r="H37" s="41"/>
      <c r="I37" s="41"/>
      <c r="J37" s="41"/>
      <c r="K37" s="41"/>
      <c r="L37" s="41"/>
      <c r="M37" s="41"/>
      <c r="N37" s="41"/>
      <c r="O37" s="41"/>
      <c r="P37" s="41"/>
    </row>
    <row r="38" spans="1:16" ht="15.75" x14ac:dyDescent="0.25">
      <c r="A38" s="45" t="s">
        <v>138</v>
      </c>
      <c r="B38" s="268" t="s">
        <v>428</v>
      </c>
      <c r="C38" s="44" t="str">
        <f>IF(COUNTIF(E38:BA38,"YES")=0,"",COUNTIF(E38:BA38,"YES"))</f>
        <v/>
      </c>
      <c r="D38" s="44" t="str">
        <f>IF(COUNTIF(E38:BA38,"NO")=0,"",COUNTIF(E38:BA38,"NO"))</f>
        <v/>
      </c>
      <c r="E38" s="41"/>
      <c r="F38" s="41"/>
      <c r="G38" s="41"/>
      <c r="H38" s="41"/>
      <c r="I38" s="41"/>
      <c r="J38" s="41"/>
      <c r="K38" s="41"/>
      <c r="L38" s="41"/>
      <c r="M38" s="41"/>
      <c r="N38" s="41"/>
      <c r="O38" s="41"/>
      <c r="P38" s="41"/>
    </row>
    <row r="39" spans="1:16" ht="15.75" x14ac:dyDescent="0.25">
      <c r="A39" s="45" t="s">
        <v>139</v>
      </c>
      <c r="B39" s="268" t="s">
        <v>429</v>
      </c>
      <c r="C39" s="44" t="str">
        <f>IF(COUNTIF(E39:BA39,"YES")=0,"",COUNTIF(E39:BA39,"YES"))</f>
        <v/>
      </c>
      <c r="D39" s="44" t="str">
        <f>IF(COUNTIF(E39:BA39,"NO")=0,"",COUNTIF(E39:BA39,"NO"))</f>
        <v/>
      </c>
      <c r="E39" s="41"/>
      <c r="F39" s="41"/>
      <c r="G39" s="41"/>
      <c r="H39" s="41"/>
      <c r="I39" s="41"/>
      <c r="J39" s="41"/>
      <c r="K39" s="41"/>
      <c r="L39" s="41"/>
      <c r="M39" s="41"/>
      <c r="N39" s="41"/>
      <c r="O39" s="41"/>
      <c r="P39" s="41"/>
    </row>
    <row r="40" spans="1:16" ht="15.75" x14ac:dyDescent="0.25">
      <c r="A40" s="45" t="s">
        <v>141</v>
      </c>
      <c r="B40" s="268" t="s">
        <v>430</v>
      </c>
      <c r="C40" s="44" t="str">
        <f>IF(COUNTIF(E40:BA40,"YES")=0,"",COUNTIF(E40:BA40,"YES"))</f>
        <v/>
      </c>
      <c r="D40" s="44" t="str">
        <f>IF(COUNTIF(E40:BA40,"NO")=0,"",COUNTIF(E40:BA40,"NO"))</f>
        <v/>
      </c>
      <c r="E40" s="41"/>
      <c r="F40" s="41"/>
      <c r="G40" s="41"/>
      <c r="H40" s="41"/>
      <c r="I40" s="41"/>
      <c r="J40" s="41"/>
      <c r="K40" s="41"/>
      <c r="L40" s="41"/>
      <c r="M40" s="41"/>
      <c r="N40" s="41"/>
      <c r="O40" s="41"/>
      <c r="P40" s="41"/>
    </row>
    <row r="41" spans="1:16" ht="15.75" x14ac:dyDescent="0.25">
      <c r="A41" s="69" t="s">
        <v>431</v>
      </c>
      <c r="B41" s="70"/>
      <c r="C41" s="44" t="str">
        <f>IF(COUNTIF(E41:BA41,"YES")=0,"",COUNTIF(E41:BA41,"YES"))</f>
        <v/>
      </c>
      <c r="D41" s="44" t="str">
        <f>IF(COUNTIF(E41:BA41,"NO")=0,"",COUNTIF(E41:BA41,"NO"))</f>
        <v/>
      </c>
      <c r="E41" s="41"/>
      <c r="F41" s="41"/>
      <c r="G41" s="41"/>
      <c r="H41" s="41"/>
      <c r="I41" s="41"/>
      <c r="J41" s="41"/>
      <c r="K41" s="41"/>
      <c r="L41" s="41"/>
      <c r="M41" s="41"/>
      <c r="N41" s="41"/>
      <c r="O41" s="41"/>
      <c r="P41" s="41"/>
    </row>
    <row r="42" spans="1:16" ht="38.25" x14ac:dyDescent="0.25">
      <c r="A42" s="60" t="s">
        <v>69</v>
      </c>
      <c r="B42" s="259" t="s">
        <v>432</v>
      </c>
      <c r="C42" s="44" t="str">
        <f>IF(COUNTIF(E42:BA42,"YES")=0,"",COUNTIF(E42:BA42,"YES"))</f>
        <v/>
      </c>
      <c r="D42" s="44" t="str">
        <f>IF(COUNTIF(E42:BA42,"NO")=0,"",COUNTIF(E42:BA42,"NO"))</f>
        <v/>
      </c>
      <c r="E42" s="41"/>
      <c r="F42" s="41"/>
      <c r="G42" s="41"/>
      <c r="H42" s="41"/>
      <c r="I42" s="41"/>
      <c r="J42" s="41"/>
      <c r="K42" s="41"/>
      <c r="L42" s="41"/>
      <c r="M42" s="41"/>
      <c r="N42" s="41"/>
      <c r="O42" s="41"/>
      <c r="P42" s="41"/>
    </row>
    <row r="43" spans="1:16" ht="15.75" x14ac:dyDescent="0.25">
      <c r="C43" s="46" t="str">
        <f t="shared" si="1"/>
        <v/>
      </c>
      <c r="D43" s="46" t="str">
        <f t="shared" si="2"/>
        <v/>
      </c>
    </row>
    <row r="44" spans="1:16" ht="15.75" x14ac:dyDescent="0.25">
      <c r="C44" s="46" t="str">
        <f t="shared" si="1"/>
        <v/>
      </c>
      <c r="D44" s="46" t="str">
        <f t="shared" si="2"/>
        <v/>
      </c>
    </row>
    <row r="45" spans="1:16" ht="15.75" x14ac:dyDescent="0.25">
      <c r="C45" s="46" t="str">
        <f t="shared" si="1"/>
        <v/>
      </c>
      <c r="D45" s="46" t="str">
        <f t="shared" si="2"/>
        <v/>
      </c>
    </row>
    <row r="46" spans="1:16" ht="15.75" x14ac:dyDescent="0.25">
      <c r="C46" s="46" t="str">
        <f t="shared" si="1"/>
        <v/>
      </c>
      <c r="D46" s="46" t="str">
        <f t="shared" si="2"/>
        <v/>
      </c>
    </row>
    <row r="47" spans="1:16" ht="15.75" x14ac:dyDescent="0.25">
      <c r="C47" s="46" t="str">
        <f t="shared" si="1"/>
        <v/>
      </c>
      <c r="D47" s="46" t="str">
        <f t="shared" si="2"/>
        <v/>
      </c>
    </row>
    <row r="48" spans="1:16" ht="15.75" x14ac:dyDescent="0.25">
      <c r="C48" s="46" t="str">
        <f t="shared" si="1"/>
        <v/>
      </c>
      <c r="D48" s="46" t="str">
        <f t="shared" si="2"/>
        <v/>
      </c>
    </row>
    <row r="49" spans="3:4" ht="15.75" x14ac:dyDescent="0.25">
      <c r="C49" s="46" t="str">
        <f t="shared" si="1"/>
        <v/>
      </c>
      <c r="D49" s="46" t="str">
        <f t="shared" si="2"/>
        <v/>
      </c>
    </row>
    <row r="50" spans="3:4" ht="15.75" x14ac:dyDescent="0.25">
      <c r="C50" s="46" t="str">
        <f t="shared" si="1"/>
        <v/>
      </c>
      <c r="D50" s="46" t="str">
        <f t="shared" si="2"/>
        <v/>
      </c>
    </row>
    <row r="51" spans="3:4" ht="15.75" x14ac:dyDescent="0.25">
      <c r="C51" s="46" t="str">
        <f t="shared" si="1"/>
        <v/>
      </c>
      <c r="D51" s="46" t="str">
        <f t="shared" si="2"/>
        <v/>
      </c>
    </row>
    <row r="52" spans="3:4" ht="15.75" x14ac:dyDescent="0.25">
      <c r="C52" s="46" t="str">
        <f t="shared" si="1"/>
        <v/>
      </c>
      <c r="D52" s="46" t="str">
        <f t="shared" si="2"/>
        <v/>
      </c>
    </row>
    <row r="53" spans="3:4" ht="15.75" x14ac:dyDescent="0.25">
      <c r="C53" s="46" t="str">
        <f t="shared" si="1"/>
        <v/>
      </c>
      <c r="D53" s="46" t="str">
        <f t="shared" si="2"/>
        <v/>
      </c>
    </row>
    <row r="54" spans="3:4" ht="15.75" x14ac:dyDescent="0.25">
      <c r="C54" s="46" t="str">
        <f t="shared" si="1"/>
        <v/>
      </c>
      <c r="D54" s="46" t="str">
        <f t="shared" si="2"/>
        <v/>
      </c>
    </row>
    <row r="55" spans="3:4" ht="15.75" x14ac:dyDescent="0.25">
      <c r="C55" s="46" t="str">
        <f t="shared" si="1"/>
        <v/>
      </c>
      <c r="D55" s="46" t="str">
        <f t="shared" si="2"/>
        <v/>
      </c>
    </row>
    <row r="56" spans="3:4" ht="15.75" x14ac:dyDescent="0.25">
      <c r="C56" s="46" t="str">
        <f t="shared" si="1"/>
        <v/>
      </c>
      <c r="D56" s="46" t="str">
        <f t="shared" si="2"/>
        <v/>
      </c>
    </row>
    <row r="57" spans="3:4" ht="15.75" x14ac:dyDescent="0.25">
      <c r="C57" s="46" t="str">
        <f t="shared" si="1"/>
        <v/>
      </c>
      <c r="D57" s="46" t="str">
        <f t="shared" si="2"/>
        <v/>
      </c>
    </row>
    <row r="58" spans="3:4" ht="15.75" x14ac:dyDescent="0.25">
      <c r="C58" s="46" t="str">
        <f t="shared" si="1"/>
        <v/>
      </c>
      <c r="D58" s="46" t="str">
        <f t="shared" si="2"/>
        <v/>
      </c>
    </row>
    <row r="59" spans="3:4" ht="15.75" x14ac:dyDescent="0.25">
      <c r="C59" s="46" t="str">
        <f t="shared" si="1"/>
        <v/>
      </c>
      <c r="D59" s="46" t="str">
        <f t="shared" si="2"/>
        <v/>
      </c>
    </row>
    <row r="60" spans="3:4" ht="15.75" x14ac:dyDescent="0.25">
      <c r="C60" s="46" t="str">
        <f t="shared" si="1"/>
        <v/>
      </c>
      <c r="D60" s="46" t="str">
        <f t="shared" si="2"/>
        <v/>
      </c>
    </row>
    <row r="61" spans="3:4" ht="15.75" x14ac:dyDescent="0.25">
      <c r="C61" s="46" t="str">
        <f t="shared" si="1"/>
        <v/>
      </c>
      <c r="D61" s="46" t="str">
        <f t="shared" si="2"/>
        <v/>
      </c>
    </row>
    <row r="62" spans="3:4" ht="15.75" x14ac:dyDescent="0.25">
      <c r="C62" s="46" t="str">
        <f t="shared" si="1"/>
        <v/>
      </c>
      <c r="D62" s="46" t="str">
        <f t="shared" si="2"/>
        <v/>
      </c>
    </row>
    <row r="63" spans="3:4" ht="15.75" x14ac:dyDescent="0.25">
      <c r="C63" s="46" t="str">
        <f t="shared" si="1"/>
        <v/>
      </c>
      <c r="D63" s="46" t="str">
        <f t="shared" si="2"/>
        <v/>
      </c>
    </row>
    <row r="64" spans="3:4" ht="15.75" x14ac:dyDescent="0.25">
      <c r="C64" s="46" t="str">
        <f t="shared" si="1"/>
        <v/>
      </c>
      <c r="D64" s="46" t="str">
        <f t="shared" si="2"/>
        <v/>
      </c>
    </row>
    <row r="65" spans="3:4" ht="15.75" x14ac:dyDescent="0.25">
      <c r="C65" s="46" t="str">
        <f t="shared" si="1"/>
        <v/>
      </c>
      <c r="D65" s="46" t="str">
        <f t="shared" si="2"/>
        <v/>
      </c>
    </row>
    <row r="66" spans="3:4" ht="15.75" x14ac:dyDescent="0.25">
      <c r="C66" s="46" t="str">
        <f t="shared" si="1"/>
        <v/>
      </c>
      <c r="D66" s="46" t="str">
        <f t="shared" si="2"/>
        <v/>
      </c>
    </row>
    <row r="67" spans="3:4" ht="15.75" x14ac:dyDescent="0.25">
      <c r="C67" s="46" t="str">
        <f t="shared" si="1"/>
        <v/>
      </c>
      <c r="D67" s="46" t="str">
        <f t="shared" si="2"/>
        <v/>
      </c>
    </row>
    <row r="68" spans="3:4" ht="15.75" x14ac:dyDescent="0.25">
      <c r="C68" s="46" t="str">
        <f t="shared" si="1"/>
        <v/>
      </c>
      <c r="D68" s="46" t="str">
        <f t="shared" si="2"/>
        <v/>
      </c>
    </row>
    <row r="69" spans="3:4" ht="15.75" x14ac:dyDescent="0.25">
      <c r="C69" s="46" t="str">
        <f t="shared" si="1"/>
        <v/>
      </c>
      <c r="D69" s="46" t="str">
        <f t="shared" si="2"/>
        <v/>
      </c>
    </row>
    <row r="70" spans="3:4" ht="15.75" x14ac:dyDescent="0.25">
      <c r="C70" s="46" t="str">
        <f t="shared" si="1"/>
        <v/>
      </c>
      <c r="D70" s="46" t="str">
        <f t="shared" si="2"/>
        <v/>
      </c>
    </row>
    <row r="71" spans="3:4" ht="15.75" x14ac:dyDescent="0.25">
      <c r="C71" s="46" t="str">
        <f t="shared" si="1"/>
        <v/>
      </c>
      <c r="D71" s="46" t="str">
        <f t="shared" si="2"/>
        <v/>
      </c>
    </row>
    <row r="72" spans="3:4" ht="15.75" x14ac:dyDescent="0.25">
      <c r="C72" s="46" t="str">
        <f t="shared" si="1"/>
        <v/>
      </c>
      <c r="D72" s="46" t="str">
        <f t="shared" si="2"/>
        <v/>
      </c>
    </row>
    <row r="73" spans="3:4" ht="15.75" x14ac:dyDescent="0.25">
      <c r="C73" s="46" t="str">
        <f t="shared" si="1"/>
        <v/>
      </c>
      <c r="D73" s="46" t="str">
        <f t="shared" si="2"/>
        <v/>
      </c>
    </row>
    <row r="74" spans="3:4" ht="15.75" x14ac:dyDescent="0.25">
      <c r="C74" s="46" t="str">
        <f t="shared" ref="C74:C137" si="3">IF(COUNTIF(E74:BA74,"YES")=0,"",COUNTIF(E74:BA74,"YES"))</f>
        <v/>
      </c>
      <c r="D74" s="46" t="str">
        <f t="shared" si="2"/>
        <v/>
      </c>
    </row>
    <row r="75" spans="3:4" ht="15.75" x14ac:dyDescent="0.25">
      <c r="C75" s="46" t="str">
        <f t="shared" si="3"/>
        <v/>
      </c>
      <c r="D75" s="46" t="str">
        <f t="shared" si="2"/>
        <v/>
      </c>
    </row>
    <row r="76" spans="3:4" ht="15.75" x14ac:dyDescent="0.25">
      <c r="C76" s="46" t="str">
        <f t="shared" si="3"/>
        <v/>
      </c>
      <c r="D76" s="46" t="str">
        <f t="shared" si="2"/>
        <v/>
      </c>
    </row>
    <row r="77" spans="3:4" ht="15.75" x14ac:dyDescent="0.25">
      <c r="C77" s="46" t="str">
        <f t="shared" si="3"/>
        <v/>
      </c>
      <c r="D77" s="46" t="str">
        <f t="shared" si="2"/>
        <v/>
      </c>
    </row>
    <row r="78" spans="3:4" ht="15.75" x14ac:dyDescent="0.25">
      <c r="C78" s="46" t="str">
        <f t="shared" si="3"/>
        <v/>
      </c>
      <c r="D78" s="46" t="str">
        <f t="shared" si="2"/>
        <v/>
      </c>
    </row>
    <row r="79" spans="3:4" ht="15.75" x14ac:dyDescent="0.25">
      <c r="C79" s="46" t="str">
        <f t="shared" si="3"/>
        <v/>
      </c>
      <c r="D79" s="46" t="str">
        <f t="shared" si="2"/>
        <v/>
      </c>
    </row>
    <row r="80" spans="3:4" ht="15.75" x14ac:dyDescent="0.25">
      <c r="C80" s="46" t="str">
        <f t="shared" si="3"/>
        <v/>
      </c>
      <c r="D80" s="46" t="str">
        <f t="shared" ref="D80:D143" si="4">IF(COUNTIF(E80:BA80,"NO")=0,"",COUNTIF(E80:BA80,"NO"))</f>
        <v/>
      </c>
    </row>
    <row r="81" spans="3:4" ht="15.75" x14ac:dyDescent="0.25">
      <c r="C81" s="46" t="str">
        <f t="shared" si="3"/>
        <v/>
      </c>
      <c r="D81" s="46" t="str">
        <f t="shared" si="4"/>
        <v/>
      </c>
    </row>
    <row r="82" spans="3:4" ht="15.75" x14ac:dyDescent="0.25">
      <c r="C82" s="46" t="str">
        <f t="shared" si="3"/>
        <v/>
      </c>
      <c r="D82" s="46" t="str">
        <f t="shared" si="4"/>
        <v/>
      </c>
    </row>
    <row r="83" spans="3:4" ht="15.75" x14ac:dyDescent="0.25">
      <c r="C83" s="46" t="str">
        <f t="shared" si="3"/>
        <v/>
      </c>
      <c r="D83" s="46" t="str">
        <f t="shared" si="4"/>
        <v/>
      </c>
    </row>
    <row r="84" spans="3:4" ht="15.75" x14ac:dyDescent="0.25">
      <c r="C84" s="46" t="str">
        <f t="shared" si="3"/>
        <v/>
      </c>
      <c r="D84" s="46" t="str">
        <f t="shared" si="4"/>
        <v/>
      </c>
    </row>
    <row r="85" spans="3:4" ht="15.75" x14ac:dyDescent="0.25">
      <c r="C85" s="46" t="str">
        <f t="shared" si="3"/>
        <v/>
      </c>
      <c r="D85" s="46" t="str">
        <f t="shared" si="4"/>
        <v/>
      </c>
    </row>
    <row r="86" spans="3:4" ht="15.75" x14ac:dyDescent="0.25">
      <c r="C86" s="46" t="str">
        <f t="shared" si="3"/>
        <v/>
      </c>
      <c r="D86" s="46" t="str">
        <f t="shared" si="4"/>
        <v/>
      </c>
    </row>
    <row r="87" spans="3:4" ht="15.75" x14ac:dyDescent="0.25">
      <c r="C87" s="46" t="str">
        <f t="shared" si="3"/>
        <v/>
      </c>
      <c r="D87" s="46" t="str">
        <f t="shared" si="4"/>
        <v/>
      </c>
    </row>
    <row r="88" spans="3:4" ht="15.75" x14ac:dyDescent="0.25">
      <c r="C88" s="46" t="str">
        <f t="shared" si="3"/>
        <v/>
      </c>
      <c r="D88" s="46" t="str">
        <f t="shared" si="4"/>
        <v/>
      </c>
    </row>
    <row r="89" spans="3:4" ht="15.75" x14ac:dyDescent="0.25">
      <c r="C89" s="46" t="str">
        <f t="shared" si="3"/>
        <v/>
      </c>
      <c r="D89" s="46" t="str">
        <f t="shared" si="4"/>
        <v/>
      </c>
    </row>
    <row r="90" spans="3:4" ht="15.75" x14ac:dyDescent="0.25">
      <c r="C90" s="46" t="str">
        <f t="shared" si="3"/>
        <v/>
      </c>
      <c r="D90" s="46" t="str">
        <f t="shared" si="4"/>
        <v/>
      </c>
    </row>
    <row r="91" spans="3:4" ht="15.75" x14ac:dyDescent="0.25">
      <c r="C91" s="46" t="str">
        <f t="shared" si="3"/>
        <v/>
      </c>
      <c r="D91" s="46" t="str">
        <f t="shared" si="4"/>
        <v/>
      </c>
    </row>
    <row r="92" spans="3:4" ht="15.75" x14ac:dyDescent="0.25">
      <c r="C92" s="46" t="str">
        <f t="shared" si="3"/>
        <v/>
      </c>
      <c r="D92" s="46" t="str">
        <f t="shared" si="4"/>
        <v/>
      </c>
    </row>
    <row r="93" spans="3:4" ht="15.75" x14ac:dyDescent="0.25">
      <c r="C93" s="46" t="str">
        <f t="shared" si="3"/>
        <v/>
      </c>
      <c r="D93" s="46" t="str">
        <f t="shared" si="4"/>
        <v/>
      </c>
    </row>
    <row r="94" spans="3:4" ht="15.75" x14ac:dyDescent="0.25">
      <c r="C94" s="46" t="str">
        <f t="shared" si="3"/>
        <v/>
      </c>
      <c r="D94" s="46" t="str">
        <f t="shared" si="4"/>
        <v/>
      </c>
    </row>
    <row r="95" spans="3:4" ht="15.75" x14ac:dyDescent="0.25">
      <c r="C95" s="46" t="str">
        <f t="shared" si="3"/>
        <v/>
      </c>
      <c r="D95" s="46" t="str">
        <f t="shared" si="4"/>
        <v/>
      </c>
    </row>
    <row r="96" spans="3:4" ht="15.75" x14ac:dyDescent="0.25">
      <c r="C96" s="46" t="str">
        <f t="shared" si="3"/>
        <v/>
      </c>
      <c r="D96" s="46" t="str">
        <f t="shared" si="4"/>
        <v/>
      </c>
    </row>
    <row r="97" spans="3:4" ht="15.75" x14ac:dyDescent="0.25">
      <c r="C97" s="46" t="str">
        <f t="shared" si="3"/>
        <v/>
      </c>
      <c r="D97" s="46" t="str">
        <f t="shared" si="4"/>
        <v/>
      </c>
    </row>
    <row r="98" spans="3:4" ht="15.75" x14ac:dyDescent="0.25">
      <c r="C98" s="46" t="str">
        <f t="shared" si="3"/>
        <v/>
      </c>
      <c r="D98" s="46" t="str">
        <f t="shared" si="4"/>
        <v/>
      </c>
    </row>
    <row r="99" spans="3:4" ht="15.75" x14ac:dyDescent="0.25">
      <c r="C99" s="46" t="str">
        <f t="shared" si="3"/>
        <v/>
      </c>
      <c r="D99" s="46" t="str">
        <f t="shared" si="4"/>
        <v/>
      </c>
    </row>
    <row r="100" spans="3:4" ht="15.75" x14ac:dyDescent="0.25">
      <c r="C100" s="46" t="str">
        <f t="shared" si="3"/>
        <v/>
      </c>
      <c r="D100" s="46" t="str">
        <f t="shared" si="4"/>
        <v/>
      </c>
    </row>
    <row r="101" spans="3:4" ht="15.75" x14ac:dyDescent="0.25">
      <c r="C101" s="46" t="str">
        <f t="shared" si="3"/>
        <v/>
      </c>
      <c r="D101" s="46" t="str">
        <f t="shared" si="4"/>
        <v/>
      </c>
    </row>
    <row r="102" spans="3:4" ht="15.75" x14ac:dyDescent="0.25">
      <c r="C102" s="46" t="str">
        <f t="shared" si="3"/>
        <v/>
      </c>
      <c r="D102" s="46" t="str">
        <f t="shared" si="4"/>
        <v/>
      </c>
    </row>
    <row r="103" spans="3:4" ht="15.75" x14ac:dyDescent="0.25">
      <c r="C103" s="46" t="str">
        <f t="shared" si="3"/>
        <v/>
      </c>
      <c r="D103" s="46" t="str">
        <f t="shared" si="4"/>
        <v/>
      </c>
    </row>
    <row r="104" spans="3:4" ht="15.75" x14ac:dyDescent="0.25">
      <c r="C104" s="46" t="str">
        <f t="shared" si="3"/>
        <v/>
      </c>
      <c r="D104" s="46" t="str">
        <f t="shared" si="4"/>
        <v/>
      </c>
    </row>
    <row r="105" spans="3:4" ht="15.75" x14ac:dyDescent="0.25">
      <c r="C105" s="46" t="str">
        <f t="shared" si="3"/>
        <v/>
      </c>
      <c r="D105" s="46" t="str">
        <f t="shared" si="4"/>
        <v/>
      </c>
    </row>
    <row r="106" spans="3:4" ht="15.75" x14ac:dyDescent="0.25">
      <c r="C106" s="46" t="str">
        <f t="shared" si="3"/>
        <v/>
      </c>
      <c r="D106" s="46" t="str">
        <f t="shared" si="4"/>
        <v/>
      </c>
    </row>
    <row r="107" spans="3:4" ht="15.75" x14ac:dyDescent="0.25">
      <c r="C107" s="46" t="str">
        <f t="shared" si="3"/>
        <v/>
      </c>
      <c r="D107" s="46" t="str">
        <f t="shared" si="4"/>
        <v/>
      </c>
    </row>
    <row r="108" spans="3:4" ht="15.75" x14ac:dyDescent="0.25">
      <c r="C108" s="46" t="str">
        <f t="shared" si="3"/>
        <v/>
      </c>
      <c r="D108" s="46" t="str">
        <f t="shared" si="4"/>
        <v/>
      </c>
    </row>
    <row r="109" spans="3:4" ht="15.75" x14ac:dyDescent="0.25">
      <c r="C109" s="46" t="str">
        <f t="shared" si="3"/>
        <v/>
      </c>
      <c r="D109" s="46" t="str">
        <f t="shared" si="4"/>
        <v/>
      </c>
    </row>
    <row r="110" spans="3:4" ht="15.75" x14ac:dyDescent="0.25">
      <c r="C110" s="46" t="str">
        <f t="shared" si="3"/>
        <v/>
      </c>
      <c r="D110" s="46" t="str">
        <f t="shared" si="4"/>
        <v/>
      </c>
    </row>
    <row r="111" spans="3:4" ht="15.75" x14ac:dyDescent="0.25">
      <c r="C111" s="46" t="str">
        <f t="shared" si="3"/>
        <v/>
      </c>
      <c r="D111" s="46" t="str">
        <f t="shared" si="4"/>
        <v/>
      </c>
    </row>
    <row r="112" spans="3:4" ht="15.75" x14ac:dyDescent="0.25">
      <c r="C112" s="46" t="str">
        <f t="shared" si="3"/>
        <v/>
      </c>
      <c r="D112" s="46" t="str">
        <f t="shared" si="4"/>
        <v/>
      </c>
    </row>
    <row r="113" spans="3:4" ht="15.75" x14ac:dyDescent="0.25">
      <c r="C113" s="46" t="str">
        <f t="shared" si="3"/>
        <v/>
      </c>
      <c r="D113" s="46" t="str">
        <f t="shared" si="4"/>
        <v/>
      </c>
    </row>
    <row r="114" spans="3:4" ht="15.75" x14ac:dyDescent="0.25">
      <c r="C114" s="46" t="str">
        <f t="shared" si="3"/>
        <v/>
      </c>
      <c r="D114" s="46" t="str">
        <f t="shared" si="4"/>
        <v/>
      </c>
    </row>
    <row r="115" spans="3:4" ht="15.75" x14ac:dyDescent="0.25">
      <c r="C115" s="46" t="str">
        <f t="shared" si="3"/>
        <v/>
      </c>
      <c r="D115" s="46" t="str">
        <f t="shared" si="4"/>
        <v/>
      </c>
    </row>
    <row r="116" spans="3:4" ht="15.75" x14ac:dyDescent="0.25">
      <c r="C116" s="46" t="str">
        <f t="shared" si="3"/>
        <v/>
      </c>
      <c r="D116" s="46" t="str">
        <f t="shared" si="4"/>
        <v/>
      </c>
    </row>
    <row r="117" spans="3:4" ht="15.75" x14ac:dyDescent="0.25">
      <c r="C117" s="46" t="str">
        <f t="shared" si="3"/>
        <v/>
      </c>
      <c r="D117" s="46" t="str">
        <f t="shared" si="4"/>
        <v/>
      </c>
    </row>
    <row r="118" spans="3:4" ht="15.75" x14ac:dyDescent="0.25">
      <c r="C118" s="46" t="str">
        <f t="shared" si="3"/>
        <v/>
      </c>
      <c r="D118" s="46" t="str">
        <f t="shared" si="4"/>
        <v/>
      </c>
    </row>
    <row r="119" spans="3:4" ht="15.75" x14ac:dyDescent="0.25">
      <c r="C119" s="46" t="str">
        <f t="shared" si="3"/>
        <v/>
      </c>
      <c r="D119" s="46" t="str">
        <f t="shared" si="4"/>
        <v/>
      </c>
    </row>
    <row r="120" spans="3:4" ht="15.75" x14ac:dyDescent="0.25">
      <c r="C120" s="46" t="str">
        <f t="shared" si="3"/>
        <v/>
      </c>
      <c r="D120" s="46" t="str">
        <f t="shared" si="4"/>
        <v/>
      </c>
    </row>
    <row r="121" spans="3:4" ht="15.75" x14ac:dyDescent="0.25">
      <c r="C121" s="46" t="str">
        <f t="shared" si="3"/>
        <v/>
      </c>
      <c r="D121" s="46" t="str">
        <f t="shared" si="4"/>
        <v/>
      </c>
    </row>
    <row r="122" spans="3:4" ht="15.75" x14ac:dyDescent="0.25">
      <c r="C122" s="46" t="str">
        <f t="shared" si="3"/>
        <v/>
      </c>
      <c r="D122" s="46" t="str">
        <f t="shared" si="4"/>
        <v/>
      </c>
    </row>
    <row r="123" spans="3:4" ht="15.75" x14ac:dyDescent="0.25">
      <c r="C123" s="46" t="str">
        <f t="shared" si="3"/>
        <v/>
      </c>
      <c r="D123" s="46" t="str">
        <f t="shared" si="4"/>
        <v/>
      </c>
    </row>
    <row r="124" spans="3:4" ht="15.75" x14ac:dyDescent="0.25">
      <c r="C124" s="46" t="str">
        <f t="shared" si="3"/>
        <v/>
      </c>
      <c r="D124" s="46" t="str">
        <f t="shared" si="4"/>
        <v/>
      </c>
    </row>
    <row r="125" spans="3:4" ht="15.75" x14ac:dyDescent="0.25">
      <c r="C125" s="46" t="str">
        <f t="shared" si="3"/>
        <v/>
      </c>
      <c r="D125" s="46" t="str">
        <f t="shared" si="4"/>
        <v/>
      </c>
    </row>
    <row r="126" spans="3:4" ht="15.75" x14ac:dyDescent="0.25">
      <c r="C126" s="46" t="str">
        <f t="shared" si="3"/>
        <v/>
      </c>
      <c r="D126" s="46" t="str">
        <f t="shared" si="4"/>
        <v/>
      </c>
    </row>
    <row r="127" spans="3:4" ht="15.75" x14ac:dyDescent="0.25">
      <c r="C127" s="46" t="str">
        <f t="shared" si="3"/>
        <v/>
      </c>
      <c r="D127" s="46" t="str">
        <f t="shared" si="4"/>
        <v/>
      </c>
    </row>
    <row r="128" spans="3:4" ht="15.75" x14ac:dyDescent="0.25">
      <c r="C128" s="46" t="str">
        <f t="shared" si="3"/>
        <v/>
      </c>
      <c r="D128" s="46" t="str">
        <f t="shared" si="4"/>
        <v/>
      </c>
    </row>
    <row r="129" spans="3:4" ht="15.75" x14ac:dyDescent="0.25">
      <c r="C129" s="46" t="str">
        <f t="shared" si="3"/>
        <v/>
      </c>
      <c r="D129" s="46" t="str">
        <f t="shared" si="4"/>
        <v/>
      </c>
    </row>
    <row r="130" spans="3:4" ht="15.75" x14ac:dyDescent="0.25">
      <c r="C130" s="46" t="str">
        <f t="shared" si="3"/>
        <v/>
      </c>
      <c r="D130" s="46" t="str">
        <f t="shared" si="4"/>
        <v/>
      </c>
    </row>
    <row r="131" spans="3:4" ht="15.75" x14ac:dyDescent="0.25">
      <c r="C131" s="46" t="str">
        <f t="shared" si="3"/>
        <v/>
      </c>
      <c r="D131" s="46" t="str">
        <f t="shared" si="4"/>
        <v/>
      </c>
    </row>
    <row r="132" spans="3:4" ht="15.75" x14ac:dyDescent="0.25">
      <c r="C132" s="46" t="str">
        <f t="shared" si="3"/>
        <v/>
      </c>
      <c r="D132" s="46" t="str">
        <f t="shared" si="4"/>
        <v/>
      </c>
    </row>
    <row r="133" spans="3:4" ht="15.75" x14ac:dyDescent="0.25">
      <c r="C133" s="46" t="str">
        <f t="shared" si="3"/>
        <v/>
      </c>
      <c r="D133" s="46" t="str">
        <f t="shared" si="4"/>
        <v/>
      </c>
    </row>
    <row r="134" spans="3:4" ht="15.75" x14ac:dyDescent="0.25">
      <c r="C134" s="46" t="str">
        <f t="shared" si="3"/>
        <v/>
      </c>
      <c r="D134" s="46" t="str">
        <f t="shared" si="4"/>
        <v/>
      </c>
    </row>
    <row r="135" spans="3:4" ht="15.75" x14ac:dyDescent="0.25">
      <c r="C135" s="46" t="str">
        <f t="shared" si="3"/>
        <v/>
      </c>
      <c r="D135" s="46" t="str">
        <f t="shared" si="4"/>
        <v/>
      </c>
    </row>
    <row r="136" spans="3:4" ht="15.75" x14ac:dyDescent="0.25">
      <c r="C136" s="46" t="str">
        <f t="shared" si="3"/>
        <v/>
      </c>
      <c r="D136" s="46" t="str">
        <f t="shared" si="4"/>
        <v/>
      </c>
    </row>
    <row r="137" spans="3:4" ht="15.75" x14ac:dyDescent="0.25">
      <c r="C137" s="46" t="str">
        <f t="shared" si="3"/>
        <v/>
      </c>
      <c r="D137" s="46" t="str">
        <f t="shared" si="4"/>
        <v/>
      </c>
    </row>
    <row r="138" spans="3:4" ht="15.75" x14ac:dyDescent="0.25">
      <c r="C138" s="46" t="str">
        <f t="shared" ref="C138:C201" si="5">IF(COUNTIF(E138:BA138,"YES")=0,"",COUNTIF(E138:BA138,"YES"))</f>
        <v/>
      </c>
      <c r="D138" s="46" t="str">
        <f t="shared" si="4"/>
        <v/>
      </c>
    </row>
    <row r="139" spans="3:4" ht="15.75" x14ac:dyDescent="0.25">
      <c r="C139" s="46" t="str">
        <f t="shared" si="5"/>
        <v/>
      </c>
      <c r="D139" s="46" t="str">
        <f t="shared" si="4"/>
        <v/>
      </c>
    </row>
    <row r="140" spans="3:4" ht="15.75" x14ac:dyDescent="0.25">
      <c r="C140" s="46" t="str">
        <f t="shared" si="5"/>
        <v/>
      </c>
      <c r="D140" s="46" t="str">
        <f t="shared" si="4"/>
        <v/>
      </c>
    </row>
    <row r="141" spans="3:4" ht="15.75" x14ac:dyDescent="0.25">
      <c r="C141" s="46" t="str">
        <f t="shared" si="5"/>
        <v/>
      </c>
      <c r="D141" s="46" t="str">
        <f t="shared" si="4"/>
        <v/>
      </c>
    </row>
    <row r="142" spans="3:4" ht="15.75" x14ac:dyDescent="0.25">
      <c r="C142" s="46" t="str">
        <f t="shared" si="5"/>
        <v/>
      </c>
      <c r="D142" s="46" t="str">
        <f t="shared" si="4"/>
        <v/>
      </c>
    </row>
    <row r="143" spans="3:4" ht="15.75" x14ac:dyDescent="0.25">
      <c r="C143" s="46" t="str">
        <f t="shared" si="5"/>
        <v/>
      </c>
      <c r="D143" s="46" t="str">
        <f t="shared" si="4"/>
        <v/>
      </c>
    </row>
    <row r="144" spans="3:4" ht="15.75" x14ac:dyDescent="0.25">
      <c r="C144" s="46" t="str">
        <f t="shared" si="5"/>
        <v/>
      </c>
      <c r="D144" s="46" t="str">
        <f t="shared" ref="D144:D207" si="6">IF(COUNTIF(E144:BA144,"NO")=0,"",COUNTIF(E144:BA144,"NO"))</f>
        <v/>
      </c>
    </row>
    <row r="145" spans="3:4" ht="15.75" x14ac:dyDescent="0.25">
      <c r="C145" s="46" t="str">
        <f t="shared" si="5"/>
        <v/>
      </c>
      <c r="D145" s="46" t="str">
        <f t="shared" si="6"/>
        <v/>
      </c>
    </row>
    <row r="146" spans="3:4" ht="15.75" x14ac:dyDescent="0.25">
      <c r="C146" s="46" t="str">
        <f t="shared" si="5"/>
        <v/>
      </c>
      <c r="D146" s="46" t="str">
        <f t="shared" si="6"/>
        <v/>
      </c>
    </row>
    <row r="147" spans="3:4" ht="15.75" x14ac:dyDescent="0.25">
      <c r="C147" s="46" t="str">
        <f t="shared" si="5"/>
        <v/>
      </c>
      <c r="D147" s="46" t="str">
        <f t="shared" si="6"/>
        <v/>
      </c>
    </row>
    <row r="148" spans="3:4" ht="15.75" x14ac:dyDescent="0.25">
      <c r="C148" s="46" t="str">
        <f t="shared" si="5"/>
        <v/>
      </c>
      <c r="D148" s="46" t="str">
        <f t="shared" si="6"/>
        <v/>
      </c>
    </row>
    <row r="149" spans="3:4" ht="15.75" x14ac:dyDescent="0.25">
      <c r="C149" s="46" t="str">
        <f t="shared" si="5"/>
        <v/>
      </c>
      <c r="D149" s="46" t="str">
        <f t="shared" si="6"/>
        <v/>
      </c>
    </row>
    <row r="150" spans="3:4" ht="15.75" x14ac:dyDescent="0.25">
      <c r="C150" s="46" t="str">
        <f t="shared" si="5"/>
        <v/>
      </c>
      <c r="D150" s="46" t="str">
        <f t="shared" si="6"/>
        <v/>
      </c>
    </row>
    <row r="151" spans="3:4" ht="15.75" x14ac:dyDescent="0.25">
      <c r="C151" s="46" t="str">
        <f t="shared" si="5"/>
        <v/>
      </c>
      <c r="D151" s="46" t="str">
        <f t="shared" si="6"/>
        <v/>
      </c>
    </row>
    <row r="152" spans="3:4" ht="15.75" x14ac:dyDescent="0.25">
      <c r="C152" s="46" t="str">
        <f t="shared" si="5"/>
        <v/>
      </c>
      <c r="D152" s="46" t="str">
        <f t="shared" si="6"/>
        <v/>
      </c>
    </row>
    <row r="153" spans="3:4" ht="15.75" x14ac:dyDescent="0.25">
      <c r="C153" s="46" t="str">
        <f t="shared" si="5"/>
        <v/>
      </c>
      <c r="D153" s="46" t="str">
        <f t="shared" si="6"/>
        <v/>
      </c>
    </row>
    <row r="154" spans="3:4" ht="15.75" x14ac:dyDescent="0.25">
      <c r="C154" s="46" t="str">
        <f t="shared" si="5"/>
        <v/>
      </c>
      <c r="D154" s="46" t="str">
        <f t="shared" si="6"/>
        <v/>
      </c>
    </row>
    <row r="155" spans="3:4" ht="15.75" x14ac:dyDescent="0.25">
      <c r="C155" s="46" t="str">
        <f t="shared" si="5"/>
        <v/>
      </c>
      <c r="D155" s="46" t="str">
        <f t="shared" si="6"/>
        <v/>
      </c>
    </row>
    <row r="156" spans="3:4" ht="15.75" x14ac:dyDescent="0.25">
      <c r="C156" s="46" t="str">
        <f t="shared" si="5"/>
        <v/>
      </c>
      <c r="D156" s="46" t="str">
        <f t="shared" si="6"/>
        <v/>
      </c>
    </row>
    <row r="157" spans="3:4" ht="15.75" x14ac:dyDescent="0.25">
      <c r="C157" s="46" t="str">
        <f t="shared" si="5"/>
        <v/>
      </c>
      <c r="D157" s="46" t="str">
        <f t="shared" si="6"/>
        <v/>
      </c>
    </row>
    <row r="158" spans="3:4" ht="15.75" x14ac:dyDescent="0.25">
      <c r="C158" s="46" t="str">
        <f t="shared" si="5"/>
        <v/>
      </c>
      <c r="D158" s="46" t="str">
        <f t="shared" si="6"/>
        <v/>
      </c>
    </row>
    <row r="159" spans="3:4" ht="15.75" x14ac:dyDescent="0.25">
      <c r="C159" s="46" t="str">
        <f t="shared" si="5"/>
        <v/>
      </c>
      <c r="D159" s="46" t="str">
        <f t="shared" si="6"/>
        <v/>
      </c>
    </row>
    <row r="160" spans="3:4" ht="15.75" x14ac:dyDescent="0.25">
      <c r="C160" s="46" t="str">
        <f t="shared" si="5"/>
        <v/>
      </c>
      <c r="D160" s="46" t="str">
        <f t="shared" si="6"/>
        <v/>
      </c>
    </row>
    <row r="161" spans="3:4" ht="15.75" x14ac:dyDescent="0.25">
      <c r="C161" s="46" t="str">
        <f t="shared" si="5"/>
        <v/>
      </c>
      <c r="D161" s="46" t="str">
        <f t="shared" si="6"/>
        <v/>
      </c>
    </row>
    <row r="162" spans="3:4" ht="15.75" x14ac:dyDescent="0.25">
      <c r="C162" s="46" t="str">
        <f t="shared" si="5"/>
        <v/>
      </c>
      <c r="D162" s="46" t="str">
        <f t="shared" si="6"/>
        <v/>
      </c>
    </row>
    <row r="163" spans="3:4" ht="15.75" x14ac:dyDescent="0.25">
      <c r="C163" s="46" t="str">
        <f t="shared" si="5"/>
        <v/>
      </c>
      <c r="D163" s="46" t="str">
        <f t="shared" si="6"/>
        <v/>
      </c>
    </row>
    <row r="164" spans="3:4" ht="15.75" x14ac:dyDescent="0.25">
      <c r="C164" s="46" t="str">
        <f t="shared" si="5"/>
        <v/>
      </c>
      <c r="D164" s="46" t="str">
        <f t="shared" si="6"/>
        <v/>
      </c>
    </row>
    <row r="165" spans="3:4" ht="15.75" x14ac:dyDescent="0.25">
      <c r="C165" s="46" t="str">
        <f t="shared" si="5"/>
        <v/>
      </c>
      <c r="D165" s="46" t="str">
        <f t="shared" si="6"/>
        <v/>
      </c>
    </row>
    <row r="166" spans="3:4" ht="15.75" x14ac:dyDescent="0.25">
      <c r="C166" s="46" t="str">
        <f t="shared" si="5"/>
        <v/>
      </c>
      <c r="D166" s="46" t="str">
        <f t="shared" si="6"/>
        <v/>
      </c>
    </row>
    <row r="167" spans="3:4" ht="15.75" x14ac:dyDescent="0.25">
      <c r="C167" s="46" t="str">
        <f t="shared" si="5"/>
        <v/>
      </c>
      <c r="D167" s="46" t="str">
        <f t="shared" si="6"/>
        <v/>
      </c>
    </row>
    <row r="168" spans="3:4" ht="15.75" x14ac:dyDescent="0.25">
      <c r="C168" s="46" t="str">
        <f t="shared" si="5"/>
        <v/>
      </c>
      <c r="D168" s="46" t="str">
        <f t="shared" si="6"/>
        <v/>
      </c>
    </row>
    <row r="169" spans="3:4" ht="15.75" x14ac:dyDescent="0.25">
      <c r="C169" s="46" t="str">
        <f t="shared" si="5"/>
        <v/>
      </c>
      <c r="D169" s="46" t="str">
        <f t="shared" si="6"/>
        <v/>
      </c>
    </row>
    <row r="170" spans="3:4" ht="15.75" x14ac:dyDescent="0.25">
      <c r="C170" s="46" t="str">
        <f t="shared" si="5"/>
        <v/>
      </c>
      <c r="D170" s="46" t="str">
        <f t="shared" si="6"/>
        <v/>
      </c>
    </row>
    <row r="171" spans="3:4" ht="15.75" x14ac:dyDescent="0.25">
      <c r="C171" s="46" t="str">
        <f t="shared" si="5"/>
        <v/>
      </c>
      <c r="D171" s="46" t="str">
        <f t="shared" si="6"/>
        <v/>
      </c>
    </row>
    <row r="172" spans="3:4" ht="15.75" x14ac:dyDescent="0.25">
      <c r="C172" s="46" t="str">
        <f t="shared" si="5"/>
        <v/>
      </c>
      <c r="D172" s="46" t="str">
        <f t="shared" si="6"/>
        <v/>
      </c>
    </row>
    <row r="173" spans="3:4" ht="15.75" x14ac:dyDescent="0.25">
      <c r="C173" s="46" t="str">
        <f t="shared" si="5"/>
        <v/>
      </c>
      <c r="D173" s="46" t="str">
        <f t="shared" si="6"/>
        <v/>
      </c>
    </row>
    <row r="174" spans="3:4" ht="15.75" x14ac:dyDescent="0.25">
      <c r="C174" s="46" t="str">
        <f t="shared" si="5"/>
        <v/>
      </c>
      <c r="D174" s="46" t="str">
        <f t="shared" si="6"/>
        <v/>
      </c>
    </row>
    <row r="175" spans="3:4" ht="15.75" x14ac:dyDescent="0.25">
      <c r="C175" s="46" t="str">
        <f t="shared" si="5"/>
        <v/>
      </c>
      <c r="D175" s="46" t="str">
        <f t="shared" si="6"/>
        <v/>
      </c>
    </row>
    <row r="176" spans="3:4" ht="15.75" x14ac:dyDescent="0.25">
      <c r="C176" s="46" t="str">
        <f t="shared" si="5"/>
        <v/>
      </c>
      <c r="D176" s="46" t="str">
        <f t="shared" si="6"/>
        <v/>
      </c>
    </row>
    <row r="177" spans="3:4" ht="15.75" x14ac:dyDescent="0.25">
      <c r="C177" s="46" t="str">
        <f t="shared" si="5"/>
        <v/>
      </c>
      <c r="D177" s="46" t="str">
        <f t="shared" si="6"/>
        <v/>
      </c>
    </row>
    <row r="178" spans="3:4" ht="15.75" x14ac:dyDescent="0.25">
      <c r="C178" s="46" t="str">
        <f t="shared" si="5"/>
        <v/>
      </c>
      <c r="D178" s="46" t="str">
        <f t="shared" si="6"/>
        <v/>
      </c>
    </row>
    <row r="179" spans="3:4" ht="15.75" x14ac:dyDescent="0.25">
      <c r="C179" s="46" t="str">
        <f t="shared" si="5"/>
        <v/>
      </c>
      <c r="D179" s="46" t="str">
        <f t="shared" si="6"/>
        <v/>
      </c>
    </row>
    <row r="180" spans="3:4" ht="15.75" x14ac:dyDescent="0.25">
      <c r="C180" s="46" t="str">
        <f t="shared" si="5"/>
        <v/>
      </c>
      <c r="D180" s="46" t="str">
        <f t="shared" si="6"/>
        <v/>
      </c>
    </row>
    <row r="181" spans="3:4" ht="15.75" x14ac:dyDescent="0.25">
      <c r="C181" s="46" t="str">
        <f t="shared" si="5"/>
        <v/>
      </c>
      <c r="D181" s="46" t="str">
        <f t="shared" si="6"/>
        <v/>
      </c>
    </row>
    <row r="182" spans="3:4" ht="15.75" x14ac:dyDescent="0.25">
      <c r="C182" s="46" t="str">
        <f t="shared" si="5"/>
        <v/>
      </c>
      <c r="D182" s="46" t="str">
        <f t="shared" si="6"/>
        <v/>
      </c>
    </row>
    <row r="183" spans="3:4" ht="15.75" x14ac:dyDescent="0.25">
      <c r="C183" s="46" t="str">
        <f t="shared" si="5"/>
        <v/>
      </c>
      <c r="D183" s="46" t="str">
        <f t="shared" si="6"/>
        <v/>
      </c>
    </row>
    <row r="184" spans="3:4" ht="15.75" x14ac:dyDescent="0.25">
      <c r="C184" s="46" t="str">
        <f t="shared" si="5"/>
        <v/>
      </c>
      <c r="D184" s="46" t="str">
        <f t="shared" si="6"/>
        <v/>
      </c>
    </row>
    <row r="185" spans="3:4" ht="15.75" x14ac:dyDescent="0.25">
      <c r="C185" s="46" t="str">
        <f t="shared" si="5"/>
        <v/>
      </c>
      <c r="D185" s="46" t="str">
        <f t="shared" si="6"/>
        <v/>
      </c>
    </row>
    <row r="186" spans="3:4" ht="15.75" x14ac:dyDescent="0.25">
      <c r="C186" s="46" t="str">
        <f t="shared" si="5"/>
        <v/>
      </c>
      <c r="D186" s="46" t="str">
        <f t="shared" si="6"/>
        <v/>
      </c>
    </row>
    <row r="187" spans="3:4" ht="15.75" x14ac:dyDescent="0.25">
      <c r="C187" s="46" t="str">
        <f t="shared" si="5"/>
        <v/>
      </c>
      <c r="D187" s="46" t="str">
        <f t="shared" si="6"/>
        <v/>
      </c>
    </row>
    <row r="188" spans="3:4" ht="15.75" x14ac:dyDescent="0.25">
      <c r="C188" s="46" t="str">
        <f t="shared" si="5"/>
        <v/>
      </c>
      <c r="D188" s="46" t="str">
        <f t="shared" si="6"/>
        <v/>
      </c>
    </row>
    <row r="189" spans="3:4" ht="15.75" x14ac:dyDescent="0.25">
      <c r="C189" s="46" t="str">
        <f t="shared" si="5"/>
        <v/>
      </c>
      <c r="D189" s="46" t="str">
        <f t="shared" si="6"/>
        <v/>
      </c>
    </row>
    <row r="190" spans="3:4" ht="15.75" x14ac:dyDescent="0.25">
      <c r="C190" s="46" t="str">
        <f t="shared" si="5"/>
        <v/>
      </c>
      <c r="D190" s="46" t="str">
        <f t="shared" si="6"/>
        <v/>
      </c>
    </row>
    <row r="191" spans="3:4" ht="15.75" x14ac:dyDescent="0.25">
      <c r="C191" s="46" t="str">
        <f t="shared" si="5"/>
        <v/>
      </c>
      <c r="D191" s="46" t="str">
        <f t="shared" si="6"/>
        <v/>
      </c>
    </row>
    <row r="192" spans="3:4" ht="15.75" x14ac:dyDescent="0.25">
      <c r="C192" s="46" t="str">
        <f t="shared" si="5"/>
        <v/>
      </c>
      <c r="D192" s="46" t="str">
        <f t="shared" si="6"/>
        <v/>
      </c>
    </row>
    <row r="193" spans="3:4" ht="15.75" x14ac:dyDescent="0.25">
      <c r="C193" s="46" t="str">
        <f t="shared" si="5"/>
        <v/>
      </c>
      <c r="D193" s="46" t="str">
        <f t="shared" si="6"/>
        <v/>
      </c>
    </row>
    <row r="194" spans="3:4" ht="15.75" x14ac:dyDescent="0.25">
      <c r="C194" s="46" t="str">
        <f t="shared" si="5"/>
        <v/>
      </c>
      <c r="D194" s="46" t="str">
        <f t="shared" si="6"/>
        <v/>
      </c>
    </row>
    <row r="195" spans="3:4" ht="15.75" x14ac:dyDescent="0.25">
      <c r="C195" s="46" t="str">
        <f t="shared" si="5"/>
        <v/>
      </c>
      <c r="D195" s="46" t="str">
        <f t="shared" si="6"/>
        <v/>
      </c>
    </row>
    <row r="196" spans="3:4" ht="15.75" x14ac:dyDescent="0.25">
      <c r="C196" s="46" t="str">
        <f t="shared" si="5"/>
        <v/>
      </c>
      <c r="D196" s="46" t="str">
        <f t="shared" si="6"/>
        <v/>
      </c>
    </row>
    <row r="197" spans="3:4" ht="15.75" x14ac:dyDescent="0.25">
      <c r="C197" s="46" t="str">
        <f t="shared" si="5"/>
        <v/>
      </c>
      <c r="D197" s="46" t="str">
        <f t="shared" si="6"/>
        <v/>
      </c>
    </row>
    <row r="198" spans="3:4" ht="15.75" x14ac:dyDescent="0.25">
      <c r="C198" s="46" t="str">
        <f t="shared" si="5"/>
        <v/>
      </c>
      <c r="D198" s="46" t="str">
        <f t="shared" si="6"/>
        <v/>
      </c>
    </row>
    <row r="199" spans="3:4" ht="15.75" x14ac:dyDescent="0.25">
      <c r="C199" s="46" t="str">
        <f t="shared" si="5"/>
        <v/>
      </c>
      <c r="D199" s="46" t="str">
        <f t="shared" si="6"/>
        <v/>
      </c>
    </row>
    <row r="200" spans="3:4" ht="15.75" x14ac:dyDescent="0.25">
      <c r="C200" s="46" t="str">
        <f t="shared" si="5"/>
        <v/>
      </c>
      <c r="D200" s="46" t="str">
        <f t="shared" si="6"/>
        <v/>
      </c>
    </row>
    <row r="201" spans="3:4" ht="15.75" x14ac:dyDescent="0.25">
      <c r="C201" s="46" t="str">
        <f t="shared" si="5"/>
        <v/>
      </c>
      <c r="D201" s="46" t="str">
        <f t="shared" si="6"/>
        <v/>
      </c>
    </row>
    <row r="202" spans="3:4" ht="15.75" x14ac:dyDescent="0.25">
      <c r="C202" s="46" t="str">
        <f t="shared" ref="C202:C265" si="7">IF(COUNTIF(E202:BA202,"YES")=0,"",COUNTIF(E202:BA202,"YES"))</f>
        <v/>
      </c>
      <c r="D202" s="46" t="str">
        <f t="shared" si="6"/>
        <v/>
      </c>
    </row>
    <row r="203" spans="3:4" ht="15.75" x14ac:dyDescent="0.25">
      <c r="C203" s="46" t="str">
        <f t="shared" si="7"/>
        <v/>
      </c>
      <c r="D203" s="46" t="str">
        <f t="shared" si="6"/>
        <v/>
      </c>
    </row>
    <row r="204" spans="3:4" ht="15.75" x14ac:dyDescent="0.25">
      <c r="C204" s="46" t="str">
        <f t="shared" si="7"/>
        <v/>
      </c>
      <c r="D204" s="46" t="str">
        <f t="shared" si="6"/>
        <v/>
      </c>
    </row>
    <row r="205" spans="3:4" ht="15.75" x14ac:dyDescent="0.25">
      <c r="C205" s="46" t="str">
        <f t="shared" si="7"/>
        <v/>
      </c>
      <c r="D205" s="46" t="str">
        <f t="shared" si="6"/>
        <v/>
      </c>
    </row>
    <row r="206" spans="3:4" ht="15.75" x14ac:dyDescent="0.25">
      <c r="C206" s="46" t="str">
        <f t="shared" si="7"/>
        <v/>
      </c>
      <c r="D206" s="46" t="str">
        <f t="shared" si="6"/>
        <v/>
      </c>
    </row>
    <row r="207" spans="3:4" ht="15.75" x14ac:dyDescent="0.25">
      <c r="C207" s="46" t="str">
        <f t="shared" si="7"/>
        <v/>
      </c>
      <c r="D207" s="46" t="str">
        <f t="shared" si="6"/>
        <v/>
      </c>
    </row>
    <row r="208" spans="3:4" ht="15.75" x14ac:dyDescent="0.25">
      <c r="C208" s="46" t="str">
        <f t="shared" si="7"/>
        <v/>
      </c>
      <c r="D208" s="46" t="str">
        <f t="shared" ref="D208:D271" si="8">IF(COUNTIF(E208:BA208,"NO")=0,"",COUNTIF(E208:BA208,"NO"))</f>
        <v/>
      </c>
    </row>
    <row r="209" spans="3:4" ht="15.75" x14ac:dyDescent="0.25">
      <c r="C209" s="46" t="str">
        <f t="shared" si="7"/>
        <v/>
      </c>
      <c r="D209" s="46" t="str">
        <f t="shared" si="8"/>
        <v/>
      </c>
    </row>
    <row r="210" spans="3:4" ht="15.75" x14ac:dyDescent="0.25">
      <c r="C210" s="46" t="str">
        <f t="shared" si="7"/>
        <v/>
      </c>
      <c r="D210" s="46" t="str">
        <f t="shared" si="8"/>
        <v/>
      </c>
    </row>
    <row r="211" spans="3:4" ht="15.75" x14ac:dyDescent="0.25">
      <c r="C211" s="46" t="str">
        <f t="shared" si="7"/>
        <v/>
      </c>
      <c r="D211" s="46" t="str">
        <f t="shared" si="8"/>
        <v/>
      </c>
    </row>
    <row r="212" spans="3:4" ht="15.75" x14ac:dyDescent="0.25">
      <c r="C212" s="46" t="str">
        <f t="shared" si="7"/>
        <v/>
      </c>
      <c r="D212" s="46" t="str">
        <f t="shared" si="8"/>
        <v/>
      </c>
    </row>
    <row r="213" spans="3:4" ht="15.75" x14ac:dyDescent="0.25">
      <c r="C213" s="46" t="str">
        <f t="shared" si="7"/>
        <v/>
      </c>
      <c r="D213" s="46" t="str">
        <f t="shared" si="8"/>
        <v/>
      </c>
    </row>
    <row r="214" spans="3:4" ht="15.75" x14ac:dyDescent="0.25">
      <c r="C214" s="46" t="str">
        <f t="shared" si="7"/>
        <v/>
      </c>
      <c r="D214" s="46" t="str">
        <f t="shared" si="8"/>
        <v/>
      </c>
    </row>
    <row r="215" spans="3:4" ht="15.75" x14ac:dyDescent="0.25">
      <c r="C215" s="46" t="str">
        <f t="shared" si="7"/>
        <v/>
      </c>
      <c r="D215" s="46" t="str">
        <f t="shared" si="8"/>
        <v/>
      </c>
    </row>
    <row r="216" spans="3:4" ht="15.75" x14ac:dyDescent="0.25">
      <c r="C216" s="46" t="str">
        <f t="shared" si="7"/>
        <v/>
      </c>
      <c r="D216" s="46" t="str">
        <f t="shared" si="8"/>
        <v/>
      </c>
    </row>
    <row r="217" spans="3:4" ht="15.75" x14ac:dyDescent="0.25">
      <c r="C217" s="46" t="str">
        <f t="shared" si="7"/>
        <v/>
      </c>
      <c r="D217" s="46" t="str">
        <f t="shared" si="8"/>
        <v/>
      </c>
    </row>
    <row r="218" spans="3:4" ht="15.75" x14ac:dyDescent="0.25">
      <c r="C218" s="46" t="str">
        <f t="shared" si="7"/>
        <v/>
      </c>
      <c r="D218" s="46" t="str">
        <f t="shared" si="8"/>
        <v/>
      </c>
    </row>
    <row r="219" spans="3:4" ht="15.75" x14ac:dyDescent="0.25">
      <c r="C219" s="46" t="str">
        <f t="shared" si="7"/>
        <v/>
      </c>
      <c r="D219" s="46" t="str">
        <f t="shared" si="8"/>
        <v/>
      </c>
    </row>
    <row r="220" spans="3:4" ht="15.75" x14ac:dyDescent="0.25">
      <c r="C220" s="46" t="str">
        <f t="shared" si="7"/>
        <v/>
      </c>
      <c r="D220" s="46" t="str">
        <f t="shared" si="8"/>
        <v/>
      </c>
    </row>
    <row r="221" spans="3:4" ht="15.75" x14ac:dyDescent="0.25">
      <c r="C221" s="46" t="str">
        <f t="shared" si="7"/>
        <v/>
      </c>
      <c r="D221" s="46" t="str">
        <f t="shared" si="8"/>
        <v/>
      </c>
    </row>
    <row r="222" spans="3:4" ht="15.75" x14ac:dyDescent="0.25">
      <c r="C222" s="46" t="str">
        <f t="shared" si="7"/>
        <v/>
      </c>
      <c r="D222" s="46" t="str">
        <f t="shared" si="8"/>
        <v/>
      </c>
    </row>
    <row r="223" spans="3:4" ht="15.75" x14ac:dyDescent="0.25">
      <c r="C223" s="46" t="str">
        <f t="shared" si="7"/>
        <v/>
      </c>
      <c r="D223" s="46" t="str">
        <f t="shared" si="8"/>
        <v/>
      </c>
    </row>
    <row r="224" spans="3:4" ht="15.75" x14ac:dyDescent="0.25">
      <c r="C224" s="46" t="str">
        <f t="shared" si="7"/>
        <v/>
      </c>
      <c r="D224" s="46" t="str">
        <f t="shared" si="8"/>
        <v/>
      </c>
    </row>
    <row r="225" spans="3:4" ht="15.75" x14ac:dyDescent="0.25">
      <c r="C225" s="46" t="str">
        <f t="shared" si="7"/>
        <v/>
      </c>
      <c r="D225" s="46" t="str">
        <f t="shared" si="8"/>
        <v/>
      </c>
    </row>
    <row r="226" spans="3:4" ht="15.75" x14ac:dyDescent="0.25">
      <c r="C226" s="46" t="str">
        <f t="shared" si="7"/>
        <v/>
      </c>
      <c r="D226" s="46" t="str">
        <f t="shared" si="8"/>
        <v/>
      </c>
    </row>
    <row r="227" spans="3:4" ht="15.75" x14ac:dyDescent="0.25">
      <c r="C227" s="46" t="str">
        <f t="shared" si="7"/>
        <v/>
      </c>
      <c r="D227" s="46" t="str">
        <f t="shared" si="8"/>
        <v/>
      </c>
    </row>
    <row r="228" spans="3:4" ht="15.75" x14ac:dyDescent="0.25">
      <c r="C228" s="46" t="str">
        <f t="shared" si="7"/>
        <v/>
      </c>
      <c r="D228" s="46" t="str">
        <f t="shared" si="8"/>
        <v/>
      </c>
    </row>
    <row r="229" spans="3:4" ht="15.75" x14ac:dyDescent="0.25">
      <c r="C229" s="46" t="str">
        <f t="shared" si="7"/>
        <v/>
      </c>
      <c r="D229" s="46" t="str">
        <f t="shared" si="8"/>
        <v/>
      </c>
    </row>
    <row r="230" spans="3:4" ht="15.75" x14ac:dyDescent="0.25">
      <c r="C230" s="46" t="str">
        <f t="shared" si="7"/>
        <v/>
      </c>
      <c r="D230" s="46" t="str">
        <f t="shared" si="8"/>
        <v/>
      </c>
    </row>
    <row r="231" spans="3:4" ht="15.75" x14ac:dyDescent="0.25">
      <c r="C231" s="46" t="str">
        <f t="shared" si="7"/>
        <v/>
      </c>
      <c r="D231" s="46" t="str">
        <f t="shared" si="8"/>
        <v/>
      </c>
    </row>
    <row r="232" spans="3:4" ht="15.75" x14ac:dyDescent="0.25">
      <c r="C232" s="46" t="str">
        <f t="shared" si="7"/>
        <v/>
      </c>
      <c r="D232" s="46" t="str">
        <f t="shared" si="8"/>
        <v/>
      </c>
    </row>
    <row r="233" spans="3:4" ht="15.75" x14ac:dyDescent="0.25">
      <c r="C233" s="46" t="str">
        <f t="shared" si="7"/>
        <v/>
      </c>
      <c r="D233" s="46" t="str">
        <f t="shared" si="8"/>
        <v/>
      </c>
    </row>
    <row r="234" spans="3:4" ht="15.75" x14ac:dyDescent="0.25">
      <c r="C234" s="46" t="str">
        <f t="shared" si="7"/>
        <v/>
      </c>
      <c r="D234" s="46" t="str">
        <f t="shared" si="8"/>
        <v/>
      </c>
    </row>
    <row r="235" spans="3:4" ht="15.75" x14ac:dyDescent="0.25">
      <c r="C235" s="46" t="str">
        <f t="shared" si="7"/>
        <v/>
      </c>
      <c r="D235" s="46" t="str">
        <f t="shared" si="8"/>
        <v/>
      </c>
    </row>
    <row r="236" spans="3:4" ht="15.75" x14ac:dyDescent="0.25">
      <c r="C236" s="46" t="str">
        <f t="shared" si="7"/>
        <v/>
      </c>
      <c r="D236" s="46" t="str">
        <f t="shared" si="8"/>
        <v/>
      </c>
    </row>
    <row r="237" spans="3:4" ht="15.75" x14ac:dyDescent="0.25">
      <c r="C237" s="46" t="str">
        <f t="shared" si="7"/>
        <v/>
      </c>
      <c r="D237" s="46" t="str">
        <f t="shared" si="8"/>
        <v/>
      </c>
    </row>
    <row r="238" spans="3:4" ht="15.75" x14ac:dyDescent="0.25">
      <c r="C238" s="46" t="str">
        <f t="shared" si="7"/>
        <v/>
      </c>
      <c r="D238" s="46" t="str">
        <f t="shared" si="8"/>
        <v/>
      </c>
    </row>
    <row r="239" spans="3:4" ht="15.75" x14ac:dyDescent="0.25">
      <c r="C239" s="46" t="str">
        <f t="shared" si="7"/>
        <v/>
      </c>
      <c r="D239" s="46" t="str">
        <f t="shared" si="8"/>
        <v/>
      </c>
    </row>
    <row r="240" spans="3:4" ht="15.75" x14ac:dyDescent="0.25">
      <c r="C240" s="46" t="str">
        <f t="shared" si="7"/>
        <v/>
      </c>
      <c r="D240" s="46" t="str">
        <f t="shared" si="8"/>
        <v/>
      </c>
    </row>
    <row r="241" spans="3:4" ht="15.75" x14ac:dyDescent="0.25">
      <c r="C241" s="46" t="str">
        <f t="shared" si="7"/>
        <v/>
      </c>
      <c r="D241" s="46" t="str">
        <f t="shared" si="8"/>
        <v/>
      </c>
    </row>
    <row r="242" spans="3:4" ht="15.75" x14ac:dyDescent="0.25">
      <c r="C242" s="46" t="str">
        <f t="shared" si="7"/>
        <v/>
      </c>
      <c r="D242" s="46" t="str">
        <f t="shared" si="8"/>
        <v/>
      </c>
    </row>
    <row r="243" spans="3:4" ht="15.75" x14ac:dyDescent="0.25">
      <c r="C243" s="46" t="str">
        <f t="shared" si="7"/>
        <v/>
      </c>
      <c r="D243" s="46" t="str">
        <f t="shared" si="8"/>
        <v/>
      </c>
    </row>
    <row r="244" spans="3:4" ht="15.75" x14ac:dyDescent="0.25">
      <c r="C244" s="46" t="str">
        <f t="shared" si="7"/>
        <v/>
      </c>
      <c r="D244" s="46" t="str">
        <f t="shared" si="8"/>
        <v/>
      </c>
    </row>
    <row r="245" spans="3:4" ht="15.75" x14ac:dyDescent="0.25">
      <c r="C245" s="46" t="str">
        <f t="shared" si="7"/>
        <v/>
      </c>
      <c r="D245" s="46" t="str">
        <f t="shared" si="8"/>
        <v/>
      </c>
    </row>
    <row r="246" spans="3:4" ht="15.75" x14ac:dyDescent="0.25">
      <c r="C246" s="46" t="str">
        <f t="shared" si="7"/>
        <v/>
      </c>
      <c r="D246" s="46" t="str">
        <f t="shared" si="8"/>
        <v/>
      </c>
    </row>
    <row r="247" spans="3:4" ht="15.75" x14ac:dyDescent="0.25">
      <c r="C247" s="46" t="str">
        <f t="shared" si="7"/>
        <v/>
      </c>
      <c r="D247" s="46" t="str">
        <f t="shared" si="8"/>
        <v/>
      </c>
    </row>
    <row r="248" spans="3:4" ht="15.75" x14ac:dyDescent="0.25">
      <c r="C248" s="46" t="str">
        <f t="shared" si="7"/>
        <v/>
      </c>
      <c r="D248" s="46" t="str">
        <f t="shared" si="8"/>
        <v/>
      </c>
    </row>
    <row r="249" spans="3:4" ht="15.75" x14ac:dyDescent="0.25">
      <c r="C249" s="46" t="str">
        <f t="shared" si="7"/>
        <v/>
      </c>
      <c r="D249" s="46" t="str">
        <f t="shared" si="8"/>
        <v/>
      </c>
    </row>
    <row r="250" spans="3:4" ht="15.75" x14ac:dyDescent="0.25">
      <c r="C250" s="46" t="str">
        <f t="shared" si="7"/>
        <v/>
      </c>
      <c r="D250" s="46" t="str">
        <f t="shared" si="8"/>
        <v/>
      </c>
    </row>
    <row r="251" spans="3:4" ht="15.75" x14ac:dyDescent="0.25">
      <c r="C251" s="46" t="str">
        <f t="shared" si="7"/>
        <v/>
      </c>
      <c r="D251" s="46" t="str">
        <f t="shared" si="8"/>
        <v/>
      </c>
    </row>
    <row r="252" spans="3:4" ht="15.75" x14ac:dyDescent="0.25">
      <c r="C252" s="46" t="str">
        <f t="shared" si="7"/>
        <v/>
      </c>
      <c r="D252" s="46" t="str">
        <f t="shared" si="8"/>
        <v/>
      </c>
    </row>
    <row r="253" spans="3:4" ht="15.75" x14ac:dyDescent="0.25">
      <c r="C253" s="46" t="str">
        <f t="shared" si="7"/>
        <v/>
      </c>
      <c r="D253" s="46" t="str">
        <f t="shared" si="8"/>
        <v/>
      </c>
    </row>
    <row r="254" spans="3:4" ht="15.75" x14ac:dyDescent="0.25">
      <c r="C254" s="46" t="str">
        <f t="shared" si="7"/>
        <v/>
      </c>
      <c r="D254" s="46" t="str">
        <f t="shared" si="8"/>
        <v/>
      </c>
    </row>
    <row r="255" spans="3:4" ht="15.75" x14ac:dyDescent="0.25">
      <c r="C255" s="46" t="str">
        <f t="shared" si="7"/>
        <v/>
      </c>
      <c r="D255" s="46" t="str">
        <f t="shared" si="8"/>
        <v/>
      </c>
    </row>
    <row r="256" spans="3:4" ht="15.75" x14ac:dyDescent="0.25">
      <c r="C256" s="46" t="str">
        <f t="shared" si="7"/>
        <v/>
      </c>
      <c r="D256" s="46" t="str">
        <f t="shared" si="8"/>
        <v/>
      </c>
    </row>
    <row r="257" spans="3:4" ht="15.75" x14ac:dyDescent="0.25">
      <c r="C257" s="46" t="str">
        <f t="shared" si="7"/>
        <v/>
      </c>
      <c r="D257" s="46" t="str">
        <f t="shared" si="8"/>
        <v/>
      </c>
    </row>
    <row r="258" spans="3:4" ht="15.75" x14ac:dyDescent="0.25">
      <c r="C258" s="46" t="str">
        <f t="shared" si="7"/>
        <v/>
      </c>
      <c r="D258" s="46" t="str">
        <f t="shared" si="8"/>
        <v/>
      </c>
    </row>
    <row r="259" spans="3:4" ht="15.75" x14ac:dyDescent="0.25">
      <c r="C259" s="46" t="str">
        <f t="shared" si="7"/>
        <v/>
      </c>
      <c r="D259" s="46" t="str">
        <f t="shared" si="8"/>
        <v/>
      </c>
    </row>
    <row r="260" spans="3:4" ht="15.75" x14ac:dyDescent="0.25">
      <c r="C260" s="46" t="str">
        <f t="shared" si="7"/>
        <v/>
      </c>
      <c r="D260" s="46" t="str">
        <f t="shared" si="8"/>
        <v/>
      </c>
    </row>
    <row r="261" spans="3:4" ht="15.75" x14ac:dyDescent="0.25">
      <c r="C261" s="46" t="str">
        <f t="shared" si="7"/>
        <v/>
      </c>
      <c r="D261" s="46" t="str">
        <f t="shared" si="8"/>
        <v/>
      </c>
    </row>
    <row r="262" spans="3:4" ht="15.75" x14ac:dyDescent="0.25">
      <c r="C262" s="46" t="str">
        <f t="shared" si="7"/>
        <v/>
      </c>
      <c r="D262" s="46" t="str">
        <f t="shared" si="8"/>
        <v/>
      </c>
    </row>
    <row r="263" spans="3:4" ht="15.75" x14ac:dyDescent="0.25">
      <c r="C263" s="46" t="str">
        <f t="shared" si="7"/>
        <v/>
      </c>
      <c r="D263" s="46" t="str">
        <f t="shared" si="8"/>
        <v/>
      </c>
    </row>
    <row r="264" spans="3:4" ht="15.75" x14ac:dyDescent="0.25">
      <c r="C264" s="46" t="str">
        <f t="shared" si="7"/>
        <v/>
      </c>
      <c r="D264" s="46" t="str">
        <f t="shared" si="8"/>
        <v/>
      </c>
    </row>
    <row r="265" spans="3:4" ht="15.75" x14ac:dyDescent="0.25">
      <c r="C265" s="46" t="str">
        <f t="shared" si="7"/>
        <v/>
      </c>
      <c r="D265" s="46" t="str">
        <f t="shared" si="8"/>
        <v/>
      </c>
    </row>
    <row r="266" spans="3:4" ht="15.75" x14ac:dyDescent="0.25">
      <c r="C266" s="46" t="str">
        <f t="shared" ref="C266:C326" si="9">IF(COUNTIF(E266:BA266,"YES")=0,"",COUNTIF(E266:BA266,"YES"))</f>
        <v/>
      </c>
      <c r="D266" s="46" t="str">
        <f t="shared" si="8"/>
        <v/>
      </c>
    </row>
    <row r="267" spans="3:4" ht="15.75" x14ac:dyDescent="0.25">
      <c r="C267" s="46" t="str">
        <f t="shared" si="9"/>
        <v/>
      </c>
      <c r="D267" s="46" t="str">
        <f t="shared" si="8"/>
        <v/>
      </c>
    </row>
    <row r="268" spans="3:4" ht="15.75" x14ac:dyDescent="0.25">
      <c r="C268" s="46" t="str">
        <f t="shared" si="9"/>
        <v/>
      </c>
      <c r="D268" s="46" t="str">
        <f t="shared" si="8"/>
        <v/>
      </c>
    </row>
    <row r="269" spans="3:4" ht="15.75" x14ac:dyDescent="0.25">
      <c r="C269" s="46" t="str">
        <f t="shared" si="9"/>
        <v/>
      </c>
      <c r="D269" s="46" t="str">
        <f t="shared" si="8"/>
        <v/>
      </c>
    </row>
    <row r="270" spans="3:4" ht="15.75" x14ac:dyDescent="0.25">
      <c r="C270" s="46" t="str">
        <f t="shared" si="9"/>
        <v/>
      </c>
      <c r="D270" s="46" t="str">
        <f t="shared" si="8"/>
        <v/>
      </c>
    </row>
    <row r="271" spans="3:4" ht="15.75" x14ac:dyDescent="0.25">
      <c r="C271" s="46" t="str">
        <f t="shared" si="9"/>
        <v/>
      </c>
      <c r="D271" s="46" t="str">
        <f t="shared" si="8"/>
        <v/>
      </c>
    </row>
    <row r="272" spans="3:4" ht="15.75" x14ac:dyDescent="0.25">
      <c r="C272" s="46" t="str">
        <f t="shared" si="9"/>
        <v/>
      </c>
      <c r="D272" s="46" t="str">
        <f t="shared" ref="D272:D326" si="10">IF(COUNTIF(E272:BA272,"NO")=0,"",COUNTIF(E272:BA272,"NO"))</f>
        <v/>
      </c>
    </row>
    <row r="273" spans="3:4" ht="15.75" x14ac:dyDescent="0.25">
      <c r="C273" s="46" t="str">
        <f t="shared" si="9"/>
        <v/>
      </c>
      <c r="D273" s="46" t="str">
        <f t="shared" si="10"/>
        <v/>
      </c>
    </row>
    <row r="274" spans="3:4" ht="15.75" x14ac:dyDescent="0.25">
      <c r="C274" s="46" t="str">
        <f t="shared" si="9"/>
        <v/>
      </c>
      <c r="D274" s="46" t="str">
        <f t="shared" si="10"/>
        <v/>
      </c>
    </row>
    <row r="275" spans="3:4" ht="15.75" x14ac:dyDescent="0.25">
      <c r="C275" s="46" t="str">
        <f t="shared" si="9"/>
        <v/>
      </c>
      <c r="D275" s="46" t="str">
        <f t="shared" si="10"/>
        <v/>
      </c>
    </row>
    <row r="276" spans="3:4" ht="15.75" x14ac:dyDescent="0.25">
      <c r="C276" s="46" t="str">
        <f t="shared" si="9"/>
        <v/>
      </c>
      <c r="D276" s="46" t="str">
        <f t="shared" si="10"/>
        <v/>
      </c>
    </row>
    <row r="277" spans="3:4" ht="15.75" x14ac:dyDescent="0.25">
      <c r="C277" s="46" t="str">
        <f t="shared" si="9"/>
        <v/>
      </c>
      <c r="D277" s="46" t="str">
        <f t="shared" si="10"/>
        <v/>
      </c>
    </row>
    <row r="278" spans="3:4" ht="15.75" x14ac:dyDescent="0.25">
      <c r="C278" s="46" t="str">
        <f t="shared" si="9"/>
        <v/>
      </c>
      <c r="D278" s="46" t="str">
        <f t="shared" si="10"/>
        <v/>
      </c>
    </row>
    <row r="279" spans="3:4" ht="15.75" x14ac:dyDescent="0.25">
      <c r="C279" s="46" t="str">
        <f t="shared" si="9"/>
        <v/>
      </c>
      <c r="D279" s="46" t="str">
        <f t="shared" si="10"/>
        <v/>
      </c>
    </row>
    <row r="280" spans="3:4" ht="15.75" x14ac:dyDescent="0.25">
      <c r="C280" s="46" t="str">
        <f t="shared" si="9"/>
        <v/>
      </c>
      <c r="D280" s="46" t="str">
        <f t="shared" si="10"/>
        <v/>
      </c>
    </row>
    <row r="281" spans="3:4" ht="15.75" x14ac:dyDescent="0.25">
      <c r="C281" s="46" t="str">
        <f t="shared" si="9"/>
        <v/>
      </c>
      <c r="D281" s="46" t="str">
        <f t="shared" si="10"/>
        <v/>
      </c>
    </row>
    <row r="282" spans="3:4" ht="15.75" x14ac:dyDescent="0.25">
      <c r="C282" s="46" t="str">
        <f t="shared" si="9"/>
        <v/>
      </c>
      <c r="D282" s="46" t="str">
        <f t="shared" si="10"/>
        <v/>
      </c>
    </row>
    <row r="283" spans="3:4" ht="15.75" x14ac:dyDescent="0.25">
      <c r="C283" s="46" t="str">
        <f t="shared" si="9"/>
        <v/>
      </c>
      <c r="D283" s="46" t="str">
        <f t="shared" si="10"/>
        <v/>
      </c>
    </row>
    <row r="284" spans="3:4" ht="15.75" x14ac:dyDescent="0.25">
      <c r="C284" s="46" t="str">
        <f t="shared" si="9"/>
        <v/>
      </c>
      <c r="D284" s="46" t="str">
        <f t="shared" si="10"/>
        <v/>
      </c>
    </row>
    <row r="285" spans="3:4" ht="15.75" x14ac:dyDescent="0.25">
      <c r="C285" s="46" t="str">
        <f t="shared" si="9"/>
        <v/>
      </c>
      <c r="D285" s="46" t="str">
        <f t="shared" si="10"/>
        <v/>
      </c>
    </row>
    <row r="286" spans="3:4" ht="15.75" x14ac:dyDescent="0.25">
      <c r="C286" s="46" t="str">
        <f t="shared" si="9"/>
        <v/>
      </c>
      <c r="D286" s="46" t="str">
        <f t="shared" si="10"/>
        <v/>
      </c>
    </row>
    <row r="287" spans="3:4" ht="15.75" x14ac:dyDescent="0.25">
      <c r="C287" s="46" t="str">
        <f t="shared" si="9"/>
        <v/>
      </c>
      <c r="D287" s="46" t="str">
        <f t="shared" si="10"/>
        <v/>
      </c>
    </row>
    <row r="288" spans="3:4" ht="15.75" x14ac:dyDescent="0.25">
      <c r="C288" s="46" t="str">
        <f t="shared" si="9"/>
        <v/>
      </c>
      <c r="D288" s="46" t="str">
        <f t="shared" si="10"/>
        <v/>
      </c>
    </row>
    <row r="289" spans="3:4" ht="15.75" x14ac:dyDescent="0.25">
      <c r="C289" s="46" t="str">
        <f t="shared" si="9"/>
        <v/>
      </c>
      <c r="D289" s="46" t="str">
        <f t="shared" si="10"/>
        <v/>
      </c>
    </row>
    <row r="290" spans="3:4" ht="15.75" x14ac:dyDescent="0.25">
      <c r="C290" s="46" t="str">
        <f t="shared" si="9"/>
        <v/>
      </c>
      <c r="D290" s="46" t="str">
        <f t="shared" si="10"/>
        <v/>
      </c>
    </row>
    <row r="291" spans="3:4" ht="15.75" x14ac:dyDescent="0.25">
      <c r="C291" s="46" t="str">
        <f t="shared" si="9"/>
        <v/>
      </c>
      <c r="D291" s="46" t="str">
        <f t="shared" si="10"/>
        <v/>
      </c>
    </row>
    <row r="292" spans="3:4" ht="15.75" x14ac:dyDescent="0.25">
      <c r="C292" s="46" t="str">
        <f t="shared" si="9"/>
        <v/>
      </c>
      <c r="D292" s="46" t="str">
        <f t="shared" si="10"/>
        <v/>
      </c>
    </row>
    <row r="293" spans="3:4" ht="15.75" x14ac:dyDescent="0.25">
      <c r="C293" s="46" t="str">
        <f t="shared" si="9"/>
        <v/>
      </c>
      <c r="D293" s="46" t="str">
        <f t="shared" si="10"/>
        <v/>
      </c>
    </row>
    <row r="294" spans="3:4" ht="15.75" x14ac:dyDescent="0.25">
      <c r="C294" s="46" t="str">
        <f t="shared" si="9"/>
        <v/>
      </c>
      <c r="D294" s="46" t="str">
        <f t="shared" si="10"/>
        <v/>
      </c>
    </row>
    <row r="295" spans="3:4" ht="15.75" x14ac:dyDescent="0.25">
      <c r="C295" s="46" t="str">
        <f t="shared" si="9"/>
        <v/>
      </c>
      <c r="D295" s="46" t="str">
        <f t="shared" si="10"/>
        <v/>
      </c>
    </row>
    <row r="296" spans="3:4" ht="15.75" x14ac:dyDescent="0.25">
      <c r="C296" s="46" t="str">
        <f t="shared" si="9"/>
        <v/>
      </c>
      <c r="D296" s="46" t="str">
        <f t="shared" si="10"/>
        <v/>
      </c>
    </row>
    <row r="297" spans="3:4" ht="15.75" x14ac:dyDescent="0.25">
      <c r="C297" s="46" t="str">
        <f t="shared" si="9"/>
        <v/>
      </c>
      <c r="D297" s="46" t="str">
        <f t="shared" si="10"/>
        <v/>
      </c>
    </row>
    <row r="298" spans="3:4" ht="15.75" x14ac:dyDescent="0.25">
      <c r="C298" s="46" t="str">
        <f t="shared" si="9"/>
        <v/>
      </c>
      <c r="D298" s="46" t="str">
        <f t="shared" si="10"/>
        <v/>
      </c>
    </row>
    <row r="299" spans="3:4" ht="15.75" x14ac:dyDescent="0.25">
      <c r="C299" s="46" t="str">
        <f t="shared" si="9"/>
        <v/>
      </c>
      <c r="D299" s="46" t="str">
        <f t="shared" si="10"/>
        <v/>
      </c>
    </row>
    <row r="300" spans="3:4" ht="15.75" x14ac:dyDescent="0.25">
      <c r="C300" s="46" t="str">
        <f t="shared" si="9"/>
        <v/>
      </c>
      <c r="D300" s="46" t="str">
        <f t="shared" si="10"/>
        <v/>
      </c>
    </row>
    <row r="301" spans="3:4" ht="15.75" x14ac:dyDescent="0.25">
      <c r="C301" s="46" t="str">
        <f t="shared" si="9"/>
        <v/>
      </c>
      <c r="D301" s="46" t="str">
        <f t="shared" si="10"/>
        <v/>
      </c>
    </row>
    <row r="302" spans="3:4" ht="15.75" x14ac:dyDescent="0.25">
      <c r="C302" s="46" t="str">
        <f t="shared" si="9"/>
        <v/>
      </c>
      <c r="D302" s="46" t="str">
        <f t="shared" si="10"/>
        <v/>
      </c>
    </row>
    <row r="303" spans="3:4" ht="15.75" x14ac:dyDescent="0.25">
      <c r="C303" s="46" t="str">
        <f t="shared" si="9"/>
        <v/>
      </c>
      <c r="D303" s="46" t="str">
        <f t="shared" si="10"/>
        <v/>
      </c>
    </row>
    <row r="304" spans="3:4" ht="15.75" x14ac:dyDescent="0.25">
      <c r="C304" s="46" t="str">
        <f t="shared" si="9"/>
        <v/>
      </c>
      <c r="D304" s="46" t="str">
        <f t="shared" si="10"/>
        <v/>
      </c>
    </row>
    <row r="305" spans="3:4" ht="15.75" x14ac:dyDescent="0.25">
      <c r="C305" s="46" t="str">
        <f t="shared" si="9"/>
        <v/>
      </c>
      <c r="D305" s="46" t="str">
        <f t="shared" si="10"/>
        <v/>
      </c>
    </row>
    <row r="306" spans="3:4" ht="15.75" x14ac:dyDescent="0.25">
      <c r="C306" s="46" t="str">
        <f t="shared" si="9"/>
        <v/>
      </c>
      <c r="D306" s="46" t="str">
        <f t="shared" si="10"/>
        <v/>
      </c>
    </row>
    <row r="307" spans="3:4" ht="15.75" x14ac:dyDescent="0.25">
      <c r="C307" s="46" t="str">
        <f t="shared" si="9"/>
        <v/>
      </c>
      <c r="D307" s="46" t="str">
        <f t="shared" si="10"/>
        <v/>
      </c>
    </row>
    <row r="308" spans="3:4" ht="15.75" x14ac:dyDescent="0.25">
      <c r="C308" s="46" t="str">
        <f t="shared" si="9"/>
        <v/>
      </c>
      <c r="D308" s="46" t="str">
        <f t="shared" si="10"/>
        <v/>
      </c>
    </row>
    <row r="309" spans="3:4" ht="15.75" x14ac:dyDescent="0.25">
      <c r="C309" s="46" t="str">
        <f t="shared" si="9"/>
        <v/>
      </c>
      <c r="D309" s="46" t="str">
        <f t="shared" si="10"/>
        <v/>
      </c>
    </row>
    <row r="310" spans="3:4" ht="15.75" x14ac:dyDescent="0.25">
      <c r="C310" s="46" t="str">
        <f t="shared" si="9"/>
        <v/>
      </c>
      <c r="D310" s="46" t="str">
        <f t="shared" si="10"/>
        <v/>
      </c>
    </row>
    <row r="311" spans="3:4" ht="15.75" x14ac:dyDescent="0.25">
      <c r="C311" s="46" t="str">
        <f t="shared" si="9"/>
        <v/>
      </c>
      <c r="D311" s="46" t="str">
        <f t="shared" si="10"/>
        <v/>
      </c>
    </row>
    <row r="312" spans="3:4" ht="15.75" x14ac:dyDescent="0.25">
      <c r="C312" s="46" t="str">
        <f t="shared" si="9"/>
        <v/>
      </c>
      <c r="D312" s="46" t="str">
        <f t="shared" si="10"/>
        <v/>
      </c>
    </row>
    <row r="313" spans="3:4" ht="15.75" x14ac:dyDescent="0.25">
      <c r="C313" s="46" t="str">
        <f t="shared" si="9"/>
        <v/>
      </c>
      <c r="D313" s="46" t="str">
        <f t="shared" si="10"/>
        <v/>
      </c>
    </row>
    <row r="314" spans="3:4" ht="15.75" x14ac:dyDescent="0.25">
      <c r="C314" s="46" t="str">
        <f t="shared" si="9"/>
        <v/>
      </c>
      <c r="D314" s="46" t="str">
        <f t="shared" si="10"/>
        <v/>
      </c>
    </row>
    <row r="315" spans="3:4" ht="15.75" x14ac:dyDescent="0.25">
      <c r="C315" s="46" t="str">
        <f t="shared" si="9"/>
        <v/>
      </c>
      <c r="D315" s="46" t="str">
        <f t="shared" si="10"/>
        <v/>
      </c>
    </row>
    <row r="316" spans="3:4" ht="15.75" x14ac:dyDescent="0.25">
      <c r="C316" s="46" t="str">
        <f t="shared" si="9"/>
        <v/>
      </c>
      <c r="D316" s="46" t="str">
        <f t="shared" si="10"/>
        <v/>
      </c>
    </row>
    <row r="317" spans="3:4" ht="15.75" x14ac:dyDescent="0.25">
      <c r="C317" s="46" t="str">
        <f t="shared" si="9"/>
        <v/>
      </c>
      <c r="D317" s="46" t="str">
        <f t="shared" si="10"/>
        <v/>
      </c>
    </row>
    <row r="318" spans="3:4" ht="15.75" x14ac:dyDescent="0.25">
      <c r="C318" s="46" t="str">
        <f t="shared" si="9"/>
        <v/>
      </c>
      <c r="D318" s="46" t="str">
        <f t="shared" si="10"/>
        <v/>
      </c>
    </row>
    <row r="319" spans="3:4" ht="15.75" x14ac:dyDescent="0.25">
      <c r="C319" s="46" t="str">
        <f t="shared" si="9"/>
        <v/>
      </c>
      <c r="D319" s="46" t="str">
        <f t="shared" si="10"/>
        <v/>
      </c>
    </row>
    <row r="320" spans="3:4" ht="15.75" x14ac:dyDescent="0.25">
      <c r="C320" s="46" t="str">
        <f t="shared" si="9"/>
        <v/>
      </c>
      <c r="D320" s="46" t="str">
        <f t="shared" si="10"/>
        <v/>
      </c>
    </row>
    <row r="321" spans="3:4" ht="15.75" x14ac:dyDescent="0.25">
      <c r="C321" s="46" t="str">
        <f t="shared" si="9"/>
        <v/>
      </c>
      <c r="D321" s="46" t="str">
        <f t="shared" si="10"/>
        <v/>
      </c>
    </row>
    <row r="322" spans="3:4" ht="15.75" x14ac:dyDescent="0.25">
      <c r="C322" s="46" t="str">
        <f t="shared" si="9"/>
        <v/>
      </c>
      <c r="D322" s="46" t="str">
        <f t="shared" si="10"/>
        <v/>
      </c>
    </row>
    <row r="323" spans="3:4" ht="15.75" x14ac:dyDescent="0.25">
      <c r="C323" s="46" t="str">
        <f t="shared" si="9"/>
        <v/>
      </c>
      <c r="D323" s="46" t="str">
        <f t="shared" si="10"/>
        <v/>
      </c>
    </row>
    <row r="324" spans="3:4" ht="15.75" x14ac:dyDescent="0.25">
      <c r="C324" s="46" t="str">
        <f t="shared" si="9"/>
        <v/>
      </c>
      <c r="D324" s="46" t="str">
        <f t="shared" si="10"/>
        <v/>
      </c>
    </row>
    <row r="325" spans="3:4" ht="15.75" x14ac:dyDescent="0.25">
      <c r="C325" s="46" t="str">
        <f t="shared" si="9"/>
        <v/>
      </c>
      <c r="D325" s="46" t="str">
        <f t="shared" si="10"/>
        <v/>
      </c>
    </row>
    <row r="326" spans="3:4" ht="15.75" x14ac:dyDescent="0.25">
      <c r="C326" s="46" t="str">
        <f t="shared" si="9"/>
        <v/>
      </c>
      <c r="D326" s="46" t="str">
        <f t="shared" si="10"/>
        <v/>
      </c>
    </row>
  </sheetData>
  <conditionalFormatting sqref="E7:H42 I7:P11 I13:P14 I17:P42">
    <cfRule type="cellIs" dxfId="39" priority="3" stopIfTrue="1" operator="equal">
      <formula>"YES"</formula>
    </cfRule>
    <cfRule type="cellIs" dxfId="38" priority="4" stopIfTrue="1" operator="equal">
      <formula>"NO"</formula>
    </cfRule>
  </conditionalFormatting>
  <dataValidations count="1">
    <dataValidation type="list" allowBlank="1" showInputMessage="1" showErrorMessage="1" sqref="E7:H42 I13:P14 I7:P11 I17:P42" xr:uid="{00000000-0002-0000-0D00-000000000000}">
      <formula1>$D$1:$D$3</formula1>
    </dataValidation>
  </dataValidations>
  <pageMargins left="0.75" right="0.75" top="1" bottom="1" header="0.4921259845" footer="0.4921259845"/>
  <pageSetup paperSize="9" scale="61"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9">
    <tabColor theme="7"/>
    <pageSetUpPr fitToPage="1"/>
  </sheetPr>
  <dimension ref="A1:AO310"/>
  <sheetViews>
    <sheetView zoomScale="90" zoomScaleNormal="90" workbookViewId="0">
      <pane xSplit="2" ySplit="4" topLeftCell="C1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9.140625" style="40" customWidth="1"/>
    <col min="2" max="2" width="94" style="57" bestFit="1" customWidth="1"/>
    <col min="3" max="4" width="4.42578125" style="40" bestFit="1" customWidth="1"/>
    <col min="5" max="26" width="6.85546875" style="40" customWidth="1"/>
    <col min="27" max="16384" width="9.140625" style="40"/>
  </cols>
  <sheetData>
    <row r="1" spans="1:41" hidden="1" x14ac:dyDescent="0.2">
      <c r="D1" s="40" t="s">
        <v>43</v>
      </c>
    </row>
    <row r="2" spans="1:41" hidden="1" x14ac:dyDescent="0.2">
      <c r="D2" s="40" t="s">
        <v>44</v>
      </c>
    </row>
    <row r="3" spans="1:41" ht="13.5" hidden="1" thickBot="1" x14ac:dyDescent="0.25">
      <c r="D3" s="40" t="s">
        <v>13</v>
      </c>
    </row>
    <row r="4" spans="1:41" ht="88.5" thickTop="1" thickBot="1" x14ac:dyDescent="0.4">
      <c r="A4" s="49"/>
      <c r="B4" s="47" t="s">
        <v>340</v>
      </c>
      <c r="C4" s="43" t="s">
        <v>46</v>
      </c>
      <c r="D4" s="43" t="s">
        <v>47</v>
      </c>
      <c r="E4" s="43" t="s">
        <v>298</v>
      </c>
      <c r="F4" s="43" t="s">
        <v>298</v>
      </c>
      <c r="G4" s="43" t="s">
        <v>298</v>
      </c>
      <c r="H4" s="43" t="s">
        <v>298</v>
      </c>
      <c r="I4" s="43" t="s">
        <v>298</v>
      </c>
      <c r="J4" s="43" t="s">
        <v>298</v>
      </c>
      <c r="K4" s="43" t="s">
        <v>298</v>
      </c>
      <c r="L4" s="43" t="s">
        <v>298</v>
      </c>
      <c r="M4" s="43" t="s">
        <v>298</v>
      </c>
      <c r="N4" s="43" t="s">
        <v>298</v>
      </c>
      <c r="O4" s="43" t="s">
        <v>298</v>
      </c>
      <c r="P4" s="43" t="s">
        <v>298</v>
      </c>
      <c r="Q4" s="43" t="s">
        <v>298</v>
      </c>
      <c r="R4" s="43" t="s">
        <v>298</v>
      </c>
      <c r="S4" s="43" t="s">
        <v>298</v>
      </c>
      <c r="T4" s="43" t="s">
        <v>298</v>
      </c>
      <c r="U4" s="43" t="s">
        <v>298</v>
      </c>
      <c r="V4" s="43" t="s">
        <v>298</v>
      </c>
      <c r="W4" s="43" t="s">
        <v>298</v>
      </c>
      <c r="X4" s="43" t="s">
        <v>298</v>
      </c>
      <c r="Y4" s="43" t="s">
        <v>298</v>
      </c>
      <c r="Z4" s="43" t="s">
        <v>298</v>
      </c>
    </row>
    <row r="5" spans="1:41" s="188" customFormat="1" ht="15.75" thickTop="1" x14ac:dyDescent="0.25">
      <c r="A5" s="74"/>
      <c r="B5" s="186" t="s">
        <v>302</v>
      </c>
      <c r="C5" s="187"/>
      <c r="D5" s="187"/>
      <c r="E5" s="187"/>
      <c r="F5" s="187"/>
      <c r="G5" s="187"/>
      <c r="H5" s="187"/>
      <c r="I5" s="187"/>
      <c r="J5" s="187"/>
      <c r="K5" s="187"/>
      <c r="L5" s="187"/>
      <c r="M5" s="187"/>
      <c r="N5" s="187"/>
      <c r="O5" s="187"/>
      <c r="P5" s="187"/>
      <c r="Q5" s="187"/>
      <c r="R5" s="187"/>
      <c r="S5" s="187"/>
      <c r="T5" s="187"/>
      <c r="U5" s="187"/>
      <c r="V5" s="187"/>
      <c r="W5" s="187"/>
      <c r="X5" s="187"/>
      <c r="Y5" s="187"/>
      <c r="Z5" s="187"/>
    </row>
    <row r="6" spans="1:41" ht="16.5" thickBot="1" x14ac:dyDescent="0.3">
      <c r="A6" s="221"/>
      <c r="B6" s="181" t="s">
        <v>306</v>
      </c>
      <c r="C6" s="71"/>
      <c r="D6" s="71"/>
      <c r="E6" s="72"/>
      <c r="F6" s="72"/>
      <c r="G6" s="72"/>
      <c r="H6" s="72"/>
      <c r="I6" s="72"/>
      <c r="J6" s="72"/>
      <c r="K6" s="72"/>
      <c r="L6" s="72"/>
      <c r="M6" s="72"/>
      <c r="N6" s="72"/>
      <c r="O6" s="72"/>
      <c r="P6" s="72"/>
      <c r="Q6" s="72"/>
      <c r="R6" s="72"/>
      <c r="S6" s="72"/>
      <c r="T6" s="72"/>
      <c r="U6" s="72"/>
      <c r="V6" s="72"/>
      <c r="W6" s="72"/>
      <c r="X6" s="72"/>
      <c r="Y6" s="72"/>
      <c r="Z6" s="72"/>
    </row>
    <row r="7" spans="1:41" ht="16.5" thickBot="1" x14ac:dyDescent="0.3">
      <c r="A7" s="178" t="s">
        <v>48</v>
      </c>
      <c r="B7" s="180" t="s">
        <v>303</v>
      </c>
      <c r="C7" s="71" t="str">
        <f>IF(COUNTIF(E7:BA7,"YES")=0,"",COUNTIF(E7:BA7,"YES"))</f>
        <v/>
      </c>
      <c r="D7" s="71" t="str">
        <f>IF(COUNTIF(E7:BA7,"NO")=0,"",COUNTIF(E7:BA7,"NO"))</f>
        <v/>
      </c>
      <c r="E7" s="72"/>
      <c r="F7" s="72"/>
      <c r="G7" s="72"/>
      <c r="H7" s="72"/>
      <c r="I7" s="72"/>
      <c r="J7" s="72"/>
      <c r="K7" s="72"/>
      <c r="L7" s="72"/>
      <c r="M7" s="72"/>
      <c r="N7" s="72"/>
      <c r="O7" s="72"/>
      <c r="P7" s="72"/>
      <c r="Q7" s="72"/>
      <c r="R7" s="72"/>
      <c r="S7" s="72"/>
      <c r="T7" s="72"/>
      <c r="U7" s="72"/>
      <c r="V7" s="72"/>
      <c r="W7" s="72"/>
      <c r="X7" s="72"/>
      <c r="Y7" s="72"/>
      <c r="Z7" s="72"/>
    </row>
    <row r="8" spans="1:41" ht="26.25" thickBot="1" x14ac:dyDescent="0.3">
      <c r="A8" s="170">
        <v>1</v>
      </c>
      <c r="B8" s="280" t="s">
        <v>494</v>
      </c>
      <c r="C8" s="44"/>
      <c r="D8" s="44"/>
      <c r="E8" s="41"/>
      <c r="F8" s="41"/>
      <c r="G8" s="41"/>
      <c r="H8" s="41"/>
      <c r="I8" s="41"/>
      <c r="J8" s="41"/>
      <c r="K8" s="41"/>
      <c r="L8" s="41"/>
      <c r="M8" s="41"/>
      <c r="N8" s="41"/>
      <c r="O8" s="41"/>
      <c r="P8" s="41"/>
      <c r="Q8" s="41"/>
      <c r="R8" s="41"/>
      <c r="S8" s="41"/>
      <c r="T8" s="41"/>
      <c r="U8" s="41"/>
      <c r="V8" s="41"/>
      <c r="W8" s="41"/>
      <c r="X8" s="41"/>
      <c r="Y8" s="41"/>
      <c r="Z8" s="41"/>
    </row>
    <row r="9" spans="1:41" ht="16.5" thickBot="1" x14ac:dyDescent="0.3">
      <c r="A9" s="179"/>
      <c r="B9" s="180" t="s">
        <v>297</v>
      </c>
      <c r="C9" s="44"/>
      <c r="D9" s="44"/>
      <c r="E9" s="41"/>
      <c r="F9" s="41"/>
      <c r="G9" s="41"/>
      <c r="H9" s="41"/>
      <c r="I9" s="41"/>
      <c r="J9" s="41"/>
      <c r="K9" s="41"/>
      <c r="L9" s="41"/>
      <c r="M9" s="41"/>
      <c r="N9" s="41"/>
      <c r="O9" s="41"/>
      <c r="P9" s="41"/>
      <c r="Q9" s="41"/>
      <c r="R9" s="41"/>
      <c r="S9" s="41"/>
      <c r="T9" s="41"/>
      <c r="U9" s="41"/>
      <c r="V9" s="41"/>
      <c r="W9" s="41"/>
      <c r="X9" s="41"/>
      <c r="Y9" s="41"/>
      <c r="Z9" s="41"/>
    </row>
    <row r="10" spans="1:41" ht="25.5" x14ac:dyDescent="0.25">
      <c r="A10" s="171">
        <v>2</v>
      </c>
      <c r="B10" s="281" t="s">
        <v>495</v>
      </c>
      <c r="C10" s="44"/>
      <c r="D10" s="44"/>
      <c r="E10" s="41"/>
      <c r="F10" s="41"/>
      <c r="G10" s="41"/>
      <c r="H10" s="41"/>
      <c r="I10" s="41"/>
      <c r="J10" s="41"/>
      <c r="K10" s="41"/>
      <c r="L10" s="41"/>
      <c r="M10" s="41"/>
      <c r="N10" s="41"/>
      <c r="O10" s="41"/>
      <c r="P10" s="41"/>
      <c r="Q10" s="41"/>
      <c r="R10" s="41"/>
      <c r="S10" s="41"/>
      <c r="T10" s="41"/>
      <c r="U10" s="41"/>
      <c r="V10" s="41"/>
      <c r="W10" s="41"/>
      <c r="X10" s="41"/>
      <c r="Y10" s="41"/>
      <c r="Z10" s="41"/>
    </row>
    <row r="11" spans="1:41" ht="25.5" x14ac:dyDescent="0.25">
      <c r="A11" s="170">
        <v>3</v>
      </c>
      <c r="B11" s="280" t="s">
        <v>496</v>
      </c>
      <c r="C11" s="44"/>
      <c r="D11" s="44"/>
      <c r="E11" s="41"/>
      <c r="F11" s="41"/>
      <c r="G11" s="41"/>
      <c r="H11" s="41"/>
      <c r="I11" s="41"/>
      <c r="J11" s="41"/>
      <c r="K11" s="41"/>
      <c r="L11" s="41"/>
      <c r="M11" s="41"/>
      <c r="N11" s="41"/>
      <c r="O11" s="41"/>
      <c r="P11" s="41"/>
      <c r="Q11" s="41"/>
      <c r="R11" s="41"/>
      <c r="S11" s="41"/>
      <c r="T11" s="41"/>
      <c r="U11" s="41"/>
      <c r="V11" s="41"/>
      <c r="W11" s="41"/>
      <c r="X11" s="41"/>
      <c r="Y11" s="41"/>
      <c r="Z11" s="41"/>
    </row>
    <row r="12" spans="1:41" ht="39" thickBot="1" x14ac:dyDescent="0.3">
      <c r="A12" s="170">
        <v>4</v>
      </c>
      <c r="B12" s="282" t="s">
        <v>497</v>
      </c>
      <c r="C12" s="44" t="str">
        <f t="shared" ref="C12:C62" si="0">IF(COUNTIF(E12:BA12,"YES")=0,"",COUNTIF(E12:BA12,"YES"))</f>
        <v/>
      </c>
      <c r="D12" s="44" t="str">
        <f t="shared" ref="D12:D62" si="1">IF(COUNTIF(E12:BA12,"NO")=0,"",COUNTIF(E12:BA12,"NO"))</f>
        <v/>
      </c>
      <c r="E12" s="41"/>
      <c r="F12" s="41"/>
      <c r="G12" s="41"/>
      <c r="H12" s="41"/>
      <c r="I12" s="41"/>
      <c r="J12" s="41"/>
      <c r="K12" s="41"/>
      <c r="L12" s="41"/>
      <c r="M12" s="41"/>
      <c r="N12" s="41"/>
      <c r="O12" s="41"/>
      <c r="P12" s="41"/>
      <c r="Q12" s="41"/>
      <c r="R12" s="41"/>
      <c r="S12" s="41"/>
      <c r="T12" s="41"/>
      <c r="U12" s="41"/>
      <c r="V12" s="41"/>
      <c r="W12" s="41"/>
      <c r="X12" s="41"/>
      <c r="Y12" s="41"/>
      <c r="Z12" s="41"/>
    </row>
    <row r="13" spans="1:41" ht="25.5" x14ac:dyDescent="0.25">
      <c r="A13" s="175">
        <v>5</v>
      </c>
      <c r="B13" s="283" t="s">
        <v>498</v>
      </c>
      <c r="C13" s="44" t="str">
        <f t="shared" si="0"/>
        <v/>
      </c>
      <c r="D13" s="44" t="str">
        <f t="shared" si="1"/>
        <v/>
      </c>
      <c r="E13" s="41"/>
      <c r="F13" s="41"/>
      <c r="G13" s="41"/>
      <c r="H13" s="41"/>
      <c r="I13" s="41"/>
      <c r="J13" s="41"/>
      <c r="K13" s="41"/>
      <c r="L13" s="41"/>
      <c r="M13" s="41"/>
      <c r="N13" s="41"/>
      <c r="O13" s="41"/>
      <c r="P13" s="41"/>
      <c r="Q13" s="41"/>
      <c r="R13" s="41"/>
      <c r="S13" s="41"/>
      <c r="T13" s="41"/>
      <c r="U13" s="41"/>
      <c r="V13" s="41"/>
      <c r="W13" s="41"/>
      <c r="X13" s="41"/>
      <c r="Y13" s="41"/>
      <c r="Z13" s="41"/>
    </row>
    <row r="14" spans="1:41" ht="25.5" x14ac:dyDescent="0.25">
      <c r="A14" s="171">
        <v>6</v>
      </c>
      <c r="B14" s="281" t="s">
        <v>499</v>
      </c>
      <c r="C14" s="44" t="str">
        <f t="shared" si="0"/>
        <v/>
      </c>
      <c r="D14" s="44" t="str">
        <f t="shared" si="1"/>
        <v/>
      </c>
      <c r="E14" s="41"/>
      <c r="F14" s="41"/>
      <c r="G14" s="41"/>
      <c r="H14" s="41"/>
      <c r="I14" s="41"/>
      <c r="J14" s="41"/>
      <c r="K14" s="41"/>
      <c r="L14" s="41"/>
      <c r="M14" s="41"/>
      <c r="N14" s="41"/>
      <c r="O14" s="41"/>
      <c r="P14" s="41"/>
      <c r="Q14" s="41"/>
      <c r="R14" s="41"/>
      <c r="S14" s="41"/>
      <c r="T14" s="41"/>
      <c r="U14" s="41"/>
      <c r="V14" s="41"/>
      <c r="W14" s="41"/>
      <c r="X14" s="41"/>
      <c r="Y14" s="41"/>
      <c r="Z14" s="41"/>
    </row>
    <row r="15" spans="1:41" s="176" customFormat="1" ht="38.25" x14ac:dyDescent="0.25">
      <c r="A15" s="175">
        <v>7</v>
      </c>
      <c r="B15" s="283" t="s">
        <v>500</v>
      </c>
      <c r="C15" s="44" t="str">
        <f>IF(COUNTIF(E15:BA15,"YES")=0,"",COUNTIF(E15:BA15,"YES"))</f>
        <v/>
      </c>
      <c r="D15" s="44" t="str">
        <f>IF(COUNTIF(E15:BA15,"NO")=0,"",COUNTIF(E15:BA15,"NO"))</f>
        <v/>
      </c>
      <c r="E15" s="41"/>
      <c r="F15" s="41"/>
      <c r="G15" s="41"/>
      <c r="H15" s="41"/>
      <c r="I15" s="41"/>
      <c r="J15" s="41"/>
      <c r="K15" s="41"/>
      <c r="L15" s="41"/>
      <c r="M15" s="41"/>
      <c r="N15" s="41"/>
      <c r="O15" s="41"/>
      <c r="P15" s="41"/>
      <c r="Q15" s="41"/>
      <c r="R15" s="41"/>
      <c r="S15" s="41"/>
      <c r="T15" s="41"/>
      <c r="U15" s="41"/>
      <c r="V15" s="41"/>
      <c r="W15" s="41"/>
      <c r="X15" s="41"/>
      <c r="Y15" s="41"/>
      <c r="Z15" s="41"/>
      <c r="AA15" s="40"/>
      <c r="AB15" s="40"/>
      <c r="AC15" s="40"/>
      <c r="AD15" s="40"/>
      <c r="AE15" s="40"/>
      <c r="AF15" s="40"/>
      <c r="AG15" s="40"/>
      <c r="AH15" s="40"/>
      <c r="AI15" s="40"/>
      <c r="AJ15" s="40"/>
      <c r="AK15" s="40"/>
      <c r="AL15" s="40"/>
      <c r="AM15" s="40"/>
      <c r="AN15" s="40"/>
      <c r="AO15" s="40"/>
    </row>
    <row r="16" spans="1:41" ht="25.5" x14ac:dyDescent="0.25">
      <c r="A16" s="170">
        <v>8</v>
      </c>
      <c r="B16" s="281" t="s">
        <v>501</v>
      </c>
      <c r="C16" s="44" t="str">
        <f t="shared" si="0"/>
        <v/>
      </c>
      <c r="D16" s="44" t="str">
        <f t="shared" si="1"/>
        <v/>
      </c>
      <c r="E16" s="41"/>
      <c r="F16" s="41"/>
      <c r="G16"/>
      <c r="H16" s="41"/>
      <c r="I16" s="41"/>
      <c r="J16" s="41"/>
      <c r="K16" s="41"/>
      <c r="L16" s="41"/>
      <c r="M16" s="41"/>
      <c r="N16" s="41"/>
      <c r="O16" s="41"/>
      <c r="P16" s="41"/>
      <c r="Q16" s="41"/>
      <c r="R16" s="41"/>
      <c r="S16" s="41"/>
      <c r="T16" s="41"/>
      <c r="U16" s="41"/>
      <c r="V16" s="41"/>
      <c r="W16" s="41"/>
      <c r="X16" s="41"/>
      <c r="Y16" s="41"/>
      <c r="Z16" s="41"/>
    </row>
    <row r="17" spans="1:26" ht="25.5" x14ac:dyDescent="0.25">
      <c r="A17" s="170">
        <v>9</v>
      </c>
      <c r="B17" s="281" t="s">
        <v>502</v>
      </c>
      <c r="C17" s="44" t="str">
        <f t="shared" si="0"/>
        <v/>
      </c>
      <c r="D17" s="44" t="str">
        <f t="shared" si="1"/>
        <v/>
      </c>
      <c r="E17" s="41"/>
      <c r="F17" s="41"/>
      <c r="G17" s="41"/>
      <c r="H17" s="41"/>
      <c r="I17" s="41"/>
      <c r="J17" s="41"/>
      <c r="K17" s="41"/>
      <c r="L17" s="41"/>
      <c r="M17" s="41"/>
      <c r="N17" s="41"/>
      <c r="O17" s="41"/>
      <c r="P17" s="41"/>
      <c r="Q17" s="41"/>
      <c r="R17" s="41"/>
      <c r="S17" s="41"/>
      <c r="T17" s="41"/>
      <c r="U17" s="41"/>
      <c r="V17" s="41"/>
      <c r="W17" s="41"/>
      <c r="X17" s="41"/>
      <c r="Y17" s="41"/>
      <c r="Z17" s="41"/>
    </row>
    <row r="18" spans="1:26" ht="25.5" x14ac:dyDescent="0.25">
      <c r="A18" s="170">
        <v>10</v>
      </c>
      <c r="B18" s="281" t="s">
        <v>503</v>
      </c>
      <c r="C18" s="44" t="str">
        <f t="shared" si="0"/>
        <v/>
      </c>
      <c r="D18" s="44" t="str">
        <f t="shared" si="1"/>
        <v/>
      </c>
      <c r="E18" s="41"/>
      <c r="F18" s="41"/>
      <c r="G18" s="41"/>
      <c r="H18" s="41"/>
      <c r="I18" s="41"/>
      <c r="J18" s="41"/>
      <c r="K18" s="41"/>
      <c r="L18" s="41"/>
      <c r="M18" s="41"/>
      <c r="N18" s="41"/>
      <c r="O18" s="41"/>
      <c r="P18" s="41"/>
      <c r="Q18" s="41"/>
      <c r="R18" s="41"/>
      <c r="S18" s="41"/>
      <c r="T18" s="41"/>
      <c r="U18" s="41"/>
      <c r="V18" s="41"/>
      <c r="W18" s="41"/>
      <c r="X18" s="41"/>
      <c r="Y18" s="41"/>
      <c r="Z18" s="41"/>
    </row>
    <row r="19" spans="1:26" ht="25.5" x14ac:dyDescent="0.25">
      <c r="A19" s="170">
        <v>11</v>
      </c>
      <c r="B19" s="281" t="s">
        <v>504</v>
      </c>
      <c r="C19" s="71" t="str">
        <f t="shared" si="0"/>
        <v/>
      </c>
      <c r="D19" s="71" t="str">
        <f t="shared" si="1"/>
        <v/>
      </c>
      <c r="E19" s="41"/>
      <c r="F19" s="41"/>
      <c r="G19" s="41"/>
      <c r="H19" s="41"/>
      <c r="I19" s="41"/>
      <c r="J19" s="41"/>
      <c r="K19" s="41"/>
      <c r="L19" s="41"/>
      <c r="M19" s="41"/>
      <c r="N19" s="41"/>
      <c r="O19" s="41"/>
      <c r="P19" s="41"/>
      <c r="Q19" s="41"/>
      <c r="R19" s="41"/>
      <c r="S19" s="41"/>
      <c r="T19" s="41"/>
      <c r="U19" s="41"/>
      <c r="V19" s="41"/>
      <c r="W19" s="41"/>
      <c r="X19" s="41"/>
      <c r="Y19" s="41"/>
      <c r="Z19" s="41"/>
    </row>
    <row r="20" spans="1:26" ht="25.5" x14ac:dyDescent="0.25">
      <c r="A20" s="170">
        <v>12</v>
      </c>
      <c r="B20" s="281" t="s">
        <v>505</v>
      </c>
      <c r="C20" s="44" t="str">
        <f t="shared" si="0"/>
        <v/>
      </c>
      <c r="D20" s="44" t="str">
        <f t="shared" si="1"/>
        <v/>
      </c>
      <c r="E20" s="41"/>
      <c r="F20" s="41"/>
      <c r="G20" s="41"/>
      <c r="H20" s="41"/>
      <c r="I20" s="41"/>
      <c r="J20" s="41"/>
      <c r="K20" s="41"/>
      <c r="L20" s="41"/>
      <c r="M20" s="41"/>
      <c r="N20" s="41"/>
      <c r="O20" s="41"/>
      <c r="P20" s="41"/>
      <c r="Q20" s="41"/>
      <c r="R20" s="41"/>
      <c r="S20" s="41"/>
      <c r="T20" s="41"/>
      <c r="U20" s="41"/>
      <c r="V20" s="41"/>
      <c r="W20" s="41"/>
      <c r="X20" s="41"/>
      <c r="Y20" s="41"/>
      <c r="Z20" s="41"/>
    </row>
    <row r="21" spans="1:26" ht="16.5" thickBot="1" x14ac:dyDescent="0.3">
      <c r="A21" s="170">
        <v>13</v>
      </c>
      <c r="B21" s="282" t="s">
        <v>304</v>
      </c>
      <c r="C21" s="44" t="str">
        <f t="shared" si="0"/>
        <v/>
      </c>
      <c r="D21" s="44" t="str">
        <f t="shared" si="1"/>
        <v/>
      </c>
      <c r="E21" s="41"/>
      <c r="F21" s="41"/>
      <c r="G21" s="41"/>
      <c r="H21" s="41"/>
      <c r="I21" s="41"/>
      <c r="J21" s="41"/>
      <c r="K21" s="41"/>
      <c r="L21" s="41"/>
      <c r="M21" s="41"/>
      <c r="N21" s="41"/>
      <c r="O21" s="41"/>
      <c r="P21" s="41"/>
      <c r="Q21" s="41"/>
      <c r="R21" s="41"/>
      <c r="S21" s="41"/>
      <c r="T21" s="41"/>
      <c r="U21" s="41"/>
      <c r="V21" s="41"/>
      <c r="W21" s="41"/>
      <c r="X21" s="41"/>
      <c r="Y21" s="41"/>
      <c r="Z21" s="41"/>
    </row>
    <row r="22" spans="1:26" ht="15.75" x14ac:dyDescent="0.25">
      <c r="C22" s="46" t="str">
        <f t="shared" si="0"/>
        <v/>
      </c>
      <c r="D22" s="46" t="str">
        <f t="shared" si="1"/>
        <v/>
      </c>
    </row>
    <row r="23" spans="1:26" ht="15.75" x14ac:dyDescent="0.25">
      <c r="C23" s="46" t="str">
        <f t="shared" si="0"/>
        <v/>
      </c>
      <c r="D23" s="46" t="str">
        <f t="shared" si="1"/>
        <v/>
      </c>
    </row>
    <row r="24" spans="1:26" ht="15.75" x14ac:dyDescent="0.25">
      <c r="C24" s="46" t="str">
        <f t="shared" si="0"/>
        <v/>
      </c>
      <c r="D24" s="46" t="str">
        <f t="shared" si="1"/>
        <v/>
      </c>
    </row>
    <row r="25" spans="1:26" ht="15.75" x14ac:dyDescent="0.25">
      <c r="C25" s="46" t="str">
        <f t="shared" si="0"/>
        <v/>
      </c>
      <c r="D25" s="46" t="str">
        <f t="shared" si="1"/>
        <v/>
      </c>
    </row>
    <row r="26" spans="1:26" ht="15.75" x14ac:dyDescent="0.25">
      <c r="C26" s="46" t="str">
        <f t="shared" si="0"/>
        <v/>
      </c>
      <c r="D26" s="46" t="str">
        <f t="shared" si="1"/>
        <v/>
      </c>
    </row>
    <row r="27" spans="1:26" ht="15.75" x14ac:dyDescent="0.25">
      <c r="C27" s="46" t="str">
        <f t="shared" si="0"/>
        <v/>
      </c>
      <c r="D27" s="46" t="str">
        <f t="shared" si="1"/>
        <v/>
      </c>
    </row>
    <row r="28" spans="1:26" ht="15.75" x14ac:dyDescent="0.25">
      <c r="C28" s="46" t="str">
        <f t="shared" si="0"/>
        <v/>
      </c>
      <c r="D28" s="46" t="str">
        <f t="shared" si="1"/>
        <v/>
      </c>
    </row>
    <row r="29" spans="1:26" ht="15.75" x14ac:dyDescent="0.25">
      <c r="C29" s="46" t="str">
        <f t="shared" si="0"/>
        <v/>
      </c>
      <c r="D29" s="46" t="str">
        <f t="shared" si="1"/>
        <v/>
      </c>
    </row>
    <row r="30" spans="1:26" ht="15.75" x14ac:dyDescent="0.25">
      <c r="C30" s="46" t="str">
        <f t="shared" si="0"/>
        <v/>
      </c>
      <c r="D30" s="46" t="str">
        <f t="shared" si="1"/>
        <v/>
      </c>
    </row>
    <row r="31" spans="1:26" ht="15.75" x14ac:dyDescent="0.25">
      <c r="C31" s="46" t="str">
        <f t="shared" si="0"/>
        <v/>
      </c>
      <c r="D31" s="46" t="str">
        <f t="shared" si="1"/>
        <v/>
      </c>
    </row>
    <row r="32" spans="1:26" ht="15.75" x14ac:dyDescent="0.25">
      <c r="C32" s="46" t="str">
        <f t="shared" si="0"/>
        <v/>
      </c>
      <c r="D32" s="46" t="str">
        <f t="shared" si="1"/>
        <v/>
      </c>
    </row>
    <row r="33" spans="3:4" ht="15.75" x14ac:dyDescent="0.25">
      <c r="C33" s="46" t="str">
        <f t="shared" si="0"/>
        <v/>
      </c>
      <c r="D33" s="46" t="str">
        <f t="shared" si="1"/>
        <v/>
      </c>
    </row>
    <row r="34" spans="3:4" ht="15.75" x14ac:dyDescent="0.25">
      <c r="C34" s="46" t="str">
        <f t="shared" si="0"/>
        <v/>
      </c>
      <c r="D34" s="46" t="str">
        <f t="shared" si="1"/>
        <v/>
      </c>
    </row>
    <row r="35" spans="3:4" ht="15.75" x14ac:dyDescent="0.25">
      <c r="C35" s="46" t="str">
        <f t="shared" si="0"/>
        <v/>
      </c>
      <c r="D35" s="46" t="str">
        <f t="shared" si="1"/>
        <v/>
      </c>
    </row>
    <row r="36" spans="3:4" ht="15.75" x14ac:dyDescent="0.25">
      <c r="C36" s="46" t="str">
        <f t="shared" si="0"/>
        <v/>
      </c>
      <c r="D36" s="46" t="str">
        <f t="shared" si="1"/>
        <v/>
      </c>
    </row>
    <row r="37" spans="3:4" ht="15.75" x14ac:dyDescent="0.25">
      <c r="C37" s="46" t="str">
        <f t="shared" si="0"/>
        <v/>
      </c>
      <c r="D37" s="46" t="str">
        <f t="shared" si="1"/>
        <v/>
      </c>
    </row>
    <row r="38" spans="3:4" ht="15.75" x14ac:dyDescent="0.25">
      <c r="C38" s="46" t="str">
        <f t="shared" si="0"/>
        <v/>
      </c>
      <c r="D38" s="46" t="str">
        <f t="shared" si="1"/>
        <v/>
      </c>
    </row>
    <row r="39" spans="3:4" ht="15.75" x14ac:dyDescent="0.25">
      <c r="C39" s="46" t="str">
        <f t="shared" si="0"/>
        <v/>
      </c>
      <c r="D39" s="46" t="str">
        <f t="shared" si="1"/>
        <v/>
      </c>
    </row>
    <row r="40" spans="3:4" ht="15.75" x14ac:dyDescent="0.25">
      <c r="C40" s="46" t="str">
        <f t="shared" si="0"/>
        <v/>
      </c>
      <c r="D40" s="46" t="str">
        <f t="shared" si="1"/>
        <v/>
      </c>
    </row>
    <row r="41" spans="3:4" ht="15.75" x14ac:dyDescent="0.25">
      <c r="C41" s="46" t="str">
        <f t="shared" si="0"/>
        <v/>
      </c>
      <c r="D41" s="46" t="str">
        <f t="shared" si="1"/>
        <v/>
      </c>
    </row>
    <row r="42" spans="3:4" ht="15.75" x14ac:dyDescent="0.25">
      <c r="C42" s="46" t="str">
        <f t="shared" si="0"/>
        <v/>
      </c>
      <c r="D42" s="46" t="str">
        <f t="shared" si="1"/>
        <v/>
      </c>
    </row>
    <row r="43" spans="3:4" ht="15.75" x14ac:dyDescent="0.25">
      <c r="C43" s="46" t="str">
        <f t="shared" si="0"/>
        <v/>
      </c>
      <c r="D43" s="46" t="str">
        <f t="shared" si="1"/>
        <v/>
      </c>
    </row>
    <row r="44" spans="3:4" ht="15.75" x14ac:dyDescent="0.25">
      <c r="C44" s="46" t="str">
        <f t="shared" si="0"/>
        <v/>
      </c>
      <c r="D44" s="46" t="str">
        <f t="shared" si="1"/>
        <v/>
      </c>
    </row>
    <row r="45" spans="3:4" ht="15.75" x14ac:dyDescent="0.25">
      <c r="C45" s="46" t="str">
        <f t="shared" si="0"/>
        <v/>
      </c>
      <c r="D45" s="46" t="str">
        <f t="shared" si="1"/>
        <v/>
      </c>
    </row>
    <row r="46" spans="3:4" ht="15.75" x14ac:dyDescent="0.25">
      <c r="C46" s="46" t="str">
        <f t="shared" si="0"/>
        <v/>
      </c>
      <c r="D46" s="46" t="str">
        <f t="shared" si="1"/>
        <v/>
      </c>
    </row>
    <row r="47" spans="3:4" ht="15.75" x14ac:dyDescent="0.25">
      <c r="C47" s="46" t="str">
        <f t="shared" si="0"/>
        <v/>
      </c>
      <c r="D47" s="46" t="str">
        <f t="shared" si="1"/>
        <v/>
      </c>
    </row>
    <row r="48" spans="3:4" ht="15.75" x14ac:dyDescent="0.25">
      <c r="C48" s="46" t="str">
        <f t="shared" si="0"/>
        <v/>
      </c>
      <c r="D48" s="46" t="str">
        <f t="shared" si="1"/>
        <v/>
      </c>
    </row>
    <row r="49" spans="3:4" ht="15.75" x14ac:dyDescent="0.25">
      <c r="C49" s="46" t="str">
        <f t="shared" si="0"/>
        <v/>
      </c>
      <c r="D49" s="46" t="str">
        <f t="shared" si="1"/>
        <v/>
      </c>
    </row>
    <row r="50" spans="3:4" ht="15.75" x14ac:dyDescent="0.25">
      <c r="C50" s="46" t="str">
        <f t="shared" si="0"/>
        <v/>
      </c>
      <c r="D50" s="46" t="str">
        <f t="shared" si="1"/>
        <v/>
      </c>
    </row>
    <row r="51" spans="3:4" ht="15.75" x14ac:dyDescent="0.25">
      <c r="C51" s="46" t="str">
        <f t="shared" si="0"/>
        <v/>
      </c>
      <c r="D51" s="46" t="str">
        <f t="shared" si="1"/>
        <v/>
      </c>
    </row>
    <row r="52" spans="3:4" ht="15.75" x14ac:dyDescent="0.25">
      <c r="C52" s="46" t="str">
        <f t="shared" si="0"/>
        <v/>
      </c>
      <c r="D52" s="46" t="str">
        <f t="shared" si="1"/>
        <v/>
      </c>
    </row>
    <row r="53" spans="3:4" ht="15.75" x14ac:dyDescent="0.25">
      <c r="C53" s="46" t="str">
        <f t="shared" si="0"/>
        <v/>
      </c>
      <c r="D53" s="46" t="str">
        <f t="shared" si="1"/>
        <v/>
      </c>
    </row>
    <row r="54" spans="3:4" ht="15.75" x14ac:dyDescent="0.25">
      <c r="C54" s="46" t="str">
        <f t="shared" si="0"/>
        <v/>
      </c>
      <c r="D54" s="46" t="str">
        <f t="shared" si="1"/>
        <v/>
      </c>
    </row>
    <row r="55" spans="3:4" ht="15.75" x14ac:dyDescent="0.25">
      <c r="C55" s="46" t="str">
        <f t="shared" si="0"/>
        <v/>
      </c>
      <c r="D55" s="46" t="str">
        <f t="shared" si="1"/>
        <v/>
      </c>
    </row>
    <row r="56" spans="3:4" ht="15.75" x14ac:dyDescent="0.25">
      <c r="C56" s="46" t="str">
        <f t="shared" si="0"/>
        <v/>
      </c>
      <c r="D56" s="46" t="str">
        <f t="shared" si="1"/>
        <v/>
      </c>
    </row>
    <row r="57" spans="3:4" ht="15.75" x14ac:dyDescent="0.25">
      <c r="C57" s="46" t="str">
        <f t="shared" si="0"/>
        <v/>
      </c>
      <c r="D57" s="46" t="str">
        <f t="shared" si="1"/>
        <v/>
      </c>
    </row>
    <row r="58" spans="3:4" ht="15.75" x14ac:dyDescent="0.25">
      <c r="C58" s="46" t="str">
        <f t="shared" si="0"/>
        <v/>
      </c>
      <c r="D58" s="46" t="str">
        <f t="shared" si="1"/>
        <v/>
      </c>
    </row>
    <row r="59" spans="3:4" ht="15.75" x14ac:dyDescent="0.25">
      <c r="C59" s="46" t="str">
        <f t="shared" si="0"/>
        <v/>
      </c>
      <c r="D59" s="46" t="str">
        <f t="shared" si="1"/>
        <v/>
      </c>
    </row>
    <row r="60" spans="3:4" ht="15.75" x14ac:dyDescent="0.25">
      <c r="C60" s="46" t="str">
        <f t="shared" si="0"/>
        <v/>
      </c>
      <c r="D60" s="46" t="str">
        <f t="shared" si="1"/>
        <v/>
      </c>
    </row>
    <row r="61" spans="3:4" ht="15.75" x14ac:dyDescent="0.25">
      <c r="C61" s="46" t="str">
        <f t="shared" si="0"/>
        <v/>
      </c>
      <c r="D61" s="46" t="str">
        <f t="shared" si="1"/>
        <v/>
      </c>
    </row>
    <row r="62" spans="3:4" ht="15.75" x14ac:dyDescent="0.25">
      <c r="C62" s="46" t="str">
        <f t="shared" si="0"/>
        <v/>
      </c>
      <c r="D62" s="46" t="str">
        <f t="shared" si="1"/>
        <v/>
      </c>
    </row>
    <row r="63" spans="3:4" ht="15.75" x14ac:dyDescent="0.25">
      <c r="C63" s="46" t="str">
        <f t="shared" ref="C63:C126" si="2">IF(COUNTIF(E63:BA63,"YES")=0,"",COUNTIF(E63:BA63,"YES"))</f>
        <v/>
      </c>
      <c r="D63" s="46" t="str">
        <f t="shared" ref="D63:D126" si="3">IF(COUNTIF(E63:BA63,"NO")=0,"",COUNTIF(E63:BA63,"NO"))</f>
        <v/>
      </c>
    </row>
    <row r="64" spans="3:4" ht="15.75" x14ac:dyDescent="0.25">
      <c r="C64" s="46" t="str">
        <f t="shared" si="2"/>
        <v/>
      </c>
      <c r="D64" s="46" t="str">
        <f t="shared" si="3"/>
        <v/>
      </c>
    </row>
    <row r="65" spans="3:4" ht="15.75" x14ac:dyDescent="0.25">
      <c r="C65" s="46" t="str">
        <f t="shared" si="2"/>
        <v/>
      </c>
      <c r="D65" s="46" t="str">
        <f t="shared" si="3"/>
        <v/>
      </c>
    </row>
    <row r="66" spans="3:4" ht="15.75" x14ac:dyDescent="0.25">
      <c r="C66" s="46" t="str">
        <f t="shared" si="2"/>
        <v/>
      </c>
      <c r="D66" s="46" t="str">
        <f t="shared" si="3"/>
        <v/>
      </c>
    </row>
    <row r="67" spans="3:4" ht="15.75" x14ac:dyDescent="0.25">
      <c r="C67" s="46" t="str">
        <f t="shared" si="2"/>
        <v/>
      </c>
      <c r="D67" s="46" t="str">
        <f t="shared" si="3"/>
        <v/>
      </c>
    </row>
    <row r="68" spans="3:4" ht="15.75" x14ac:dyDescent="0.25">
      <c r="C68" s="46" t="str">
        <f t="shared" si="2"/>
        <v/>
      </c>
      <c r="D68" s="46" t="str">
        <f t="shared" si="3"/>
        <v/>
      </c>
    </row>
    <row r="69" spans="3:4" ht="15.75" x14ac:dyDescent="0.25">
      <c r="C69" s="46" t="str">
        <f t="shared" si="2"/>
        <v/>
      </c>
      <c r="D69" s="46" t="str">
        <f t="shared" si="3"/>
        <v/>
      </c>
    </row>
    <row r="70" spans="3:4" ht="15.75" x14ac:dyDescent="0.25">
      <c r="C70" s="46" t="str">
        <f t="shared" si="2"/>
        <v/>
      </c>
      <c r="D70" s="46" t="str">
        <f t="shared" si="3"/>
        <v/>
      </c>
    </row>
    <row r="71" spans="3:4" ht="15.75" x14ac:dyDescent="0.25">
      <c r="C71" s="46" t="str">
        <f t="shared" si="2"/>
        <v/>
      </c>
      <c r="D71" s="46" t="str">
        <f t="shared" si="3"/>
        <v/>
      </c>
    </row>
    <row r="72" spans="3:4" ht="15.75" x14ac:dyDescent="0.25">
      <c r="C72" s="46" t="str">
        <f t="shared" si="2"/>
        <v/>
      </c>
      <c r="D72" s="46" t="str">
        <f t="shared" si="3"/>
        <v/>
      </c>
    </row>
    <row r="73" spans="3:4" ht="15.75" x14ac:dyDescent="0.25">
      <c r="C73" s="46" t="str">
        <f t="shared" si="2"/>
        <v/>
      </c>
      <c r="D73" s="46" t="str">
        <f t="shared" si="3"/>
        <v/>
      </c>
    </row>
    <row r="74" spans="3:4" ht="15.75" x14ac:dyDescent="0.25">
      <c r="C74" s="46" t="str">
        <f t="shared" si="2"/>
        <v/>
      </c>
      <c r="D74" s="46" t="str">
        <f t="shared" si="3"/>
        <v/>
      </c>
    </row>
    <row r="75" spans="3:4" ht="15.75" x14ac:dyDescent="0.25">
      <c r="C75" s="46" t="str">
        <f t="shared" si="2"/>
        <v/>
      </c>
      <c r="D75" s="46" t="str">
        <f t="shared" si="3"/>
        <v/>
      </c>
    </row>
    <row r="76" spans="3:4" ht="15.75" x14ac:dyDescent="0.25">
      <c r="C76" s="46" t="str">
        <f t="shared" si="2"/>
        <v/>
      </c>
      <c r="D76" s="46" t="str">
        <f t="shared" si="3"/>
        <v/>
      </c>
    </row>
    <row r="77" spans="3:4" ht="15.75" x14ac:dyDescent="0.25">
      <c r="C77" s="46" t="str">
        <f t="shared" si="2"/>
        <v/>
      </c>
      <c r="D77" s="46" t="str">
        <f t="shared" si="3"/>
        <v/>
      </c>
    </row>
    <row r="78" spans="3:4" ht="15.75" x14ac:dyDescent="0.25">
      <c r="C78" s="46" t="str">
        <f t="shared" si="2"/>
        <v/>
      </c>
      <c r="D78" s="46" t="str">
        <f t="shared" si="3"/>
        <v/>
      </c>
    </row>
    <row r="79" spans="3:4" ht="15.75" x14ac:dyDescent="0.25">
      <c r="C79" s="46" t="str">
        <f t="shared" si="2"/>
        <v/>
      </c>
      <c r="D79" s="46" t="str">
        <f t="shared" si="3"/>
        <v/>
      </c>
    </row>
    <row r="80" spans="3:4" ht="15.75" x14ac:dyDescent="0.25">
      <c r="C80" s="46" t="str">
        <f t="shared" si="2"/>
        <v/>
      </c>
      <c r="D80" s="46" t="str">
        <f t="shared" si="3"/>
        <v/>
      </c>
    </row>
    <row r="81" spans="3:4" ht="15.75" x14ac:dyDescent="0.25">
      <c r="C81" s="46" t="str">
        <f t="shared" si="2"/>
        <v/>
      </c>
      <c r="D81" s="46" t="str">
        <f t="shared" si="3"/>
        <v/>
      </c>
    </row>
    <row r="82" spans="3:4" ht="15.75" x14ac:dyDescent="0.25">
      <c r="C82" s="46" t="str">
        <f t="shared" si="2"/>
        <v/>
      </c>
      <c r="D82" s="46" t="str">
        <f t="shared" si="3"/>
        <v/>
      </c>
    </row>
    <row r="83" spans="3:4" ht="15.75" x14ac:dyDescent="0.25">
      <c r="C83" s="46" t="str">
        <f t="shared" si="2"/>
        <v/>
      </c>
      <c r="D83" s="46" t="str">
        <f t="shared" si="3"/>
        <v/>
      </c>
    </row>
    <row r="84" spans="3:4" ht="15.75" x14ac:dyDescent="0.25">
      <c r="C84" s="46" t="str">
        <f t="shared" si="2"/>
        <v/>
      </c>
      <c r="D84" s="46" t="str">
        <f t="shared" si="3"/>
        <v/>
      </c>
    </row>
    <row r="85" spans="3:4" ht="15.75" x14ac:dyDescent="0.25">
      <c r="C85" s="46" t="str">
        <f t="shared" si="2"/>
        <v/>
      </c>
      <c r="D85" s="46" t="str">
        <f t="shared" si="3"/>
        <v/>
      </c>
    </row>
    <row r="86" spans="3:4" ht="15.75" x14ac:dyDescent="0.25">
      <c r="C86" s="46" t="str">
        <f t="shared" si="2"/>
        <v/>
      </c>
      <c r="D86" s="46" t="str">
        <f t="shared" si="3"/>
        <v/>
      </c>
    </row>
    <row r="87" spans="3:4" ht="15.75" x14ac:dyDescent="0.25">
      <c r="C87" s="46" t="str">
        <f t="shared" si="2"/>
        <v/>
      </c>
      <c r="D87" s="46" t="str">
        <f t="shared" si="3"/>
        <v/>
      </c>
    </row>
    <row r="88" spans="3:4" ht="15.75" x14ac:dyDescent="0.25">
      <c r="C88" s="46" t="str">
        <f t="shared" si="2"/>
        <v/>
      </c>
      <c r="D88" s="46" t="str">
        <f t="shared" si="3"/>
        <v/>
      </c>
    </row>
    <row r="89" spans="3:4" ht="15.75" x14ac:dyDescent="0.25">
      <c r="C89" s="46" t="str">
        <f t="shared" si="2"/>
        <v/>
      </c>
      <c r="D89" s="46" t="str">
        <f t="shared" si="3"/>
        <v/>
      </c>
    </row>
    <row r="90" spans="3:4" ht="15.75" x14ac:dyDescent="0.25">
      <c r="C90" s="46" t="str">
        <f t="shared" si="2"/>
        <v/>
      </c>
      <c r="D90" s="46" t="str">
        <f t="shared" si="3"/>
        <v/>
      </c>
    </row>
    <row r="91" spans="3:4" ht="15.75" x14ac:dyDescent="0.25">
      <c r="C91" s="46" t="str">
        <f t="shared" si="2"/>
        <v/>
      </c>
      <c r="D91" s="46" t="str">
        <f t="shared" si="3"/>
        <v/>
      </c>
    </row>
    <row r="92" spans="3:4" ht="15.75" x14ac:dyDescent="0.25">
      <c r="C92" s="46" t="str">
        <f t="shared" si="2"/>
        <v/>
      </c>
      <c r="D92" s="46" t="str">
        <f t="shared" si="3"/>
        <v/>
      </c>
    </row>
    <row r="93" spans="3:4" ht="15.75" x14ac:dyDescent="0.25">
      <c r="C93" s="46" t="str">
        <f t="shared" si="2"/>
        <v/>
      </c>
      <c r="D93" s="46" t="str">
        <f t="shared" si="3"/>
        <v/>
      </c>
    </row>
    <row r="94" spans="3:4" ht="15.75" x14ac:dyDescent="0.25">
      <c r="C94" s="46" t="str">
        <f t="shared" si="2"/>
        <v/>
      </c>
      <c r="D94" s="46" t="str">
        <f t="shared" si="3"/>
        <v/>
      </c>
    </row>
    <row r="95" spans="3:4" ht="15.75" x14ac:dyDescent="0.25">
      <c r="C95" s="46" t="str">
        <f t="shared" si="2"/>
        <v/>
      </c>
      <c r="D95" s="46" t="str">
        <f t="shared" si="3"/>
        <v/>
      </c>
    </row>
    <row r="96" spans="3:4" ht="15.75" x14ac:dyDescent="0.25">
      <c r="C96" s="46" t="str">
        <f t="shared" si="2"/>
        <v/>
      </c>
      <c r="D96" s="46" t="str">
        <f t="shared" si="3"/>
        <v/>
      </c>
    </row>
    <row r="97" spans="3:4" ht="15.75" x14ac:dyDescent="0.25">
      <c r="C97" s="46" t="str">
        <f t="shared" si="2"/>
        <v/>
      </c>
      <c r="D97" s="46" t="str">
        <f t="shared" si="3"/>
        <v/>
      </c>
    </row>
    <row r="98" spans="3:4" ht="15.75" x14ac:dyDescent="0.25">
      <c r="C98" s="46" t="str">
        <f t="shared" si="2"/>
        <v/>
      </c>
      <c r="D98" s="46" t="str">
        <f t="shared" si="3"/>
        <v/>
      </c>
    </row>
    <row r="99" spans="3:4" ht="15.75" x14ac:dyDescent="0.25">
      <c r="C99" s="46" t="str">
        <f t="shared" si="2"/>
        <v/>
      </c>
      <c r="D99" s="46" t="str">
        <f t="shared" si="3"/>
        <v/>
      </c>
    </row>
    <row r="100" spans="3:4" ht="15.75" x14ac:dyDescent="0.25">
      <c r="C100" s="46" t="str">
        <f t="shared" si="2"/>
        <v/>
      </c>
      <c r="D100" s="46" t="str">
        <f t="shared" si="3"/>
        <v/>
      </c>
    </row>
    <row r="101" spans="3:4" ht="15.75" x14ac:dyDescent="0.25">
      <c r="C101" s="46" t="str">
        <f t="shared" si="2"/>
        <v/>
      </c>
      <c r="D101" s="46" t="str">
        <f t="shared" si="3"/>
        <v/>
      </c>
    </row>
    <row r="102" spans="3:4" ht="15.75" x14ac:dyDescent="0.25">
      <c r="C102" s="46" t="str">
        <f t="shared" si="2"/>
        <v/>
      </c>
      <c r="D102" s="46" t="str">
        <f t="shared" si="3"/>
        <v/>
      </c>
    </row>
    <row r="103" spans="3:4" ht="15.75" x14ac:dyDescent="0.25">
      <c r="C103" s="46" t="str">
        <f t="shared" si="2"/>
        <v/>
      </c>
      <c r="D103" s="46" t="str">
        <f t="shared" si="3"/>
        <v/>
      </c>
    </row>
    <row r="104" spans="3:4" ht="15.75" x14ac:dyDescent="0.25">
      <c r="C104" s="46" t="str">
        <f t="shared" si="2"/>
        <v/>
      </c>
      <c r="D104" s="46" t="str">
        <f t="shared" si="3"/>
        <v/>
      </c>
    </row>
    <row r="105" spans="3:4" ht="15.75" x14ac:dyDescent="0.25">
      <c r="C105" s="46" t="str">
        <f t="shared" si="2"/>
        <v/>
      </c>
      <c r="D105" s="46" t="str">
        <f t="shared" si="3"/>
        <v/>
      </c>
    </row>
    <row r="106" spans="3:4" ht="15.75" x14ac:dyDescent="0.25">
      <c r="C106" s="46" t="str">
        <f t="shared" si="2"/>
        <v/>
      </c>
      <c r="D106" s="46" t="str">
        <f t="shared" si="3"/>
        <v/>
      </c>
    </row>
    <row r="107" spans="3:4" ht="15.75" x14ac:dyDescent="0.25">
      <c r="C107" s="46" t="str">
        <f t="shared" si="2"/>
        <v/>
      </c>
      <c r="D107" s="46" t="str">
        <f t="shared" si="3"/>
        <v/>
      </c>
    </row>
    <row r="108" spans="3:4" ht="15.75" x14ac:dyDescent="0.25">
      <c r="C108" s="46" t="str">
        <f t="shared" si="2"/>
        <v/>
      </c>
      <c r="D108" s="46" t="str">
        <f t="shared" si="3"/>
        <v/>
      </c>
    </row>
    <row r="109" spans="3:4" ht="15.75" x14ac:dyDescent="0.25">
      <c r="C109" s="46" t="str">
        <f t="shared" si="2"/>
        <v/>
      </c>
      <c r="D109" s="46" t="str">
        <f t="shared" si="3"/>
        <v/>
      </c>
    </row>
    <row r="110" spans="3:4" ht="15.75" x14ac:dyDescent="0.25">
      <c r="C110" s="46" t="str">
        <f t="shared" si="2"/>
        <v/>
      </c>
      <c r="D110" s="46" t="str">
        <f t="shared" si="3"/>
        <v/>
      </c>
    </row>
    <row r="111" spans="3:4" ht="15.75" x14ac:dyDescent="0.25">
      <c r="C111" s="46" t="str">
        <f t="shared" si="2"/>
        <v/>
      </c>
      <c r="D111" s="46" t="str">
        <f t="shared" si="3"/>
        <v/>
      </c>
    </row>
    <row r="112" spans="3:4" ht="15.75" x14ac:dyDescent="0.25">
      <c r="C112" s="46" t="str">
        <f t="shared" si="2"/>
        <v/>
      </c>
      <c r="D112" s="46" t="str">
        <f t="shared" si="3"/>
        <v/>
      </c>
    </row>
    <row r="113" spans="3:4" ht="15.75" x14ac:dyDescent="0.25">
      <c r="C113" s="46" t="str">
        <f t="shared" si="2"/>
        <v/>
      </c>
      <c r="D113" s="46" t="str">
        <f t="shared" si="3"/>
        <v/>
      </c>
    </row>
    <row r="114" spans="3:4" ht="15.75" x14ac:dyDescent="0.25">
      <c r="C114" s="46" t="str">
        <f t="shared" si="2"/>
        <v/>
      </c>
      <c r="D114" s="46" t="str">
        <f t="shared" si="3"/>
        <v/>
      </c>
    </row>
    <row r="115" spans="3:4" ht="15.75" x14ac:dyDescent="0.25">
      <c r="C115" s="46" t="str">
        <f t="shared" si="2"/>
        <v/>
      </c>
      <c r="D115" s="46" t="str">
        <f t="shared" si="3"/>
        <v/>
      </c>
    </row>
    <row r="116" spans="3:4" ht="15.75" x14ac:dyDescent="0.25">
      <c r="C116" s="46" t="str">
        <f t="shared" si="2"/>
        <v/>
      </c>
      <c r="D116" s="46" t="str">
        <f t="shared" si="3"/>
        <v/>
      </c>
    </row>
    <row r="117" spans="3:4" ht="15.75" x14ac:dyDescent="0.25">
      <c r="C117" s="46" t="str">
        <f t="shared" si="2"/>
        <v/>
      </c>
      <c r="D117" s="46" t="str">
        <f t="shared" si="3"/>
        <v/>
      </c>
    </row>
    <row r="118" spans="3:4" ht="15.75" x14ac:dyDescent="0.25">
      <c r="C118" s="46" t="str">
        <f t="shared" si="2"/>
        <v/>
      </c>
      <c r="D118" s="46" t="str">
        <f t="shared" si="3"/>
        <v/>
      </c>
    </row>
    <row r="119" spans="3:4" ht="15.75" x14ac:dyDescent="0.25">
      <c r="C119" s="46" t="str">
        <f t="shared" si="2"/>
        <v/>
      </c>
      <c r="D119" s="46" t="str">
        <f t="shared" si="3"/>
        <v/>
      </c>
    </row>
    <row r="120" spans="3:4" ht="15.75" x14ac:dyDescent="0.25">
      <c r="C120" s="46" t="str">
        <f t="shared" si="2"/>
        <v/>
      </c>
      <c r="D120" s="46" t="str">
        <f t="shared" si="3"/>
        <v/>
      </c>
    </row>
    <row r="121" spans="3:4" ht="15.75" x14ac:dyDescent="0.25">
      <c r="C121" s="46" t="str">
        <f t="shared" si="2"/>
        <v/>
      </c>
      <c r="D121" s="46" t="str">
        <f t="shared" si="3"/>
        <v/>
      </c>
    </row>
    <row r="122" spans="3:4" ht="15.75" x14ac:dyDescent="0.25">
      <c r="C122" s="46" t="str">
        <f t="shared" si="2"/>
        <v/>
      </c>
      <c r="D122" s="46" t="str">
        <f t="shared" si="3"/>
        <v/>
      </c>
    </row>
    <row r="123" spans="3:4" ht="15.75" x14ac:dyDescent="0.25">
      <c r="C123" s="46" t="str">
        <f t="shared" si="2"/>
        <v/>
      </c>
      <c r="D123" s="46" t="str">
        <f t="shared" si="3"/>
        <v/>
      </c>
    </row>
    <row r="124" spans="3:4" ht="15.75" x14ac:dyDescent="0.25">
      <c r="C124" s="46" t="str">
        <f t="shared" si="2"/>
        <v/>
      </c>
      <c r="D124" s="46" t="str">
        <f t="shared" si="3"/>
        <v/>
      </c>
    </row>
    <row r="125" spans="3:4" ht="15.75" x14ac:dyDescent="0.25">
      <c r="C125" s="46" t="str">
        <f t="shared" si="2"/>
        <v/>
      </c>
      <c r="D125" s="46" t="str">
        <f t="shared" si="3"/>
        <v/>
      </c>
    </row>
    <row r="126" spans="3:4" ht="15.75" x14ac:dyDescent="0.25">
      <c r="C126" s="46" t="str">
        <f t="shared" si="2"/>
        <v/>
      </c>
      <c r="D126" s="46" t="str">
        <f t="shared" si="3"/>
        <v/>
      </c>
    </row>
    <row r="127" spans="3:4" ht="15.75" x14ac:dyDescent="0.25">
      <c r="C127" s="46" t="str">
        <f t="shared" ref="C127:C190" si="4">IF(COUNTIF(E127:BA127,"YES")=0,"",COUNTIF(E127:BA127,"YES"))</f>
        <v/>
      </c>
      <c r="D127" s="46" t="str">
        <f t="shared" ref="D127:D190" si="5">IF(COUNTIF(E127:BA127,"NO")=0,"",COUNTIF(E127:BA127,"NO"))</f>
        <v/>
      </c>
    </row>
    <row r="128" spans="3:4" ht="15.75" x14ac:dyDescent="0.25">
      <c r="C128" s="46" t="str">
        <f t="shared" si="4"/>
        <v/>
      </c>
      <c r="D128" s="46" t="str">
        <f t="shared" si="5"/>
        <v/>
      </c>
    </row>
    <row r="129" spans="3:4" ht="15.75" x14ac:dyDescent="0.25">
      <c r="C129" s="46" t="str">
        <f t="shared" si="4"/>
        <v/>
      </c>
      <c r="D129" s="46" t="str">
        <f t="shared" si="5"/>
        <v/>
      </c>
    </row>
    <row r="130" spans="3:4" ht="15.75" x14ac:dyDescent="0.25">
      <c r="C130" s="46" t="str">
        <f t="shared" si="4"/>
        <v/>
      </c>
      <c r="D130" s="46" t="str">
        <f t="shared" si="5"/>
        <v/>
      </c>
    </row>
    <row r="131" spans="3:4" ht="15.75" x14ac:dyDescent="0.25">
      <c r="C131" s="46" t="str">
        <f t="shared" si="4"/>
        <v/>
      </c>
      <c r="D131" s="46" t="str">
        <f t="shared" si="5"/>
        <v/>
      </c>
    </row>
    <row r="132" spans="3:4" ht="15.75" x14ac:dyDescent="0.25">
      <c r="C132" s="46" t="str">
        <f t="shared" si="4"/>
        <v/>
      </c>
      <c r="D132" s="46" t="str">
        <f t="shared" si="5"/>
        <v/>
      </c>
    </row>
    <row r="133" spans="3:4" ht="15.75" x14ac:dyDescent="0.25">
      <c r="C133" s="46" t="str">
        <f t="shared" si="4"/>
        <v/>
      </c>
      <c r="D133" s="46" t="str">
        <f t="shared" si="5"/>
        <v/>
      </c>
    </row>
    <row r="134" spans="3:4" ht="15.75" x14ac:dyDescent="0.25">
      <c r="C134" s="46" t="str">
        <f t="shared" si="4"/>
        <v/>
      </c>
      <c r="D134" s="46" t="str">
        <f t="shared" si="5"/>
        <v/>
      </c>
    </row>
    <row r="135" spans="3:4" ht="15.75" x14ac:dyDescent="0.25">
      <c r="C135" s="46" t="str">
        <f t="shared" si="4"/>
        <v/>
      </c>
      <c r="D135" s="46" t="str">
        <f t="shared" si="5"/>
        <v/>
      </c>
    </row>
    <row r="136" spans="3:4" ht="15.75" x14ac:dyDescent="0.25">
      <c r="C136" s="46" t="str">
        <f t="shared" si="4"/>
        <v/>
      </c>
      <c r="D136" s="46" t="str">
        <f t="shared" si="5"/>
        <v/>
      </c>
    </row>
    <row r="137" spans="3:4" ht="15.75" x14ac:dyDescent="0.25">
      <c r="C137" s="46" t="str">
        <f t="shared" si="4"/>
        <v/>
      </c>
      <c r="D137" s="46" t="str">
        <f t="shared" si="5"/>
        <v/>
      </c>
    </row>
    <row r="138" spans="3:4" ht="15.75" x14ac:dyDescent="0.25">
      <c r="C138" s="46" t="str">
        <f t="shared" si="4"/>
        <v/>
      </c>
      <c r="D138" s="46" t="str">
        <f t="shared" si="5"/>
        <v/>
      </c>
    </row>
    <row r="139" spans="3:4" ht="15.75" x14ac:dyDescent="0.25">
      <c r="C139" s="46" t="str">
        <f t="shared" si="4"/>
        <v/>
      </c>
      <c r="D139" s="46" t="str">
        <f t="shared" si="5"/>
        <v/>
      </c>
    </row>
    <row r="140" spans="3:4" ht="15.75" x14ac:dyDescent="0.25">
      <c r="C140" s="46" t="str">
        <f t="shared" si="4"/>
        <v/>
      </c>
      <c r="D140" s="46" t="str">
        <f t="shared" si="5"/>
        <v/>
      </c>
    </row>
    <row r="141" spans="3:4" ht="15.75" x14ac:dyDescent="0.25">
      <c r="C141" s="46" t="str">
        <f t="shared" si="4"/>
        <v/>
      </c>
      <c r="D141" s="46" t="str">
        <f t="shared" si="5"/>
        <v/>
      </c>
    </row>
    <row r="142" spans="3:4" ht="15.75" x14ac:dyDescent="0.25">
      <c r="C142" s="46" t="str">
        <f t="shared" si="4"/>
        <v/>
      </c>
      <c r="D142" s="46" t="str">
        <f t="shared" si="5"/>
        <v/>
      </c>
    </row>
    <row r="143" spans="3:4" ht="15.75" x14ac:dyDescent="0.25">
      <c r="C143" s="46" t="str">
        <f t="shared" si="4"/>
        <v/>
      </c>
      <c r="D143" s="46" t="str">
        <f t="shared" si="5"/>
        <v/>
      </c>
    </row>
    <row r="144" spans="3:4" ht="15.75" x14ac:dyDescent="0.25">
      <c r="C144" s="46" t="str">
        <f t="shared" si="4"/>
        <v/>
      </c>
      <c r="D144" s="46" t="str">
        <f t="shared" si="5"/>
        <v/>
      </c>
    </row>
    <row r="145" spans="3:4" ht="15.75" x14ac:dyDescent="0.25">
      <c r="C145" s="46" t="str">
        <f t="shared" si="4"/>
        <v/>
      </c>
      <c r="D145" s="46" t="str">
        <f t="shared" si="5"/>
        <v/>
      </c>
    </row>
    <row r="146" spans="3:4" ht="15.75" x14ac:dyDescent="0.25">
      <c r="C146" s="46" t="str">
        <f t="shared" si="4"/>
        <v/>
      </c>
      <c r="D146" s="46" t="str">
        <f t="shared" si="5"/>
        <v/>
      </c>
    </row>
    <row r="147" spans="3:4" ht="15.75" x14ac:dyDescent="0.25">
      <c r="C147" s="46" t="str">
        <f t="shared" si="4"/>
        <v/>
      </c>
      <c r="D147" s="46" t="str">
        <f t="shared" si="5"/>
        <v/>
      </c>
    </row>
    <row r="148" spans="3:4" ht="15.75" x14ac:dyDescent="0.25">
      <c r="C148" s="46" t="str">
        <f t="shared" si="4"/>
        <v/>
      </c>
      <c r="D148" s="46" t="str">
        <f t="shared" si="5"/>
        <v/>
      </c>
    </row>
    <row r="149" spans="3:4" ht="15.75" x14ac:dyDescent="0.25">
      <c r="C149" s="46" t="str">
        <f t="shared" si="4"/>
        <v/>
      </c>
      <c r="D149" s="46" t="str">
        <f t="shared" si="5"/>
        <v/>
      </c>
    </row>
    <row r="150" spans="3:4" ht="15.75" x14ac:dyDescent="0.25">
      <c r="C150" s="46" t="str">
        <f t="shared" si="4"/>
        <v/>
      </c>
      <c r="D150" s="46" t="str">
        <f t="shared" si="5"/>
        <v/>
      </c>
    </row>
    <row r="151" spans="3:4" ht="15.75" x14ac:dyDescent="0.25">
      <c r="C151" s="46" t="str">
        <f t="shared" si="4"/>
        <v/>
      </c>
      <c r="D151" s="46" t="str">
        <f t="shared" si="5"/>
        <v/>
      </c>
    </row>
    <row r="152" spans="3:4" ht="15.75" x14ac:dyDescent="0.25">
      <c r="C152" s="46" t="str">
        <f t="shared" si="4"/>
        <v/>
      </c>
      <c r="D152" s="46" t="str">
        <f t="shared" si="5"/>
        <v/>
      </c>
    </row>
    <row r="153" spans="3:4" ht="15.75" x14ac:dyDescent="0.25">
      <c r="C153" s="46" t="str">
        <f t="shared" si="4"/>
        <v/>
      </c>
      <c r="D153" s="46" t="str">
        <f t="shared" si="5"/>
        <v/>
      </c>
    </row>
    <row r="154" spans="3:4" ht="15.75" x14ac:dyDescent="0.25">
      <c r="C154" s="46" t="str">
        <f t="shared" si="4"/>
        <v/>
      </c>
      <c r="D154" s="46" t="str">
        <f t="shared" si="5"/>
        <v/>
      </c>
    </row>
    <row r="155" spans="3:4" ht="15.75" x14ac:dyDescent="0.25">
      <c r="C155" s="46" t="str">
        <f t="shared" si="4"/>
        <v/>
      </c>
      <c r="D155" s="46" t="str">
        <f t="shared" si="5"/>
        <v/>
      </c>
    </row>
    <row r="156" spans="3:4" ht="15.75" x14ac:dyDescent="0.25">
      <c r="C156" s="46" t="str">
        <f t="shared" si="4"/>
        <v/>
      </c>
      <c r="D156" s="46" t="str">
        <f t="shared" si="5"/>
        <v/>
      </c>
    </row>
    <row r="157" spans="3:4" ht="15.75" x14ac:dyDescent="0.25">
      <c r="C157" s="46" t="str">
        <f t="shared" si="4"/>
        <v/>
      </c>
      <c r="D157" s="46" t="str">
        <f t="shared" si="5"/>
        <v/>
      </c>
    </row>
    <row r="158" spans="3:4" ht="15.75" x14ac:dyDescent="0.25">
      <c r="C158" s="46" t="str">
        <f t="shared" si="4"/>
        <v/>
      </c>
      <c r="D158" s="46" t="str">
        <f t="shared" si="5"/>
        <v/>
      </c>
    </row>
    <row r="159" spans="3:4" ht="15.75" x14ac:dyDescent="0.25">
      <c r="C159" s="46" t="str">
        <f t="shared" si="4"/>
        <v/>
      </c>
      <c r="D159" s="46" t="str">
        <f t="shared" si="5"/>
        <v/>
      </c>
    </row>
    <row r="160" spans="3:4" ht="15.75" x14ac:dyDescent="0.25">
      <c r="C160" s="46" t="str">
        <f t="shared" si="4"/>
        <v/>
      </c>
      <c r="D160" s="46" t="str">
        <f t="shared" si="5"/>
        <v/>
      </c>
    </row>
    <row r="161" spans="3:4" ht="15.75" x14ac:dyDescent="0.25">
      <c r="C161" s="46" t="str">
        <f t="shared" si="4"/>
        <v/>
      </c>
      <c r="D161" s="46" t="str">
        <f t="shared" si="5"/>
        <v/>
      </c>
    </row>
    <row r="162" spans="3:4" ht="15.75" x14ac:dyDescent="0.25">
      <c r="C162" s="46" t="str">
        <f t="shared" si="4"/>
        <v/>
      </c>
      <c r="D162" s="46" t="str">
        <f t="shared" si="5"/>
        <v/>
      </c>
    </row>
    <row r="163" spans="3:4" ht="15.75" x14ac:dyDescent="0.25">
      <c r="C163" s="46" t="str">
        <f t="shared" si="4"/>
        <v/>
      </c>
      <c r="D163" s="46" t="str">
        <f t="shared" si="5"/>
        <v/>
      </c>
    </row>
    <row r="164" spans="3:4" ht="15.75" x14ac:dyDescent="0.25">
      <c r="C164" s="46" t="str">
        <f t="shared" si="4"/>
        <v/>
      </c>
      <c r="D164" s="46" t="str">
        <f t="shared" si="5"/>
        <v/>
      </c>
    </row>
    <row r="165" spans="3:4" ht="15.75" x14ac:dyDescent="0.25">
      <c r="C165" s="46" t="str">
        <f t="shared" si="4"/>
        <v/>
      </c>
      <c r="D165" s="46" t="str">
        <f t="shared" si="5"/>
        <v/>
      </c>
    </row>
    <row r="166" spans="3:4" ht="15.75" x14ac:dyDescent="0.25">
      <c r="C166" s="46" t="str">
        <f t="shared" si="4"/>
        <v/>
      </c>
      <c r="D166" s="46" t="str">
        <f t="shared" si="5"/>
        <v/>
      </c>
    </row>
    <row r="167" spans="3:4" ht="15.75" x14ac:dyDescent="0.25">
      <c r="C167" s="46" t="str">
        <f t="shared" si="4"/>
        <v/>
      </c>
      <c r="D167" s="46" t="str">
        <f t="shared" si="5"/>
        <v/>
      </c>
    </row>
    <row r="168" spans="3:4" ht="15.75" x14ac:dyDescent="0.25">
      <c r="C168" s="46" t="str">
        <f t="shared" si="4"/>
        <v/>
      </c>
      <c r="D168" s="46" t="str">
        <f t="shared" si="5"/>
        <v/>
      </c>
    </row>
    <row r="169" spans="3:4" ht="15.75" x14ac:dyDescent="0.25">
      <c r="C169" s="46" t="str">
        <f t="shared" si="4"/>
        <v/>
      </c>
      <c r="D169" s="46" t="str">
        <f t="shared" si="5"/>
        <v/>
      </c>
    </row>
    <row r="170" spans="3:4" ht="15.75" x14ac:dyDescent="0.25">
      <c r="C170" s="46" t="str">
        <f t="shared" si="4"/>
        <v/>
      </c>
      <c r="D170" s="46" t="str">
        <f t="shared" si="5"/>
        <v/>
      </c>
    </row>
    <row r="171" spans="3:4" ht="15.75" x14ac:dyDescent="0.25">
      <c r="C171" s="46" t="str">
        <f t="shared" si="4"/>
        <v/>
      </c>
      <c r="D171" s="46" t="str">
        <f t="shared" si="5"/>
        <v/>
      </c>
    </row>
    <row r="172" spans="3:4" ht="15.75" x14ac:dyDescent="0.25">
      <c r="C172" s="46" t="str">
        <f t="shared" si="4"/>
        <v/>
      </c>
      <c r="D172" s="46" t="str">
        <f t="shared" si="5"/>
        <v/>
      </c>
    </row>
    <row r="173" spans="3:4" ht="15.75" x14ac:dyDescent="0.25">
      <c r="C173" s="46" t="str">
        <f t="shared" si="4"/>
        <v/>
      </c>
      <c r="D173" s="46" t="str">
        <f t="shared" si="5"/>
        <v/>
      </c>
    </row>
    <row r="174" spans="3:4" ht="15.75" x14ac:dyDescent="0.25">
      <c r="C174" s="46" t="str">
        <f t="shared" si="4"/>
        <v/>
      </c>
      <c r="D174" s="46" t="str">
        <f t="shared" si="5"/>
        <v/>
      </c>
    </row>
    <row r="175" spans="3:4" ht="15.75" x14ac:dyDescent="0.25">
      <c r="C175" s="46" t="str">
        <f t="shared" si="4"/>
        <v/>
      </c>
      <c r="D175" s="46" t="str">
        <f t="shared" si="5"/>
        <v/>
      </c>
    </row>
    <row r="176" spans="3:4" ht="15.75" x14ac:dyDescent="0.25">
      <c r="C176" s="46" t="str">
        <f t="shared" si="4"/>
        <v/>
      </c>
      <c r="D176" s="46" t="str">
        <f t="shared" si="5"/>
        <v/>
      </c>
    </row>
    <row r="177" spans="3:4" ht="15.75" x14ac:dyDescent="0.25">
      <c r="C177" s="46" t="str">
        <f t="shared" si="4"/>
        <v/>
      </c>
      <c r="D177" s="46" t="str">
        <f t="shared" si="5"/>
        <v/>
      </c>
    </row>
    <row r="178" spans="3:4" ht="15.75" x14ac:dyDescent="0.25">
      <c r="C178" s="46" t="str">
        <f t="shared" si="4"/>
        <v/>
      </c>
      <c r="D178" s="46" t="str">
        <f t="shared" si="5"/>
        <v/>
      </c>
    </row>
    <row r="179" spans="3:4" ht="15.75" x14ac:dyDescent="0.25">
      <c r="C179" s="46" t="str">
        <f t="shared" si="4"/>
        <v/>
      </c>
      <c r="D179" s="46" t="str">
        <f t="shared" si="5"/>
        <v/>
      </c>
    </row>
    <row r="180" spans="3:4" ht="15.75" x14ac:dyDescent="0.25">
      <c r="C180" s="46" t="str">
        <f t="shared" si="4"/>
        <v/>
      </c>
      <c r="D180" s="46" t="str">
        <f t="shared" si="5"/>
        <v/>
      </c>
    </row>
    <row r="181" spans="3:4" ht="15.75" x14ac:dyDescent="0.25">
      <c r="C181" s="46" t="str">
        <f t="shared" si="4"/>
        <v/>
      </c>
      <c r="D181" s="46" t="str">
        <f t="shared" si="5"/>
        <v/>
      </c>
    </row>
    <row r="182" spans="3:4" ht="15.75" x14ac:dyDescent="0.25">
      <c r="C182" s="46" t="str">
        <f t="shared" si="4"/>
        <v/>
      </c>
      <c r="D182" s="46" t="str">
        <f t="shared" si="5"/>
        <v/>
      </c>
    </row>
    <row r="183" spans="3:4" ht="15.75" x14ac:dyDescent="0.25">
      <c r="C183" s="46" t="str">
        <f t="shared" si="4"/>
        <v/>
      </c>
      <c r="D183" s="46" t="str">
        <f t="shared" si="5"/>
        <v/>
      </c>
    </row>
    <row r="184" spans="3:4" ht="15.75" x14ac:dyDescent="0.25">
      <c r="C184" s="46" t="str">
        <f t="shared" si="4"/>
        <v/>
      </c>
      <c r="D184" s="46" t="str">
        <f t="shared" si="5"/>
        <v/>
      </c>
    </row>
    <row r="185" spans="3:4" ht="15.75" x14ac:dyDescent="0.25">
      <c r="C185" s="46" t="str">
        <f t="shared" si="4"/>
        <v/>
      </c>
      <c r="D185" s="46" t="str">
        <f t="shared" si="5"/>
        <v/>
      </c>
    </row>
    <row r="186" spans="3:4" ht="15.75" x14ac:dyDescent="0.25">
      <c r="C186" s="46" t="str">
        <f t="shared" si="4"/>
        <v/>
      </c>
      <c r="D186" s="46" t="str">
        <f t="shared" si="5"/>
        <v/>
      </c>
    </row>
    <row r="187" spans="3:4" ht="15.75" x14ac:dyDescent="0.25">
      <c r="C187" s="46" t="str">
        <f t="shared" si="4"/>
        <v/>
      </c>
      <c r="D187" s="46" t="str">
        <f t="shared" si="5"/>
        <v/>
      </c>
    </row>
    <row r="188" spans="3:4" ht="15.75" x14ac:dyDescent="0.25">
      <c r="C188" s="46" t="str">
        <f t="shared" si="4"/>
        <v/>
      </c>
      <c r="D188" s="46" t="str">
        <f t="shared" si="5"/>
        <v/>
      </c>
    </row>
    <row r="189" spans="3:4" ht="15.75" x14ac:dyDescent="0.25">
      <c r="C189" s="46" t="str">
        <f t="shared" si="4"/>
        <v/>
      </c>
      <c r="D189" s="46" t="str">
        <f t="shared" si="5"/>
        <v/>
      </c>
    </row>
    <row r="190" spans="3:4" ht="15.75" x14ac:dyDescent="0.25">
      <c r="C190" s="46" t="str">
        <f t="shared" si="4"/>
        <v/>
      </c>
      <c r="D190" s="46" t="str">
        <f t="shared" si="5"/>
        <v/>
      </c>
    </row>
    <row r="191" spans="3:4" ht="15.75" x14ac:dyDescent="0.25">
      <c r="C191" s="46" t="str">
        <f t="shared" ref="C191:C254" si="6">IF(COUNTIF(E191:BA191,"YES")=0,"",COUNTIF(E191:BA191,"YES"))</f>
        <v/>
      </c>
      <c r="D191" s="46" t="str">
        <f t="shared" ref="D191:D254" si="7">IF(COUNTIF(E191:BA191,"NO")=0,"",COUNTIF(E191:BA191,"NO"))</f>
        <v/>
      </c>
    </row>
    <row r="192" spans="3:4" ht="15.75" x14ac:dyDescent="0.25">
      <c r="C192" s="46" t="str">
        <f t="shared" si="6"/>
        <v/>
      </c>
      <c r="D192" s="46" t="str">
        <f t="shared" si="7"/>
        <v/>
      </c>
    </row>
    <row r="193" spans="3:4" ht="15.75" x14ac:dyDescent="0.25">
      <c r="C193" s="46" t="str">
        <f t="shared" si="6"/>
        <v/>
      </c>
      <c r="D193" s="46" t="str">
        <f t="shared" si="7"/>
        <v/>
      </c>
    </row>
    <row r="194" spans="3:4" ht="15.75" x14ac:dyDescent="0.25">
      <c r="C194" s="46" t="str">
        <f t="shared" si="6"/>
        <v/>
      </c>
      <c r="D194" s="46" t="str">
        <f t="shared" si="7"/>
        <v/>
      </c>
    </row>
    <row r="195" spans="3:4" ht="15.75" x14ac:dyDescent="0.25">
      <c r="C195" s="46" t="str">
        <f t="shared" si="6"/>
        <v/>
      </c>
      <c r="D195" s="46" t="str">
        <f t="shared" si="7"/>
        <v/>
      </c>
    </row>
    <row r="196" spans="3:4" ht="15.75" x14ac:dyDescent="0.25">
      <c r="C196" s="46" t="str">
        <f t="shared" si="6"/>
        <v/>
      </c>
      <c r="D196" s="46" t="str">
        <f t="shared" si="7"/>
        <v/>
      </c>
    </row>
    <row r="197" spans="3:4" ht="15.75" x14ac:dyDescent="0.25">
      <c r="C197" s="46" t="str">
        <f t="shared" si="6"/>
        <v/>
      </c>
      <c r="D197" s="46" t="str">
        <f t="shared" si="7"/>
        <v/>
      </c>
    </row>
    <row r="198" spans="3:4" ht="15.75" x14ac:dyDescent="0.25">
      <c r="C198" s="46" t="str">
        <f t="shared" si="6"/>
        <v/>
      </c>
      <c r="D198" s="46" t="str">
        <f t="shared" si="7"/>
        <v/>
      </c>
    </row>
    <row r="199" spans="3:4" ht="15.75" x14ac:dyDescent="0.25">
      <c r="C199" s="46" t="str">
        <f t="shared" si="6"/>
        <v/>
      </c>
      <c r="D199" s="46" t="str">
        <f t="shared" si="7"/>
        <v/>
      </c>
    </row>
    <row r="200" spans="3:4" ht="15.75" x14ac:dyDescent="0.25">
      <c r="C200" s="46" t="str">
        <f t="shared" si="6"/>
        <v/>
      </c>
      <c r="D200" s="46" t="str">
        <f t="shared" si="7"/>
        <v/>
      </c>
    </row>
    <row r="201" spans="3:4" ht="15.75" x14ac:dyDescent="0.25">
      <c r="C201" s="46" t="str">
        <f t="shared" si="6"/>
        <v/>
      </c>
      <c r="D201" s="46" t="str">
        <f t="shared" si="7"/>
        <v/>
      </c>
    </row>
    <row r="202" spans="3:4" ht="15.75" x14ac:dyDescent="0.25">
      <c r="C202" s="46" t="str">
        <f t="shared" si="6"/>
        <v/>
      </c>
      <c r="D202" s="46" t="str">
        <f t="shared" si="7"/>
        <v/>
      </c>
    </row>
    <row r="203" spans="3:4" ht="15.75" x14ac:dyDescent="0.25">
      <c r="C203" s="46" t="str">
        <f t="shared" si="6"/>
        <v/>
      </c>
      <c r="D203" s="46" t="str">
        <f t="shared" si="7"/>
        <v/>
      </c>
    </row>
    <row r="204" spans="3:4" ht="15.75" x14ac:dyDescent="0.25">
      <c r="C204" s="46" t="str">
        <f t="shared" si="6"/>
        <v/>
      </c>
      <c r="D204" s="46" t="str">
        <f t="shared" si="7"/>
        <v/>
      </c>
    </row>
    <row r="205" spans="3:4" ht="15.75" x14ac:dyDescent="0.25">
      <c r="C205" s="46" t="str">
        <f t="shared" si="6"/>
        <v/>
      </c>
      <c r="D205" s="46" t="str">
        <f t="shared" si="7"/>
        <v/>
      </c>
    </row>
    <row r="206" spans="3:4" ht="15.75" x14ac:dyDescent="0.25">
      <c r="C206" s="46" t="str">
        <f t="shared" si="6"/>
        <v/>
      </c>
      <c r="D206" s="46" t="str">
        <f t="shared" si="7"/>
        <v/>
      </c>
    </row>
    <row r="207" spans="3:4" ht="15.75" x14ac:dyDescent="0.25">
      <c r="C207" s="46" t="str">
        <f t="shared" si="6"/>
        <v/>
      </c>
      <c r="D207" s="46" t="str">
        <f t="shared" si="7"/>
        <v/>
      </c>
    </row>
    <row r="208" spans="3:4" ht="15.75" x14ac:dyDescent="0.25">
      <c r="C208" s="46" t="str">
        <f t="shared" si="6"/>
        <v/>
      </c>
      <c r="D208" s="46" t="str">
        <f t="shared" si="7"/>
        <v/>
      </c>
    </row>
    <row r="209" spans="3:4" ht="15.75" x14ac:dyDescent="0.25">
      <c r="C209" s="46" t="str">
        <f t="shared" si="6"/>
        <v/>
      </c>
      <c r="D209" s="46" t="str">
        <f t="shared" si="7"/>
        <v/>
      </c>
    </row>
    <row r="210" spans="3:4" ht="15.75" x14ac:dyDescent="0.25">
      <c r="C210" s="46" t="str">
        <f t="shared" si="6"/>
        <v/>
      </c>
      <c r="D210" s="46" t="str">
        <f t="shared" si="7"/>
        <v/>
      </c>
    </row>
    <row r="211" spans="3:4" ht="15.75" x14ac:dyDescent="0.25">
      <c r="C211" s="46" t="str">
        <f t="shared" si="6"/>
        <v/>
      </c>
      <c r="D211" s="46" t="str">
        <f t="shared" si="7"/>
        <v/>
      </c>
    </row>
    <row r="212" spans="3:4" ht="15.75" x14ac:dyDescent="0.25">
      <c r="C212" s="46" t="str">
        <f t="shared" si="6"/>
        <v/>
      </c>
      <c r="D212" s="46" t="str">
        <f t="shared" si="7"/>
        <v/>
      </c>
    </row>
    <row r="213" spans="3:4" ht="15.75" x14ac:dyDescent="0.25">
      <c r="C213" s="46" t="str">
        <f t="shared" si="6"/>
        <v/>
      </c>
      <c r="D213" s="46" t="str">
        <f t="shared" si="7"/>
        <v/>
      </c>
    </row>
    <row r="214" spans="3:4" ht="15.75" x14ac:dyDescent="0.25">
      <c r="C214" s="46" t="str">
        <f t="shared" si="6"/>
        <v/>
      </c>
      <c r="D214" s="46" t="str">
        <f t="shared" si="7"/>
        <v/>
      </c>
    </row>
    <row r="215" spans="3:4" ht="15.75" x14ac:dyDescent="0.25">
      <c r="C215" s="46" t="str">
        <f t="shared" si="6"/>
        <v/>
      </c>
      <c r="D215" s="46" t="str">
        <f t="shared" si="7"/>
        <v/>
      </c>
    </row>
    <row r="216" spans="3:4" ht="15.75" x14ac:dyDescent="0.25">
      <c r="C216" s="46" t="str">
        <f t="shared" si="6"/>
        <v/>
      </c>
      <c r="D216" s="46" t="str">
        <f t="shared" si="7"/>
        <v/>
      </c>
    </row>
    <row r="217" spans="3:4" ht="15.75" x14ac:dyDescent="0.25">
      <c r="C217" s="46" t="str">
        <f t="shared" si="6"/>
        <v/>
      </c>
      <c r="D217" s="46" t="str">
        <f t="shared" si="7"/>
        <v/>
      </c>
    </row>
    <row r="218" spans="3:4" ht="15.75" x14ac:dyDescent="0.25">
      <c r="C218" s="46" t="str">
        <f t="shared" si="6"/>
        <v/>
      </c>
      <c r="D218" s="46" t="str">
        <f t="shared" si="7"/>
        <v/>
      </c>
    </row>
    <row r="219" spans="3:4" ht="15.75" x14ac:dyDescent="0.25">
      <c r="C219" s="46" t="str">
        <f t="shared" si="6"/>
        <v/>
      </c>
      <c r="D219" s="46" t="str">
        <f t="shared" si="7"/>
        <v/>
      </c>
    </row>
    <row r="220" spans="3:4" ht="15.75" x14ac:dyDescent="0.25">
      <c r="C220" s="46" t="str">
        <f t="shared" si="6"/>
        <v/>
      </c>
      <c r="D220" s="46" t="str">
        <f t="shared" si="7"/>
        <v/>
      </c>
    </row>
    <row r="221" spans="3:4" ht="15.75" x14ac:dyDescent="0.25">
      <c r="C221" s="46" t="str">
        <f t="shared" si="6"/>
        <v/>
      </c>
      <c r="D221" s="46" t="str">
        <f t="shared" si="7"/>
        <v/>
      </c>
    </row>
    <row r="222" spans="3:4" ht="15.75" x14ac:dyDescent="0.25">
      <c r="C222" s="46" t="str">
        <f t="shared" si="6"/>
        <v/>
      </c>
      <c r="D222" s="46" t="str">
        <f t="shared" si="7"/>
        <v/>
      </c>
    </row>
    <row r="223" spans="3:4" ht="15.75" x14ac:dyDescent="0.25">
      <c r="C223" s="46" t="str">
        <f t="shared" si="6"/>
        <v/>
      </c>
      <c r="D223" s="46" t="str">
        <f t="shared" si="7"/>
        <v/>
      </c>
    </row>
    <row r="224" spans="3:4" ht="15.75" x14ac:dyDescent="0.25">
      <c r="C224" s="46" t="str">
        <f t="shared" si="6"/>
        <v/>
      </c>
      <c r="D224" s="46" t="str">
        <f t="shared" si="7"/>
        <v/>
      </c>
    </row>
    <row r="225" spans="3:4" ht="15.75" x14ac:dyDescent="0.25">
      <c r="C225" s="46" t="str">
        <f t="shared" si="6"/>
        <v/>
      </c>
      <c r="D225" s="46" t="str">
        <f t="shared" si="7"/>
        <v/>
      </c>
    </row>
    <row r="226" spans="3:4" ht="15.75" x14ac:dyDescent="0.25">
      <c r="C226" s="46" t="str">
        <f t="shared" si="6"/>
        <v/>
      </c>
      <c r="D226" s="46" t="str">
        <f t="shared" si="7"/>
        <v/>
      </c>
    </row>
    <row r="227" spans="3:4" ht="15.75" x14ac:dyDescent="0.25">
      <c r="C227" s="46" t="str">
        <f t="shared" si="6"/>
        <v/>
      </c>
      <c r="D227" s="46" t="str">
        <f t="shared" si="7"/>
        <v/>
      </c>
    </row>
    <row r="228" spans="3:4" ht="15.75" x14ac:dyDescent="0.25">
      <c r="C228" s="46" t="str">
        <f t="shared" si="6"/>
        <v/>
      </c>
      <c r="D228" s="46" t="str">
        <f t="shared" si="7"/>
        <v/>
      </c>
    </row>
    <row r="229" spans="3:4" ht="15.75" x14ac:dyDescent="0.25">
      <c r="C229" s="46" t="str">
        <f t="shared" si="6"/>
        <v/>
      </c>
      <c r="D229" s="46" t="str">
        <f t="shared" si="7"/>
        <v/>
      </c>
    </row>
    <row r="230" spans="3:4" ht="15.75" x14ac:dyDescent="0.25">
      <c r="C230" s="46" t="str">
        <f t="shared" si="6"/>
        <v/>
      </c>
      <c r="D230" s="46" t="str">
        <f t="shared" si="7"/>
        <v/>
      </c>
    </row>
    <row r="231" spans="3:4" ht="15.75" x14ac:dyDescent="0.25">
      <c r="C231" s="46" t="str">
        <f t="shared" si="6"/>
        <v/>
      </c>
      <c r="D231" s="46" t="str">
        <f t="shared" si="7"/>
        <v/>
      </c>
    </row>
    <row r="232" spans="3:4" ht="15.75" x14ac:dyDescent="0.25">
      <c r="C232" s="46" t="str">
        <f t="shared" si="6"/>
        <v/>
      </c>
      <c r="D232" s="46" t="str">
        <f t="shared" si="7"/>
        <v/>
      </c>
    </row>
    <row r="233" spans="3:4" ht="15.75" x14ac:dyDescent="0.25">
      <c r="C233" s="46" t="str">
        <f t="shared" si="6"/>
        <v/>
      </c>
      <c r="D233" s="46" t="str">
        <f t="shared" si="7"/>
        <v/>
      </c>
    </row>
    <row r="234" spans="3:4" ht="15.75" x14ac:dyDescent="0.25">
      <c r="C234" s="46" t="str">
        <f t="shared" si="6"/>
        <v/>
      </c>
      <c r="D234" s="46" t="str">
        <f t="shared" si="7"/>
        <v/>
      </c>
    </row>
    <row r="235" spans="3:4" ht="15.75" x14ac:dyDescent="0.25">
      <c r="C235" s="46" t="str">
        <f t="shared" si="6"/>
        <v/>
      </c>
      <c r="D235" s="46" t="str">
        <f t="shared" si="7"/>
        <v/>
      </c>
    </row>
    <row r="236" spans="3:4" ht="15.75" x14ac:dyDescent="0.25">
      <c r="C236" s="46" t="str">
        <f t="shared" si="6"/>
        <v/>
      </c>
      <c r="D236" s="46" t="str">
        <f t="shared" si="7"/>
        <v/>
      </c>
    </row>
    <row r="237" spans="3:4" ht="15.75" x14ac:dyDescent="0.25">
      <c r="C237" s="46" t="str">
        <f t="shared" si="6"/>
        <v/>
      </c>
      <c r="D237" s="46" t="str">
        <f t="shared" si="7"/>
        <v/>
      </c>
    </row>
    <row r="238" spans="3:4" ht="15.75" x14ac:dyDescent="0.25">
      <c r="C238" s="46" t="str">
        <f t="shared" si="6"/>
        <v/>
      </c>
      <c r="D238" s="46" t="str">
        <f t="shared" si="7"/>
        <v/>
      </c>
    </row>
    <row r="239" spans="3:4" ht="15.75" x14ac:dyDescent="0.25">
      <c r="C239" s="46" t="str">
        <f t="shared" si="6"/>
        <v/>
      </c>
      <c r="D239" s="46" t="str">
        <f t="shared" si="7"/>
        <v/>
      </c>
    </row>
    <row r="240" spans="3:4" ht="15.75" x14ac:dyDescent="0.25">
      <c r="C240" s="46" t="str">
        <f t="shared" si="6"/>
        <v/>
      </c>
      <c r="D240" s="46" t="str">
        <f t="shared" si="7"/>
        <v/>
      </c>
    </row>
    <row r="241" spans="3:4" ht="15.75" x14ac:dyDescent="0.25">
      <c r="C241" s="46" t="str">
        <f t="shared" si="6"/>
        <v/>
      </c>
      <c r="D241" s="46" t="str">
        <f t="shared" si="7"/>
        <v/>
      </c>
    </row>
    <row r="242" spans="3:4" ht="15.75" x14ac:dyDescent="0.25">
      <c r="C242" s="46" t="str">
        <f t="shared" si="6"/>
        <v/>
      </c>
      <c r="D242" s="46" t="str">
        <f t="shared" si="7"/>
        <v/>
      </c>
    </row>
    <row r="243" spans="3:4" ht="15.75" x14ac:dyDescent="0.25">
      <c r="C243" s="46" t="str">
        <f t="shared" si="6"/>
        <v/>
      </c>
      <c r="D243" s="46" t="str">
        <f t="shared" si="7"/>
        <v/>
      </c>
    </row>
    <row r="244" spans="3:4" ht="15.75" x14ac:dyDescent="0.25">
      <c r="C244" s="46" t="str">
        <f t="shared" si="6"/>
        <v/>
      </c>
      <c r="D244" s="46" t="str">
        <f t="shared" si="7"/>
        <v/>
      </c>
    </row>
    <row r="245" spans="3:4" ht="15.75" x14ac:dyDescent="0.25">
      <c r="C245" s="46" t="str">
        <f t="shared" si="6"/>
        <v/>
      </c>
      <c r="D245" s="46" t="str">
        <f t="shared" si="7"/>
        <v/>
      </c>
    </row>
    <row r="246" spans="3:4" ht="15.75" x14ac:dyDescent="0.25">
      <c r="C246" s="46" t="str">
        <f t="shared" si="6"/>
        <v/>
      </c>
      <c r="D246" s="46" t="str">
        <f t="shared" si="7"/>
        <v/>
      </c>
    </row>
    <row r="247" spans="3:4" ht="15.75" x14ac:dyDescent="0.25">
      <c r="C247" s="46" t="str">
        <f t="shared" si="6"/>
        <v/>
      </c>
      <c r="D247" s="46" t="str">
        <f t="shared" si="7"/>
        <v/>
      </c>
    </row>
    <row r="248" spans="3:4" ht="15.75" x14ac:dyDescent="0.25">
      <c r="C248" s="46" t="str">
        <f t="shared" si="6"/>
        <v/>
      </c>
      <c r="D248" s="46" t="str">
        <f t="shared" si="7"/>
        <v/>
      </c>
    </row>
    <row r="249" spans="3:4" ht="15.75" x14ac:dyDescent="0.25">
      <c r="C249" s="46" t="str">
        <f t="shared" si="6"/>
        <v/>
      </c>
      <c r="D249" s="46" t="str">
        <f t="shared" si="7"/>
        <v/>
      </c>
    </row>
    <row r="250" spans="3:4" ht="15.75" x14ac:dyDescent="0.25">
      <c r="C250" s="46" t="str">
        <f t="shared" si="6"/>
        <v/>
      </c>
      <c r="D250" s="46" t="str">
        <f t="shared" si="7"/>
        <v/>
      </c>
    </row>
    <row r="251" spans="3:4" ht="15.75" x14ac:dyDescent="0.25">
      <c r="C251" s="46" t="str">
        <f t="shared" si="6"/>
        <v/>
      </c>
      <c r="D251" s="46" t="str">
        <f t="shared" si="7"/>
        <v/>
      </c>
    </row>
    <row r="252" spans="3:4" ht="15.75" x14ac:dyDescent="0.25">
      <c r="C252" s="46" t="str">
        <f t="shared" si="6"/>
        <v/>
      </c>
      <c r="D252" s="46" t="str">
        <f t="shared" si="7"/>
        <v/>
      </c>
    </row>
    <row r="253" spans="3:4" ht="15.75" x14ac:dyDescent="0.25">
      <c r="C253" s="46" t="str">
        <f t="shared" si="6"/>
        <v/>
      </c>
      <c r="D253" s="46" t="str">
        <f t="shared" si="7"/>
        <v/>
      </c>
    </row>
    <row r="254" spans="3:4" ht="15.75" x14ac:dyDescent="0.25">
      <c r="C254" s="46" t="str">
        <f t="shared" si="6"/>
        <v/>
      </c>
      <c r="D254" s="46" t="str">
        <f t="shared" si="7"/>
        <v/>
      </c>
    </row>
    <row r="255" spans="3:4" ht="15.75" x14ac:dyDescent="0.25">
      <c r="C255" s="46" t="str">
        <f t="shared" ref="C255:C310" si="8">IF(COUNTIF(E255:BA255,"YES")=0,"",COUNTIF(E255:BA255,"YES"))</f>
        <v/>
      </c>
      <c r="D255" s="46" t="str">
        <f t="shared" ref="D255:D310" si="9">IF(COUNTIF(E255:BA255,"NO")=0,"",COUNTIF(E255:BA255,"NO"))</f>
        <v/>
      </c>
    </row>
    <row r="256" spans="3:4" ht="15.75" x14ac:dyDescent="0.25">
      <c r="C256" s="46" t="str">
        <f t="shared" si="8"/>
        <v/>
      </c>
      <c r="D256" s="46" t="str">
        <f t="shared" si="9"/>
        <v/>
      </c>
    </row>
    <row r="257" spans="3:4" ht="15.75" x14ac:dyDescent="0.25">
      <c r="C257" s="46" t="str">
        <f t="shared" si="8"/>
        <v/>
      </c>
      <c r="D257" s="46" t="str">
        <f t="shared" si="9"/>
        <v/>
      </c>
    </row>
    <row r="258" spans="3:4" ht="15.75" x14ac:dyDescent="0.25">
      <c r="C258" s="46" t="str">
        <f t="shared" si="8"/>
        <v/>
      </c>
      <c r="D258" s="46" t="str">
        <f t="shared" si="9"/>
        <v/>
      </c>
    </row>
    <row r="259" spans="3:4" ht="15.75" x14ac:dyDescent="0.25">
      <c r="C259" s="46" t="str">
        <f t="shared" si="8"/>
        <v/>
      </c>
      <c r="D259" s="46" t="str">
        <f t="shared" si="9"/>
        <v/>
      </c>
    </row>
    <row r="260" spans="3:4" ht="15.75" x14ac:dyDescent="0.25">
      <c r="C260" s="46" t="str">
        <f t="shared" si="8"/>
        <v/>
      </c>
      <c r="D260" s="46" t="str">
        <f t="shared" si="9"/>
        <v/>
      </c>
    </row>
    <row r="261" spans="3:4" ht="15.75" x14ac:dyDescent="0.25">
      <c r="C261" s="46" t="str">
        <f t="shared" si="8"/>
        <v/>
      </c>
      <c r="D261" s="46" t="str">
        <f t="shared" si="9"/>
        <v/>
      </c>
    </row>
    <row r="262" spans="3:4" ht="15.75" x14ac:dyDescent="0.25">
      <c r="C262" s="46" t="str">
        <f t="shared" si="8"/>
        <v/>
      </c>
      <c r="D262" s="46" t="str">
        <f t="shared" si="9"/>
        <v/>
      </c>
    </row>
    <row r="263" spans="3:4" ht="15.75" x14ac:dyDescent="0.25">
      <c r="C263" s="46" t="str">
        <f t="shared" si="8"/>
        <v/>
      </c>
      <c r="D263" s="46" t="str">
        <f t="shared" si="9"/>
        <v/>
      </c>
    </row>
    <row r="264" spans="3:4" ht="15.75" x14ac:dyDescent="0.25">
      <c r="C264" s="46" t="str">
        <f t="shared" si="8"/>
        <v/>
      </c>
      <c r="D264" s="46" t="str">
        <f t="shared" si="9"/>
        <v/>
      </c>
    </row>
    <row r="265" spans="3:4" ht="15.75" x14ac:dyDescent="0.25">
      <c r="C265" s="46" t="str">
        <f t="shared" si="8"/>
        <v/>
      </c>
      <c r="D265" s="46" t="str">
        <f t="shared" si="9"/>
        <v/>
      </c>
    </row>
    <row r="266" spans="3:4" ht="15.75" x14ac:dyDescent="0.25">
      <c r="C266" s="46" t="str">
        <f t="shared" si="8"/>
        <v/>
      </c>
      <c r="D266" s="46" t="str">
        <f t="shared" si="9"/>
        <v/>
      </c>
    </row>
    <row r="267" spans="3:4" ht="15.75" x14ac:dyDescent="0.25">
      <c r="C267" s="46" t="str">
        <f t="shared" si="8"/>
        <v/>
      </c>
      <c r="D267" s="46" t="str">
        <f t="shared" si="9"/>
        <v/>
      </c>
    </row>
    <row r="268" spans="3:4" ht="15.75" x14ac:dyDescent="0.25">
      <c r="C268" s="46" t="str">
        <f t="shared" si="8"/>
        <v/>
      </c>
      <c r="D268" s="46" t="str">
        <f t="shared" si="9"/>
        <v/>
      </c>
    </row>
    <row r="269" spans="3:4" ht="15.75" x14ac:dyDescent="0.25">
      <c r="C269" s="46" t="str">
        <f t="shared" si="8"/>
        <v/>
      </c>
      <c r="D269" s="46" t="str">
        <f t="shared" si="9"/>
        <v/>
      </c>
    </row>
    <row r="270" spans="3:4" ht="15.75" x14ac:dyDescent="0.25">
      <c r="C270" s="46" t="str">
        <f t="shared" si="8"/>
        <v/>
      </c>
      <c r="D270" s="46" t="str">
        <f t="shared" si="9"/>
        <v/>
      </c>
    </row>
    <row r="271" spans="3:4" ht="15.75" x14ac:dyDescent="0.25">
      <c r="C271" s="46" t="str">
        <f t="shared" si="8"/>
        <v/>
      </c>
      <c r="D271" s="46" t="str">
        <f t="shared" si="9"/>
        <v/>
      </c>
    </row>
    <row r="272" spans="3:4" ht="15.75" x14ac:dyDescent="0.25">
      <c r="C272" s="46" t="str">
        <f t="shared" si="8"/>
        <v/>
      </c>
      <c r="D272" s="46" t="str">
        <f t="shared" si="9"/>
        <v/>
      </c>
    </row>
    <row r="273" spans="3:4" ht="15.75" x14ac:dyDescent="0.25">
      <c r="C273" s="46" t="str">
        <f t="shared" si="8"/>
        <v/>
      </c>
      <c r="D273" s="46" t="str">
        <f t="shared" si="9"/>
        <v/>
      </c>
    </row>
    <row r="274" spans="3:4" ht="15.75" x14ac:dyDescent="0.25">
      <c r="C274" s="46" t="str">
        <f t="shared" si="8"/>
        <v/>
      </c>
      <c r="D274" s="46" t="str">
        <f t="shared" si="9"/>
        <v/>
      </c>
    </row>
    <row r="275" spans="3:4" ht="15.75" x14ac:dyDescent="0.25">
      <c r="C275" s="46" t="str">
        <f t="shared" si="8"/>
        <v/>
      </c>
      <c r="D275" s="46" t="str">
        <f t="shared" si="9"/>
        <v/>
      </c>
    </row>
    <row r="276" spans="3:4" ht="15.75" x14ac:dyDescent="0.25">
      <c r="C276" s="46" t="str">
        <f t="shared" si="8"/>
        <v/>
      </c>
      <c r="D276" s="46" t="str">
        <f t="shared" si="9"/>
        <v/>
      </c>
    </row>
    <row r="277" spans="3:4" ht="15.75" x14ac:dyDescent="0.25">
      <c r="C277" s="46" t="str">
        <f t="shared" si="8"/>
        <v/>
      </c>
      <c r="D277" s="46" t="str">
        <f t="shared" si="9"/>
        <v/>
      </c>
    </row>
    <row r="278" spans="3:4" ht="15.75" x14ac:dyDescent="0.25">
      <c r="C278" s="46" t="str">
        <f t="shared" si="8"/>
        <v/>
      </c>
      <c r="D278" s="46" t="str">
        <f t="shared" si="9"/>
        <v/>
      </c>
    </row>
    <row r="279" spans="3:4" ht="15.75" x14ac:dyDescent="0.25">
      <c r="C279" s="46" t="str">
        <f t="shared" si="8"/>
        <v/>
      </c>
      <c r="D279" s="46" t="str">
        <f t="shared" si="9"/>
        <v/>
      </c>
    </row>
    <row r="280" spans="3:4" ht="15.75" x14ac:dyDescent="0.25">
      <c r="C280" s="46" t="str">
        <f t="shared" si="8"/>
        <v/>
      </c>
      <c r="D280" s="46" t="str">
        <f t="shared" si="9"/>
        <v/>
      </c>
    </row>
    <row r="281" spans="3:4" ht="15.75" x14ac:dyDescent="0.25">
      <c r="C281" s="46" t="str">
        <f t="shared" si="8"/>
        <v/>
      </c>
      <c r="D281" s="46" t="str">
        <f t="shared" si="9"/>
        <v/>
      </c>
    </row>
    <row r="282" spans="3:4" ht="15.75" x14ac:dyDescent="0.25">
      <c r="C282" s="46" t="str">
        <f t="shared" si="8"/>
        <v/>
      </c>
      <c r="D282" s="46" t="str">
        <f t="shared" si="9"/>
        <v/>
      </c>
    </row>
    <row r="283" spans="3:4" ht="15.75" x14ac:dyDescent="0.25">
      <c r="C283" s="46" t="str">
        <f t="shared" si="8"/>
        <v/>
      </c>
      <c r="D283" s="46" t="str">
        <f t="shared" si="9"/>
        <v/>
      </c>
    </row>
    <row r="284" spans="3:4" ht="15.75" x14ac:dyDescent="0.25">
      <c r="C284" s="46" t="str">
        <f t="shared" si="8"/>
        <v/>
      </c>
      <c r="D284" s="46" t="str">
        <f t="shared" si="9"/>
        <v/>
      </c>
    </row>
    <row r="285" spans="3:4" ht="15.75" x14ac:dyDescent="0.25">
      <c r="C285" s="46" t="str">
        <f t="shared" si="8"/>
        <v/>
      </c>
      <c r="D285" s="46" t="str">
        <f t="shared" si="9"/>
        <v/>
      </c>
    </row>
    <row r="286" spans="3:4" ht="15.75" x14ac:dyDescent="0.25">
      <c r="C286" s="46" t="str">
        <f t="shared" si="8"/>
        <v/>
      </c>
      <c r="D286" s="46" t="str">
        <f t="shared" si="9"/>
        <v/>
      </c>
    </row>
    <row r="287" spans="3:4" ht="15.75" x14ac:dyDescent="0.25">
      <c r="C287" s="46" t="str">
        <f t="shared" si="8"/>
        <v/>
      </c>
      <c r="D287" s="46" t="str">
        <f t="shared" si="9"/>
        <v/>
      </c>
    </row>
    <row r="288" spans="3:4" ht="15.75" x14ac:dyDescent="0.25">
      <c r="C288" s="46" t="str">
        <f t="shared" si="8"/>
        <v/>
      </c>
      <c r="D288" s="46" t="str">
        <f t="shared" si="9"/>
        <v/>
      </c>
    </row>
    <row r="289" spans="3:4" ht="15.75" x14ac:dyDescent="0.25">
      <c r="C289" s="46" t="str">
        <f t="shared" si="8"/>
        <v/>
      </c>
      <c r="D289" s="46" t="str">
        <f t="shared" si="9"/>
        <v/>
      </c>
    </row>
    <row r="290" spans="3:4" ht="15.75" x14ac:dyDescent="0.25">
      <c r="C290" s="46" t="str">
        <f t="shared" si="8"/>
        <v/>
      </c>
      <c r="D290" s="46" t="str">
        <f t="shared" si="9"/>
        <v/>
      </c>
    </row>
    <row r="291" spans="3:4" ht="15.75" x14ac:dyDescent="0.25">
      <c r="C291" s="46" t="str">
        <f t="shared" si="8"/>
        <v/>
      </c>
      <c r="D291" s="46" t="str">
        <f t="shared" si="9"/>
        <v/>
      </c>
    </row>
    <row r="292" spans="3:4" ht="15.75" x14ac:dyDescent="0.25">
      <c r="C292" s="46" t="str">
        <f t="shared" si="8"/>
        <v/>
      </c>
      <c r="D292" s="46" t="str">
        <f t="shared" si="9"/>
        <v/>
      </c>
    </row>
    <row r="293" spans="3:4" ht="15.75" x14ac:dyDescent="0.25">
      <c r="C293" s="46" t="str">
        <f t="shared" si="8"/>
        <v/>
      </c>
      <c r="D293" s="46" t="str">
        <f t="shared" si="9"/>
        <v/>
      </c>
    </row>
    <row r="294" spans="3:4" ht="15.75" x14ac:dyDescent="0.25">
      <c r="C294" s="46" t="str">
        <f t="shared" si="8"/>
        <v/>
      </c>
      <c r="D294" s="46" t="str">
        <f t="shared" si="9"/>
        <v/>
      </c>
    </row>
    <row r="295" spans="3:4" ht="15.75" x14ac:dyDescent="0.25">
      <c r="C295" s="46" t="str">
        <f t="shared" si="8"/>
        <v/>
      </c>
      <c r="D295" s="46" t="str">
        <f t="shared" si="9"/>
        <v/>
      </c>
    </row>
    <row r="296" spans="3:4" ht="15.75" x14ac:dyDescent="0.25">
      <c r="C296" s="46" t="str">
        <f t="shared" si="8"/>
        <v/>
      </c>
      <c r="D296" s="46" t="str">
        <f t="shared" si="9"/>
        <v/>
      </c>
    </row>
    <row r="297" spans="3:4" ht="15.75" x14ac:dyDescent="0.25">
      <c r="C297" s="46" t="str">
        <f t="shared" si="8"/>
        <v/>
      </c>
      <c r="D297" s="46" t="str">
        <f t="shared" si="9"/>
        <v/>
      </c>
    </row>
    <row r="298" spans="3:4" ht="15.75" x14ac:dyDescent="0.25">
      <c r="C298" s="46" t="str">
        <f t="shared" si="8"/>
        <v/>
      </c>
      <c r="D298" s="46" t="str">
        <f t="shared" si="9"/>
        <v/>
      </c>
    </row>
    <row r="299" spans="3:4" ht="15.75" x14ac:dyDescent="0.25">
      <c r="C299" s="46" t="str">
        <f t="shared" si="8"/>
        <v/>
      </c>
      <c r="D299" s="46" t="str">
        <f t="shared" si="9"/>
        <v/>
      </c>
    </row>
    <row r="300" spans="3:4" ht="15.75" x14ac:dyDescent="0.25">
      <c r="C300" s="46" t="str">
        <f t="shared" si="8"/>
        <v/>
      </c>
      <c r="D300" s="46" t="str">
        <f t="shared" si="9"/>
        <v/>
      </c>
    </row>
    <row r="301" spans="3:4" ht="15.75" x14ac:dyDescent="0.25">
      <c r="C301" s="46" t="str">
        <f t="shared" si="8"/>
        <v/>
      </c>
      <c r="D301" s="46" t="str">
        <f t="shared" si="9"/>
        <v/>
      </c>
    </row>
    <row r="302" spans="3:4" ht="15.75" x14ac:dyDescent="0.25">
      <c r="C302" s="46" t="str">
        <f t="shared" si="8"/>
        <v/>
      </c>
      <c r="D302" s="46" t="str">
        <f t="shared" si="9"/>
        <v/>
      </c>
    </row>
    <row r="303" spans="3:4" ht="15.75" x14ac:dyDescent="0.25">
      <c r="C303" s="46" t="str">
        <f t="shared" si="8"/>
        <v/>
      </c>
      <c r="D303" s="46" t="str">
        <f t="shared" si="9"/>
        <v/>
      </c>
    </row>
    <row r="304" spans="3:4" ht="15.75" x14ac:dyDescent="0.25">
      <c r="C304" s="46" t="str">
        <f t="shared" si="8"/>
        <v/>
      </c>
      <c r="D304" s="46" t="str">
        <f t="shared" si="9"/>
        <v/>
      </c>
    </row>
    <row r="305" spans="3:4" ht="15.75" x14ac:dyDescent="0.25">
      <c r="C305" s="46" t="str">
        <f t="shared" si="8"/>
        <v/>
      </c>
      <c r="D305" s="46" t="str">
        <f t="shared" si="9"/>
        <v/>
      </c>
    </row>
    <row r="306" spans="3:4" ht="15.75" x14ac:dyDescent="0.25">
      <c r="C306" s="46" t="str">
        <f t="shared" si="8"/>
        <v/>
      </c>
      <c r="D306" s="46" t="str">
        <f t="shared" si="9"/>
        <v/>
      </c>
    </row>
    <row r="307" spans="3:4" ht="15.75" x14ac:dyDescent="0.25">
      <c r="C307" s="46" t="str">
        <f t="shared" si="8"/>
        <v/>
      </c>
      <c r="D307" s="46" t="str">
        <f t="shared" si="9"/>
        <v/>
      </c>
    </row>
    <row r="308" spans="3:4" ht="15.75" x14ac:dyDescent="0.25">
      <c r="C308" s="46" t="str">
        <f t="shared" si="8"/>
        <v/>
      </c>
      <c r="D308" s="46" t="str">
        <f t="shared" si="9"/>
        <v/>
      </c>
    </row>
    <row r="309" spans="3:4" ht="15.75" x14ac:dyDescent="0.25">
      <c r="C309" s="46" t="str">
        <f t="shared" si="8"/>
        <v/>
      </c>
      <c r="D309" s="46" t="str">
        <f t="shared" si="9"/>
        <v/>
      </c>
    </row>
    <row r="310" spans="3:4" ht="15.75" x14ac:dyDescent="0.25">
      <c r="C310" s="46" t="str">
        <f t="shared" si="8"/>
        <v/>
      </c>
      <c r="D310" s="46" t="str">
        <f t="shared" si="9"/>
        <v/>
      </c>
    </row>
  </sheetData>
  <phoneticPr fontId="4" type="noConversion"/>
  <conditionalFormatting sqref="E6:Z15 E17:Z21 E16:F16 H16:Z16">
    <cfRule type="cellIs" dxfId="37" priority="3" stopIfTrue="1" operator="equal">
      <formula>"YES"</formula>
    </cfRule>
    <cfRule type="cellIs" dxfId="36" priority="4" stopIfTrue="1" operator="equal">
      <formula>"NO"</formula>
    </cfRule>
  </conditionalFormatting>
  <dataValidations count="1">
    <dataValidation type="list" allowBlank="1" showInputMessage="1" showErrorMessage="1" sqref="E6:Z21" xr:uid="{00000000-0002-0000-0E00-000000000000}">
      <formula1>$D$1:$D$3</formula1>
    </dataValidation>
  </dataValidations>
  <hyperlinks>
    <hyperlink ref="B5" r:id="rId1" display="Copied from SW03OTH005 version ALE_2.10n" xr:uid="{00000000-0004-0000-0E00-000000000000}"/>
  </hyperlinks>
  <pageMargins left="0.75" right="0.75" top="1" bottom="1" header="0.4921259845" footer="0.4921259845"/>
  <pageSetup paperSize="9" scale="32" fitToHeight="0"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5">
    <tabColor theme="7"/>
    <pageSetUpPr fitToPage="1"/>
  </sheetPr>
  <dimension ref="A1:AA302"/>
  <sheetViews>
    <sheetView zoomScale="90" zoomScaleNormal="90"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5.5703125" style="40" customWidth="1"/>
    <col min="2" max="2" width="95.28515625" style="40" bestFit="1" customWidth="1"/>
    <col min="3" max="4" width="4.42578125" style="40" bestFit="1" customWidth="1"/>
    <col min="5" max="37" width="7.5703125" style="40" customWidth="1"/>
    <col min="38" max="16384" width="9.140625" style="40"/>
  </cols>
  <sheetData>
    <row r="1" spans="1:27" hidden="1" x14ac:dyDescent="0.2">
      <c r="D1" s="40" t="s">
        <v>43</v>
      </c>
      <c r="E1" s="41"/>
    </row>
    <row r="2" spans="1:27" hidden="1" x14ac:dyDescent="0.2">
      <c r="D2" s="40" t="s">
        <v>44</v>
      </c>
      <c r="E2" s="41"/>
    </row>
    <row r="3" spans="1:27" ht="13.5" hidden="1" thickBot="1" x14ac:dyDescent="0.25">
      <c r="D3" s="40" t="s">
        <v>13</v>
      </c>
      <c r="E3" s="41"/>
    </row>
    <row r="4" spans="1:27" ht="88.5" thickTop="1" thickBot="1" x14ac:dyDescent="0.4">
      <c r="A4" s="42"/>
      <c r="B4" s="172" t="s">
        <v>45</v>
      </c>
      <c r="C4" s="43" t="s">
        <v>46</v>
      </c>
      <c r="D4" s="43" t="s">
        <v>47</v>
      </c>
      <c r="E4" s="43" t="s">
        <v>298</v>
      </c>
      <c r="F4" s="43" t="s">
        <v>298</v>
      </c>
      <c r="G4" s="43" t="s">
        <v>298</v>
      </c>
      <c r="H4" s="43" t="s">
        <v>298</v>
      </c>
      <c r="I4" s="43" t="s">
        <v>298</v>
      </c>
      <c r="J4" s="43" t="s">
        <v>298</v>
      </c>
      <c r="K4" s="43" t="s">
        <v>298</v>
      </c>
      <c r="L4" s="43" t="s">
        <v>298</v>
      </c>
      <c r="M4" s="43" t="s">
        <v>298</v>
      </c>
      <c r="N4" s="43" t="s">
        <v>298</v>
      </c>
      <c r="O4" s="43" t="s">
        <v>298</v>
      </c>
      <c r="P4" s="43" t="s">
        <v>298</v>
      </c>
      <c r="Q4" s="43" t="s">
        <v>298</v>
      </c>
      <c r="R4" s="43" t="s">
        <v>298</v>
      </c>
      <c r="S4" s="43" t="s">
        <v>298</v>
      </c>
      <c r="T4" s="43" t="s">
        <v>298</v>
      </c>
      <c r="U4" s="43" t="s">
        <v>298</v>
      </c>
      <c r="V4" s="43" t="s">
        <v>298</v>
      </c>
      <c r="W4" s="43" t="s">
        <v>298</v>
      </c>
      <c r="X4" s="43" t="s">
        <v>298</v>
      </c>
      <c r="Y4" s="43" t="s">
        <v>298</v>
      </c>
      <c r="Z4" s="43" t="s">
        <v>298</v>
      </c>
      <c r="AA4" s="43" t="s">
        <v>298</v>
      </c>
    </row>
    <row r="5" spans="1:27" s="80" customFormat="1" ht="24" thickTop="1" x14ac:dyDescent="0.35">
      <c r="A5" s="78"/>
      <c r="B5" s="189" t="s">
        <v>296</v>
      </c>
      <c r="C5" s="71" t="str">
        <f t="shared" ref="C5:C45" si="0">IF(COUNTIF(E5:BA5,"YES")=0,"",COUNTIF(E5:BA5,"YES"))</f>
        <v/>
      </c>
      <c r="D5" s="71" t="str">
        <f t="shared" ref="D5:D45" si="1">IF(COUNTIF(E5:BA5,"NO")=0,"",COUNTIF(E5:BA5,"NO"))</f>
        <v/>
      </c>
      <c r="E5" s="72"/>
      <c r="F5" s="72"/>
      <c r="G5" s="72"/>
      <c r="H5" s="72"/>
      <c r="I5" s="72"/>
      <c r="J5" s="72"/>
      <c r="K5" s="72"/>
      <c r="L5" s="72"/>
      <c r="M5" s="72"/>
      <c r="N5" s="72"/>
      <c r="O5" s="72"/>
      <c r="P5" s="72"/>
      <c r="Q5" s="72"/>
      <c r="R5" s="72"/>
      <c r="S5" s="72"/>
      <c r="T5" s="72"/>
      <c r="U5" s="72"/>
      <c r="V5" s="72"/>
      <c r="W5" s="72"/>
      <c r="X5" s="72"/>
      <c r="Y5" s="72"/>
      <c r="Z5" s="72"/>
      <c r="AA5" s="72"/>
    </row>
    <row r="6" spans="1:27" s="80" customFormat="1" ht="16.5" thickBot="1" x14ac:dyDescent="0.3">
      <c r="A6" s="173"/>
      <c r="B6" s="181" t="s">
        <v>306</v>
      </c>
      <c r="C6" s="71" t="str">
        <f t="shared" si="0"/>
        <v/>
      </c>
      <c r="D6" s="71" t="str">
        <f t="shared" si="1"/>
        <v/>
      </c>
      <c r="E6" s="72"/>
      <c r="F6" s="72"/>
      <c r="G6" s="72"/>
      <c r="H6" s="72"/>
      <c r="I6" s="72"/>
      <c r="J6" s="72"/>
      <c r="K6" s="72"/>
      <c r="L6" s="72"/>
      <c r="M6" s="72"/>
      <c r="N6" s="72"/>
      <c r="O6" s="72"/>
      <c r="P6" s="72"/>
      <c r="Q6" s="72"/>
      <c r="R6" s="72"/>
      <c r="S6" s="72"/>
      <c r="T6" s="72"/>
      <c r="U6" s="72"/>
      <c r="V6" s="72"/>
      <c r="W6" s="72"/>
      <c r="X6" s="72"/>
      <c r="Y6" s="72"/>
      <c r="Z6" s="72"/>
      <c r="AA6" s="72"/>
    </row>
    <row r="7" spans="1:27" s="80" customFormat="1" ht="16.5" thickBot="1" x14ac:dyDescent="0.3">
      <c r="A7" s="174" t="s">
        <v>48</v>
      </c>
      <c r="B7" s="174" t="s">
        <v>297</v>
      </c>
      <c r="C7" s="71" t="str">
        <f t="shared" si="0"/>
        <v/>
      </c>
      <c r="D7" s="71" t="str">
        <f t="shared" si="1"/>
        <v/>
      </c>
      <c r="E7" s="72"/>
      <c r="F7" s="72"/>
      <c r="G7" s="72"/>
      <c r="H7" s="72"/>
      <c r="I7" s="72"/>
      <c r="J7" s="72"/>
      <c r="K7" s="72"/>
      <c r="L7" s="72"/>
      <c r="M7" s="72"/>
      <c r="N7" s="72"/>
      <c r="O7" s="72"/>
      <c r="P7" s="72"/>
      <c r="Q7" s="72"/>
      <c r="R7" s="72"/>
      <c r="S7" s="72"/>
      <c r="T7" s="72"/>
      <c r="U7" s="72"/>
      <c r="V7" s="72"/>
      <c r="W7" s="72"/>
      <c r="X7" s="72"/>
      <c r="Y7" s="72"/>
      <c r="Z7" s="72"/>
      <c r="AA7" s="72"/>
    </row>
    <row r="8" spans="1:27" ht="25.5" x14ac:dyDescent="0.25">
      <c r="A8" s="170">
        <v>1</v>
      </c>
      <c r="B8" s="284" t="s">
        <v>506</v>
      </c>
      <c r="C8" s="44" t="str">
        <f t="shared" si="0"/>
        <v/>
      </c>
      <c r="D8" s="44" t="str">
        <f t="shared" si="1"/>
        <v/>
      </c>
      <c r="E8" s="41"/>
      <c r="F8" s="41"/>
      <c r="G8" s="41"/>
      <c r="H8" s="41"/>
      <c r="I8" s="41"/>
      <c r="J8" s="41"/>
      <c r="K8" s="41"/>
      <c r="L8" s="41"/>
      <c r="M8" s="41"/>
      <c r="N8" s="41"/>
      <c r="O8" s="41"/>
      <c r="P8" s="41"/>
      <c r="Q8" s="41"/>
      <c r="R8" s="41"/>
      <c r="S8" s="41"/>
      <c r="T8" s="41"/>
      <c r="U8" s="41"/>
      <c r="V8" s="41"/>
      <c r="W8" s="41"/>
      <c r="X8" s="41"/>
      <c r="Y8" s="41"/>
      <c r="Z8" s="41"/>
      <c r="AA8" s="41"/>
    </row>
    <row r="9" spans="1:27" ht="25.5" x14ac:dyDescent="0.25">
      <c r="A9" s="171">
        <v>2</v>
      </c>
      <c r="B9" s="283" t="s">
        <v>507</v>
      </c>
      <c r="C9" s="44" t="str">
        <f t="shared" si="0"/>
        <v/>
      </c>
      <c r="D9" s="44" t="str">
        <f t="shared" si="1"/>
        <v/>
      </c>
      <c r="E9" s="41"/>
      <c r="F9" s="41"/>
      <c r="G9" s="41"/>
      <c r="H9" s="41"/>
      <c r="I9" s="41"/>
      <c r="J9" s="41"/>
      <c r="K9" s="41"/>
      <c r="L9" s="41"/>
      <c r="M9" s="41"/>
      <c r="N9" s="41"/>
      <c r="O9" s="41"/>
      <c r="P9" s="41"/>
      <c r="Q9" s="41"/>
      <c r="R9" s="41"/>
      <c r="S9" s="41"/>
      <c r="T9" s="41"/>
      <c r="U9" s="41"/>
      <c r="V9" s="41"/>
      <c r="W9" s="41"/>
      <c r="X9" s="41"/>
      <c r="Y9" s="41"/>
      <c r="Z9" s="41"/>
      <c r="AA9" s="41"/>
    </row>
    <row r="10" spans="1:27" ht="25.5" x14ac:dyDescent="0.25">
      <c r="A10" s="170">
        <v>3</v>
      </c>
      <c r="B10" s="285" t="s">
        <v>508</v>
      </c>
      <c r="C10" s="44" t="str">
        <f t="shared" si="0"/>
        <v/>
      </c>
      <c r="D10" s="44" t="str">
        <f t="shared" si="1"/>
        <v/>
      </c>
      <c r="E10" s="41"/>
      <c r="F10" s="41"/>
      <c r="G10" s="41"/>
      <c r="H10" s="41"/>
      <c r="I10" s="41"/>
      <c r="J10" s="41"/>
      <c r="K10" s="41"/>
      <c r="L10" s="41"/>
      <c r="M10" s="41"/>
      <c r="N10" s="41"/>
      <c r="O10" s="41"/>
      <c r="P10" s="41"/>
      <c r="Q10" s="41"/>
      <c r="R10" s="41"/>
      <c r="S10" s="41"/>
      <c r="T10" s="41"/>
      <c r="U10" s="41"/>
      <c r="V10" s="41"/>
      <c r="W10" s="41"/>
      <c r="X10" s="41"/>
      <c r="Y10" s="41"/>
      <c r="Z10" s="41"/>
      <c r="AA10" s="41"/>
    </row>
    <row r="11" spans="1:27" ht="36.75" customHeight="1" x14ac:dyDescent="0.25">
      <c r="A11" s="171">
        <v>4</v>
      </c>
      <c r="B11" s="286" t="s">
        <v>509</v>
      </c>
      <c r="C11" s="44" t="str">
        <f t="shared" si="0"/>
        <v/>
      </c>
      <c r="D11" s="44" t="str">
        <f t="shared" si="1"/>
        <v/>
      </c>
      <c r="E11" s="41"/>
      <c r="F11" s="41"/>
      <c r="G11" s="41"/>
      <c r="H11" s="41"/>
      <c r="I11" s="41"/>
      <c r="J11" s="41"/>
      <c r="K11" s="41"/>
      <c r="L11" s="41"/>
      <c r="M11" s="41"/>
      <c r="N11" s="41"/>
      <c r="O11" s="41"/>
      <c r="P11" s="41"/>
      <c r="Q11" s="41"/>
      <c r="R11" s="41"/>
      <c r="S11" s="41"/>
      <c r="T11" s="41"/>
      <c r="U11" s="41"/>
      <c r="V11" s="41"/>
      <c r="W11" s="41"/>
      <c r="X11" s="41"/>
      <c r="Y11" s="41"/>
      <c r="Z11" s="41"/>
      <c r="AA11" s="41"/>
    </row>
    <row r="12" spans="1:27" ht="51" x14ac:dyDescent="0.25">
      <c r="A12" s="170">
        <v>5</v>
      </c>
      <c r="B12" s="286" t="s">
        <v>510</v>
      </c>
      <c r="C12" s="44" t="str">
        <f t="shared" si="0"/>
        <v/>
      </c>
      <c r="D12" s="44" t="str">
        <f t="shared" si="1"/>
        <v/>
      </c>
      <c r="E12" s="41"/>
      <c r="F12" s="41"/>
      <c r="G12" s="41"/>
      <c r="H12" s="41"/>
      <c r="I12" s="41"/>
      <c r="J12" s="41"/>
      <c r="K12" s="41"/>
      <c r="L12" s="41"/>
      <c r="M12" s="41"/>
      <c r="N12" s="41"/>
      <c r="O12" s="41"/>
      <c r="P12" s="41"/>
      <c r="Q12" s="41"/>
      <c r="R12" s="41"/>
      <c r="S12" s="41"/>
      <c r="T12" s="41"/>
      <c r="U12" s="41"/>
      <c r="V12" s="41"/>
      <c r="W12" s="41"/>
      <c r="X12" s="41"/>
      <c r="Y12" s="41"/>
      <c r="Z12" s="41"/>
      <c r="AA12" s="41"/>
    </row>
    <row r="13" spans="1:27" ht="25.5" x14ac:dyDescent="0.25">
      <c r="A13" s="171">
        <v>6</v>
      </c>
      <c r="B13" s="285" t="s">
        <v>511</v>
      </c>
      <c r="C13" s="44" t="str">
        <f t="shared" si="0"/>
        <v/>
      </c>
      <c r="D13" s="44" t="str">
        <f t="shared" si="1"/>
        <v/>
      </c>
      <c r="E13" s="41"/>
      <c r="F13" s="41"/>
      <c r="G13" s="41"/>
      <c r="H13" s="41"/>
      <c r="I13" s="41"/>
      <c r="J13" s="41"/>
      <c r="K13" s="41"/>
      <c r="L13" s="41"/>
      <c r="M13" s="41"/>
      <c r="N13" s="41"/>
      <c r="O13" s="41"/>
      <c r="P13" s="41"/>
      <c r="Q13" s="41"/>
      <c r="R13" s="41"/>
      <c r="S13" s="41"/>
      <c r="T13" s="41"/>
      <c r="U13" s="41"/>
      <c r="V13" s="41"/>
      <c r="W13" s="41"/>
      <c r="X13" s="41"/>
      <c r="Y13" s="41"/>
      <c r="Z13" s="41"/>
      <c r="AA13" s="41"/>
    </row>
    <row r="14" spans="1:27" ht="25.5" x14ac:dyDescent="0.25">
      <c r="A14" s="170">
        <v>7</v>
      </c>
      <c r="B14" s="285" t="s">
        <v>512</v>
      </c>
      <c r="C14" s="71" t="str">
        <f t="shared" si="0"/>
        <v/>
      </c>
      <c r="D14" s="71" t="str">
        <f t="shared" si="1"/>
        <v/>
      </c>
      <c r="E14" s="41"/>
      <c r="F14" s="41"/>
      <c r="G14" s="41"/>
      <c r="H14" s="41"/>
      <c r="I14" s="41"/>
      <c r="J14" s="41"/>
      <c r="K14" s="41"/>
      <c r="L14" s="41"/>
      <c r="M14" s="41"/>
      <c r="N14" s="41"/>
      <c r="O14" s="41"/>
      <c r="P14" s="41"/>
      <c r="Q14" s="41"/>
      <c r="R14" s="41"/>
      <c r="S14" s="41"/>
      <c r="T14" s="41"/>
      <c r="U14" s="41"/>
      <c r="V14" s="41"/>
      <c r="W14" s="41"/>
      <c r="X14" s="41"/>
      <c r="Y14" s="41"/>
      <c r="Z14" s="41"/>
      <c r="AA14" s="41"/>
    </row>
    <row r="15" spans="1:27" ht="25.5" x14ac:dyDescent="0.25">
      <c r="A15" s="171">
        <v>8</v>
      </c>
      <c r="B15" s="286" t="s">
        <v>513</v>
      </c>
      <c r="C15" s="71" t="str">
        <f t="shared" si="0"/>
        <v/>
      </c>
      <c r="D15" s="71" t="str">
        <f t="shared" si="1"/>
        <v/>
      </c>
      <c r="E15" s="41"/>
      <c r="F15" s="41"/>
      <c r="G15" s="41"/>
      <c r="H15" s="41"/>
      <c r="I15" s="41"/>
      <c r="J15" s="41"/>
      <c r="K15" s="41"/>
      <c r="L15" s="41"/>
      <c r="M15" s="41"/>
      <c r="N15" s="41"/>
      <c r="O15" s="41"/>
      <c r="P15" s="41"/>
      <c r="Q15" s="41"/>
      <c r="R15" s="41"/>
      <c r="S15" s="41"/>
      <c r="T15" s="41"/>
      <c r="U15" s="41"/>
      <c r="V15" s="41"/>
      <c r="W15" s="41"/>
      <c r="X15" s="41"/>
      <c r="Y15" s="41"/>
      <c r="Z15" s="41"/>
      <c r="AA15" s="41"/>
    </row>
    <row r="16" spans="1:27" ht="38.25" x14ac:dyDescent="0.25">
      <c r="A16" s="170">
        <v>9</v>
      </c>
      <c r="B16" s="286" t="s">
        <v>514</v>
      </c>
      <c r="C16" s="44" t="str">
        <f t="shared" si="0"/>
        <v/>
      </c>
      <c r="D16" s="44" t="str">
        <f t="shared" si="1"/>
        <v/>
      </c>
      <c r="E16" s="41"/>
      <c r="F16" s="41"/>
      <c r="G16" s="41"/>
      <c r="H16" s="41"/>
      <c r="I16" s="41"/>
      <c r="J16" s="41"/>
      <c r="K16" s="41"/>
      <c r="L16" s="41"/>
      <c r="M16" s="41"/>
      <c r="N16" s="41"/>
      <c r="O16" s="41"/>
      <c r="P16" s="41"/>
      <c r="Q16" s="41"/>
      <c r="R16" s="41"/>
      <c r="S16" s="41"/>
      <c r="T16" s="41"/>
      <c r="U16" s="41"/>
      <c r="V16" s="41"/>
      <c r="W16" s="41"/>
      <c r="X16" s="41"/>
      <c r="Y16" s="41"/>
      <c r="Z16" s="41"/>
      <c r="AA16" s="41"/>
    </row>
    <row r="17" spans="1:27" ht="25.5" x14ac:dyDescent="0.25">
      <c r="A17" s="171">
        <v>10</v>
      </c>
      <c r="B17" s="280" t="s">
        <v>515</v>
      </c>
      <c r="C17" s="44" t="str">
        <f t="shared" si="0"/>
        <v/>
      </c>
      <c r="D17" s="44" t="str">
        <f t="shared" si="1"/>
        <v/>
      </c>
      <c r="E17" s="41"/>
      <c r="F17" s="41"/>
      <c r="G17" s="41"/>
      <c r="H17" s="41"/>
      <c r="I17" s="41"/>
      <c r="J17" s="41"/>
      <c r="K17" s="41"/>
      <c r="L17" s="41"/>
      <c r="M17" s="41"/>
      <c r="N17" s="41"/>
      <c r="O17" s="41"/>
      <c r="P17" s="41"/>
      <c r="Q17" s="41"/>
      <c r="R17" s="41"/>
      <c r="S17" s="41"/>
      <c r="T17" s="41"/>
      <c r="U17" s="41"/>
      <c r="V17" s="41"/>
      <c r="W17" s="41"/>
      <c r="X17" s="41"/>
      <c r="Y17" s="41"/>
      <c r="Z17" s="41"/>
      <c r="AA17" s="41"/>
    </row>
    <row r="18" spans="1:27" ht="25.5" x14ac:dyDescent="0.25">
      <c r="A18" s="170">
        <v>11</v>
      </c>
      <c r="B18" s="280" t="s">
        <v>516</v>
      </c>
      <c r="C18" s="44" t="str">
        <f t="shared" si="0"/>
        <v/>
      </c>
      <c r="D18" s="44" t="str">
        <f t="shared" si="1"/>
        <v/>
      </c>
      <c r="E18" s="41"/>
      <c r="F18" s="41"/>
      <c r="G18" s="41"/>
      <c r="H18" s="41"/>
      <c r="I18" s="41"/>
      <c r="J18" s="41"/>
      <c r="K18" s="41"/>
      <c r="L18" s="41"/>
      <c r="M18" s="41"/>
      <c r="N18" s="41"/>
      <c r="O18" s="41"/>
      <c r="P18" s="41"/>
      <c r="Q18" s="41"/>
      <c r="R18" s="41"/>
      <c r="S18" s="41"/>
      <c r="T18" s="41"/>
      <c r="U18" s="41"/>
      <c r="V18" s="41"/>
      <c r="W18" s="41"/>
      <c r="X18" s="41"/>
      <c r="Y18" s="41"/>
      <c r="Z18" s="41"/>
      <c r="AA18" s="41"/>
    </row>
    <row r="19" spans="1:27" ht="38.25" x14ac:dyDescent="0.25">
      <c r="A19" s="171">
        <v>12</v>
      </c>
      <c r="B19" s="283" t="s">
        <v>517</v>
      </c>
      <c r="C19" s="44" t="str">
        <f t="shared" si="0"/>
        <v/>
      </c>
      <c r="D19" s="44" t="str">
        <f t="shared" si="1"/>
        <v/>
      </c>
      <c r="E19" s="41"/>
      <c r="F19" s="41"/>
      <c r="G19" s="41"/>
      <c r="H19" s="41"/>
      <c r="I19" s="41"/>
      <c r="J19" s="41"/>
      <c r="K19" s="41"/>
      <c r="L19" s="41"/>
      <c r="M19" s="41"/>
      <c r="N19" s="41"/>
      <c r="O19" s="41"/>
      <c r="P19" s="41"/>
      <c r="Q19" s="41"/>
      <c r="R19" s="41"/>
      <c r="S19" s="41"/>
      <c r="T19" s="41"/>
      <c r="U19" s="41"/>
      <c r="V19" s="41"/>
      <c r="W19" s="41"/>
      <c r="X19" s="41"/>
      <c r="Y19" s="41"/>
      <c r="Z19" s="41"/>
      <c r="AA19" s="41"/>
    </row>
    <row r="20" spans="1:27" ht="25.5" x14ac:dyDescent="0.25">
      <c r="A20" s="170">
        <v>13</v>
      </c>
      <c r="B20" s="283" t="s">
        <v>518</v>
      </c>
      <c r="C20" s="44" t="str">
        <f t="shared" si="0"/>
        <v/>
      </c>
      <c r="D20" s="44" t="str">
        <f t="shared" si="1"/>
        <v/>
      </c>
      <c r="E20" s="41"/>
      <c r="F20" s="41"/>
      <c r="G20" s="41"/>
      <c r="H20" s="41"/>
      <c r="I20" s="41"/>
      <c r="J20" s="41"/>
      <c r="K20" s="41"/>
      <c r="L20" s="41"/>
      <c r="M20" s="41"/>
      <c r="N20" s="41"/>
      <c r="O20" s="41"/>
      <c r="P20" s="41"/>
      <c r="Q20" s="41"/>
      <c r="R20" s="41"/>
      <c r="S20" s="41"/>
      <c r="T20" s="41"/>
      <c r="U20" s="41"/>
      <c r="V20" s="41"/>
      <c r="W20" s="41"/>
      <c r="X20" s="41"/>
      <c r="Y20" s="41"/>
      <c r="Z20" s="41"/>
      <c r="AA20" s="41"/>
    </row>
    <row r="21" spans="1:27" ht="38.25" x14ac:dyDescent="0.25">
      <c r="A21" s="171">
        <v>14</v>
      </c>
      <c r="B21" s="285" t="s">
        <v>519</v>
      </c>
      <c r="C21" s="44" t="str">
        <f t="shared" si="0"/>
        <v/>
      </c>
      <c r="D21" s="44" t="str">
        <f t="shared" si="1"/>
        <v/>
      </c>
      <c r="E21" s="41"/>
      <c r="F21" s="41"/>
      <c r="G21" s="41"/>
      <c r="H21" s="41"/>
      <c r="I21" s="41"/>
      <c r="J21" s="41"/>
      <c r="K21" s="41"/>
      <c r="L21" s="41"/>
      <c r="M21" s="41"/>
      <c r="N21" s="41"/>
      <c r="O21" s="41"/>
      <c r="P21" s="41"/>
      <c r="Q21" s="41"/>
      <c r="R21" s="41"/>
      <c r="S21" s="41"/>
      <c r="T21" s="41"/>
      <c r="U21" s="41"/>
      <c r="V21" s="41"/>
      <c r="W21" s="41"/>
      <c r="X21" s="41"/>
      <c r="Y21" s="41"/>
      <c r="Z21" s="41"/>
      <c r="AA21" s="41"/>
    </row>
    <row r="22" spans="1:27" ht="38.25" x14ac:dyDescent="0.25">
      <c r="A22" s="170">
        <v>15</v>
      </c>
      <c r="B22" s="285" t="s">
        <v>520</v>
      </c>
      <c r="C22" s="44" t="str">
        <f t="shared" si="0"/>
        <v/>
      </c>
      <c r="D22" s="44" t="str">
        <f t="shared" si="1"/>
        <v/>
      </c>
      <c r="E22" s="41"/>
      <c r="F22" s="41"/>
      <c r="G22" s="41"/>
      <c r="H22" s="41"/>
      <c r="I22" s="41"/>
      <c r="J22" s="41"/>
      <c r="K22" s="41"/>
      <c r="L22" s="41"/>
      <c r="M22" s="41"/>
      <c r="N22" s="41"/>
      <c r="O22" s="41"/>
      <c r="P22" s="41"/>
      <c r="Q22" s="41"/>
      <c r="R22" s="41"/>
      <c r="S22" s="41"/>
      <c r="T22" s="41"/>
      <c r="U22" s="41"/>
      <c r="V22" s="41"/>
      <c r="W22" s="41"/>
      <c r="X22" s="41"/>
      <c r="Y22" s="41"/>
      <c r="Z22" s="41"/>
      <c r="AA22" s="41"/>
    </row>
    <row r="23" spans="1:27" ht="25.5" x14ac:dyDescent="0.25">
      <c r="A23" s="171">
        <v>16</v>
      </c>
      <c r="B23" s="285" t="s">
        <v>521</v>
      </c>
      <c r="C23" s="44" t="str">
        <f t="shared" si="0"/>
        <v/>
      </c>
      <c r="D23" s="44" t="str">
        <f t="shared" si="1"/>
        <v/>
      </c>
      <c r="E23" s="41"/>
      <c r="F23" s="41"/>
      <c r="G23" s="41"/>
      <c r="H23" s="41"/>
      <c r="I23" s="41"/>
      <c r="J23" s="41"/>
      <c r="K23" s="41"/>
      <c r="L23" s="41"/>
      <c r="M23" s="41"/>
      <c r="N23" s="41"/>
      <c r="O23" s="41"/>
      <c r="P23" s="41"/>
      <c r="Q23" s="41"/>
      <c r="R23" s="41"/>
      <c r="S23" s="41"/>
      <c r="T23" s="41"/>
      <c r="U23" s="41"/>
      <c r="V23" s="41"/>
      <c r="W23" s="41"/>
      <c r="X23" s="41"/>
      <c r="Y23" s="41"/>
      <c r="Z23" s="41"/>
      <c r="AA23" s="41"/>
    </row>
    <row r="24" spans="1:27" ht="25.5" x14ac:dyDescent="0.25">
      <c r="A24" s="170">
        <v>17</v>
      </c>
      <c r="B24" s="285" t="s">
        <v>522</v>
      </c>
      <c r="C24" s="44" t="str">
        <f t="shared" si="0"/>
        <v/>
      </c>
      <c r="D24" s="44" t="str">
        <f t="shared" si="1"/>
        <v/>
      </c>
      <c r="E24" s="41"/>
      <c r="F24" s="41"/>
      <c r="G24" s="41"/>
      <c r="H24" s="41"/>
      <c r="I24" s="41"/>
      <c r="J24" s="41"/>
      <c r="K24" s="41"/>
      <c r="L24" s="41"/>
      <c r="M24" s="41"/>
      <c r="N24" s="41"/>
      <c r="O24" s="41"/>
      <c r="P24" s="41"/>
      <c r="Q24" s="41"/>
      <c r="R24" s="41"/>
      <c r="S24" s="41"/>
      <c r="T24" s="41"/>
      <c r="U24" s="41"/>
      <c r="V24" s="41"/>
      <c r="W24" s="41"/>
      <c r="X24" s="41"/>
      <c r="Y24" s="41"/>
      <c r="Z24" s="41"/>
      <c r="AA24" s="41"/>
    </row>
    <row r="25" spans="1:27" ht="25.5" x14ac:dyDescent="0.25">
      <c r="A25" s="171">
        <v>18</v>
      </c>
      <c r="B25" s="285" t="s">
        <v>523</v>
      </c>
      <c r="C25" s="44" t="str">
        <f t="shared" si="0"/>
        <v/>
      </c>
      <c r="D25" s="44" t="str">
        <f t="shared" si="1"/>
        <v/>
      </c>
      <c r="E25" s="41"/>
      <c r="F25" s="41"/>
      <c r="G25" s="41"/>
      <c r="H25" s="41"/>
      <c r="I25" s="41"/>
      <c r="J25" s="41"/>
      <c r="K25" s="41"/>
      <c r="L25" s="41"/>
      <c r="M25" s="41"/>
      <c r="N25" s="41"/>
      <c r="O25" s="41"/>
      <c r="P25" s="41"/>
      <c r="Q25" s="41"/>
      <c r="R25" s="41"/>
      <c r="S25" s="41"/>
      <c r="T25" s="41"/>
      <c r="U25" s="41"/>
      <c r="V25" s="41"/>
      <c r="W25" s="41"/>
      <c r="X25" s="41"/>
      <c r="Y25" s="41"/>
      <c r="Z25" s="41"/>
      <c r="AA25" s="41"/>
    </row>
    <row r="26" spans="1:27" ht="15.75" x14ac:dyDescent="0.25">
      <c r="C26" s="46" t="str">
        <f t="shared" si="0"/>
        <v/>
      </c>
      <c r="D26" s="46" t="str">
        <f t="shared" si="1"/>
        <v/>
      </c>
    </row>
    <row r="27" spans="1:27" ht="15.75" x14ac:dyDescent="0.25">
      <c r="C27" s="46" t="str">
        <f t="shared" si="0"/>
        <v/>
      </c>
      <c r="D27" s="46" t="str">
        <f t="shared" si="1"/>
        <v/>
      </c>
    </row>
    <row r="28" spans="1:27" ht="15.75" x14ac:dyDescent="0.25">
      <c r="C28" s="46" t="str">
        <f t="shared" si="0"/>
        <v/>
      </c>
      <c r="D28" s="46" t="str">
        <f t="shared" si="1"/>
        <v/>
      </c>
    </row>
    <row r="29" spans="1:27" ht="15.75" x14ac:dyDescent="0.25">
      <c r="C29" s="46" t="str">
        <f t="shared" si="0"/>
        <v/>
      </c>
      <c r="D29" s="46" t="str">
        <f t="shared" si="1"/>
        <v/>
      </c>
    </row>
    <row r="30" spans="1:27" ht="15.75" x14ac:dyDescent="0.25">
      <c r="C30" s="46" t="str">
        <f t="shared" si="0"/>
        <v/>
      </c>
      <c r="D30" s="46" t="str">
        <f t="shared" si="1"/>
        <v/>
      </c>
    </row>
    <row r="31" spans="1:27" ht="15.75" x14ac:dyDescent="0.25">
      <c r="C31" s="46" t="str">
        <f t="shared" si="0"/>
        <v/>
      </c>
      <c r="D31" s="46" t="str">
        <f t="shared" si="1"/>
        <v/>
      </c>
    </row>
    <row r="32" spans="1:27" ht="15.75" x14ac:dyDescent="0.25">
      <c r="C32" s="46" t="str">
        <f t="shared" si="0"/>
        <v/>
      </c>
      <c r="D32" s="46" t="str">
        <f t="shared" si="1"/>
        <v/>
      </c>
    </row>
    <row r="33" spans="3:4" ht="15.75" x14ac:dyDescent="0.25">
      <c r="C33" s="46" t="str">
        <f t="shared" si="0"/>
        <v/>
      </c>
      <c r="D33" s="46" t="str">
        <f t="shared" si="1"/>
        <v/>
      </c>
    </row>
    <row r="34" spans="3:4" ht="15.75" x14ac:dyDescent="0.25">
      <c r="C34" s="46" t="str">
        <f t="shared" si="0"/>
        <v/>
      </c>
      <c r="D34" s="46" t="str">
        <f t="shared" si="1"/>
        <v/>
      </c>
    </row>
    <row r="35" spans="3:4" ht="15.75" x14ac:dyDescent="0.25">
      <c r="C35" s="46" t="str">
        <f t="shared" si="0"/>
        <v/>
      </c>
      <c r="D35" s="46" t="str">
        <f t="shared" si="1"/>
        <v/>
      </c>
    </row>
    <row r="36" spans="3:4" ht="15.75" x14ac:dyDescent="0.25">
      <c r="C36" s="46" t="str">
        <f t="shared" si="0"/>
        <v/>
      </c>
      <c r="D36" s="46" t="str">
        <f t="shared" si="1"/>
        <v/>
      </c>
    </row>
    <row r="37" spans="3:4" ht="15.75" x14ac:dyDescent="0.25">
      <c r="C37" s="46" t="str">
        <f t="shared" si="0"/>
        <v/>
      </c>
      <c r="D37" s="46" t="str">
        <f t="shared" si="1"/>
        <v/>
      </c>
    </row>
    <row r="38" spans="3:4" ht="15.75" x14ac:dyDescent="0.25">
      <c r="C38" s="46" t="str">
        <f t="shared" si="0"/>
        <v/>
      </c>
      <c r="D38" s="46" t="str">
        <f t="shared" si="1"/>
        <v/>
      </c>
    </row>
    <row r="39" spans="3:4" ht="15.75" x14ac:dyDescent="0.25">
      <c r="C39" s="46" t="str">
        <f t="shared" si="0"/>
        <v/>
      </c>
      <c r="D39" s="46" t="str">
        <f t="shared" si="1"/>
        <v/>
      </c>
    </row>
    <row r="40" spans="3:4" ht="15.75" x14ac:dyDescent="0.25">
      <c r="C40" s="46" t="str">
        <f t="shared" si="0"/>
        <v/>
      </c>
      <c r="D40" s="46" t="str">
        <f t="shared" si="1"/>
        <v/>
      </c>
    </row>
    <row r="41" spans="3:4" ht="15.75" x14ac:dyDescent="0.25">
      <c r="C41" s="46" t="str">
        <f t="shared" si="0"/>
        <v/>
      </c>
      <c r="D41" s="46" t="str">
        <f t="shared" si="1"/>
        <v/>
      </c>
    </row>
    <row r="42" spans="3:4" ht="15.75" x14ac:dyDescent="0.25">
      <c r="C42" s="46" t="str">
        <f t="shared" si="0"/>
        <v/>
      </c>
      <c r="D42" s="46" t="str">
        <f t="shared" si="1"/>
        <v/>
      </c>
    </row>
    <row r="43" spans="3:4" ht="15.75" x14ac:dyDescent="0.25">
      <c r="C43" s="46" t="str">
        <f t="shared" si="0"/>
        <v/>
      </c>
      <c r="D43" s="46" t="str">
        <f t="shared" si="1"/>
        <v/>
      </c>
    </row>
    <row r="44" spans="3:4" ht="15.75" x14ac:dyDescent="0.25">
      <c r="C44" s="46" t="str">
        <f t="shared" si="0"/>
        <v/>
      </c>
      <c r="D44" s="46" t="str">
        <f t="shared" si="1"/>
        <v/>
      </c>
    </row>
    <row r="45" spans="3:4" ht="15.75" x14ac:dyDescent="0.25">
      <c r="C45" s="46" t="str">
        <f t="shared" si="0"/>
        <v/>
      </c>
      <c r="D45" s="46" t="str">
        <f t="shared" si="1"/>
        <v/>
      </c>
    </row>
    <row r="46" spans="3:4" ht="15.75" x14ac:dyDescent="0.25">
      <c r="C46" s="46" t="str">
        <f t="shared" ref="C46:C109" si="2">IF(COUNTIF(E46:BA46,"YES")=0,"",COUNTIF(E46:BA46,"YES"))</f>
        <v/>
      </c>
      <c r="D46" s="46" t="str">
        <f t="shared" ref="D46:D109" si="3">IF(COUNTIF(E46:BA46,"NO")=0,"",COUNTIF(E46:BA46,"NO"))</f>
        <v/>
      </c>
    </row>
    <row r="47" spans="3:4" ht="15.75" x14ac:dyDescent="0.25">
      <c r="C47" s="46" t="str">
        <f t="shared" si="2"/>
        <v/>
      </c>
      <c r="D47" s="46" t="str">
        <f t="shared" si="3"/>
        <v/>
      </c>
    </row>
    <row r="48" spans="3:4" ht="15.75" x14ac:dyDescent="0.25">
      <c r="C48" s="46" t="str">
        <f t="shared" si="2"/>
        <v/>
      </c>
      <c r="D48" s="46" t="str">
        <f t="shared" si="3"/>
        <v/>
      </c>
    </row>
    <row r="49" spans="3:4" ht="15.75" x14ac:dyDescent="0.25">
      <c r="C49" s="46" t="str">
        <f t="shared" si="2"/>
        <v/>
      </c>
      <c r="D49" s="46" t="str">
        <f t="shared" si="3"/>
        <v/>
      </c>
    </row>
    <row r="50" spans="3:4" ht="15.75" x14ac:dyDescent="0.25">
      <c r="C50" s="46" t="str">
        <f t="shared" si="2"/>
        <v/>
      </c>
      <c r="D50" s="46" t="str">
        <f t="shared" si="3"/>
        <v/>
      </c>
    </row>
    <row r="51" spans="3:4" ht="15.75" x14ac:dyDescent="0.25">
      <c r="C51" s="46" t="str">
        <f t="shared" si="2"/>
        <v/>
      </c>
      <c r="D51" s="46" t="str">
        <f t="shared" si="3"/>
        <v/>
      </c>
    </row>
    <row r="52" spans="3:4" ht="15.75" x14ac:dyDescent="0.25">
      <c r="C52" s="46" t="str">
        <f t="shared" si="2"/>
        <v/>
      </c>
      <c r="D52" s="46" t="str">
        <f t="shared" si="3"/>
        <v/>
      </c>
    </row>
    <row r="53" spans="3:4" ht="15.75" x14ac:dyDescent="0.25">
      <c r="C53" s="46" t="str">
        <f t="shared" si="2"/>
        <v/>
      </c>
      <c r="D53" s="46" t="str">
        <f t="shared" si="3"/>
        <v/>
      </c>
    </row>
    <row r="54" spans="3:4" ht="15.75" x14ac:dyDescent="0.25">
      <c r="C54" s="46" t="str">
        <f t="shared" si="2"/>
        <v/>
      </c>
      <c r="D54" s="46" t="str">
        <f t="shared" si="3"/>
        <v/>
      </c>
    </row>
    <row r="55" spans="3:4" ht="15.75" x14ac:dyDescent="0.25">
      <c r="C55" s="46" t="str">
        <f t="shared" si="2"/>
        <v/>
      </c>
      <c r="D55" s="46" t="str">
        <f t="shared" si="3"/>
        <v/>
      </c>
    </row>
    <row r="56" spans="3:4" ht="15.75" x14ac:dyDescent="0.25">
      <c r="C56" s="46" t="str">
        <f t="shared" si="2"/>
        <v/>
      </c>
      <c r="D56" s="46" t="str">
        <f t="shared" si="3"/>
        <v/>
      </c>
    </row>
    <row r="57" spans="3:4" ht="15.75" x14ac:dyDescent="0.25">
      <c r="C57" s="46" t="str">
        <f t="shared" si="2"/>
        <v/>
      </c>
      <c r="D57" s="46" t="str">
        <f t="shared" si="3"/>
        <v/>
      </c>
    </row>
    <row r="58" spans="3:4" ht="15.75" x14ac:dyDescent="0.25">
      <c r="C58" s="46" t="str">
        <f t="shared" si="2"/>
        <v/>
      </c>
      <c r="D58" s="46" t="str">
        <f t="shared" si="3"/>
        <v/>
      </c>
    </row>
    <row r="59" spans="3:4" ht="15.75" x14ac:dyDescent="0.25">
      <c r="C59" s="46" t="str">
        <f t="shared" si="2"/>
        <v/>
      </c>
      <c r="D59" s="46" t="str">
        <f t="shared" si="3"/>
        <v/>
      </c>
    </row>
    <row r="60" spans="3:4" ht="15.75" x14ac:dyDescent="0.25">
      <c r="C60" s="46" t="str">
        <f t="shared" si="2"/>
        <v/>
      </c>
      <c r="D60" s="46" t="str">
        <f t="shared" si="3"/>
        <v/>
      </c>
    </row>
    <row r="61" spans="3:4" ht="15.75" x14ac:dyDescent="0.25">
      <c r="C61" s="46" t="str">
        <f t="shared" si="2"/>
        <v/>
      </c>
      <c r="D61" s="46" t="str">
        <f t="shared" si="3"/>
        <v/>
      </c>
    </row>
    <row r="62" spans="3:4" ht="15.75" x14ac:dyDescent="0.25">
      <c r="C62" s="46" t="str">
        <f t="shared" si="2"/>
        <v/>
      </c>
      <c r="D62" s="46" t="str">
        <f t="shared" si="3"/>
        <v/>
      </c>
    </row>
    <row r="63" spans="3:4" ht="15.75" x14ac:dyDescent="0.25">
      <c r="C63" s="46" t="str">
        <f t="shared" si="2"/>
        <v/>
      </c>
      <c r="D63" s="46" t="str">
        <f t="shared" si="3"/>
        <v/>
      </c>
    </row>
    <row r="64" spans="3:4" ht="15.75" x14ac:dyDescent="0.25">
      <c r="C64" s="46" t="str">
        <f t="shared" si="2"/>
        <v/>
      </c>
      <c r="D64" s="46" t="str">
        <f t="shared" si="3"/>
        <v/>
      </c>
    </row>
    <row r="65" spans="3:4" ht="15.75" x14ac:dyDescent="0.25">
      <c r="C65" s="46" t="str">
        <f t="shared" si="2"/>
        <v/>
      </c>
      <c r="D65" s="46" t="str">
        <f t="shared" si="3"/>
        <v/>
      </c>
    </row>
    <row r="66" spans="3:4" ht="15.75" x14ac:dyDescent="0.25">
      <c r="C66" s="46" t="str">
        <f t="shared" si="2"/>
        <v/>
      </c>
      <c r="D66" s="46" t="str">
        <f t="shared" si="3"/>
        <v/>
      </c>
    </row>
    <row r="67" spans="3:4" ht="15.75" x14ac:dyDescent="0.25">
      <c r="C67" s="46" t="str">
        <f t="shared" si="2"/>
        <v/>
      </c>
      <c r="D67" s="46" t="str">
        <f t="shared" si="3"/>
        <v/>
      </c>
    </row>
    <row r="68" spans="3:4" ht="15.75" x14ac:dyDescent="0.25">
      <c r="C68" s="46" t="str">
        <f t="shared" si="2"/>
        <v/>
      </c>
      <c r="D68" s="46" t="str">
        <f t="shared" si="3"/>
        <v/>
      </c>
    </row>
    <row r="69" spans="3:4" ht="15.75" x14ac:dyDescent="0.25">
      <c r="C69" s="46" t="str">
        <f t="shared" si="2"/>
        <v/>
      </c>
      <c r="D69" s="46" t="str">
        <f t="shared" si="3"/>
        <v/>
      </c>
    </row>
    <row r="70" spans="3:4" ht="15.75" x14ac:dyDescent="0.25">
      <c r="C70" s="46" t="str">
        <f t="shared" si="2"/>
        <v/>
      </c>
      <c r="D70" s="46" t="str">
        <f t="shared" si="3"/>
        <v/>
      </c>
    </row>
    <row r="71" spans="3:4" ht="15.75" x14ac:dyDescent="0.25">
      <c r="C71" s="46" t="str">
        <f t="shared" si="2"/>
        <v/>
      </c>
      <c r="D71" s="46" t="str">
        <f t="shared" si="3"/>
        <v/>
      </c>
    </row>
    <row r="72" spans="3:4" ht="15.75" x14ac:dyDescent="0.25">
      <c r="C72" s="46" t="str">
        <f t="shared" si="2"/>
        <v/>
      </c>
      <c r="D72" s="46" t="str">
        <f t="shared" si="3"/>
        <v/>
      </c>
    </row>
    <row r="73" spans="3:4" ht="15.75" x14ac:dyDescent="0.25">
      <c r="C73" s="46" t="str">
        <f t="shared" si="2"/>
        <v/>
      </c>
      <c r="D73" s="46" t="str">
        <f t="shared" si="3"/>
        <v/>
      </c>
    </row>
    <row r="74" spans="3:4" ht="15.75" x14ac:dyDescent="0.25">
      <c r="C74" s="46" t="str">
        <f t="shared" si="2"/>
        <v/>
      </c>
      <c r="D74" s="46" t="str">
        <f t="shared" si="3"/>
        <v/>
      </c>
    </row>
    <row r="75" spans="3:4" ht="15.75" x14ac:dyDescent="0.25">
      <c r="C75" s="46" t="str">
        <f t="shared" si="2"/>
        <v/>
      </c>
      <c r="D75" s="46" t="str">
        <f t="shared" si="3"/>
        <v/>
      </c>
    </row>
    <row r="76" spans="3:4" ht="15.75" x14ac:dyDescent="0.25">
      <c r="C76" s="46" t="str">
        <f t="shared" si="2"/>
        <v/>
      </c>
      <c r="D76" s="46" t="str">
        <f t="shared" si="3"/>
        <v/>
      </c>
    </row>
    <row r="77" spans="3:4" ht="15.75" x14ac:dyDescent="0.25">
      <c r="C77" s="46" t="str">
        <f t="shared" si="2"/>
        <v/>
      </c>
      <c r="D77" s="46" t="str">
        <f t="shared" si="3"/>
        <v/>
      </c>
    </row>
    <row r="78" spans="3:4" ht="15.75" x14ac:dyDescent="0.25">
      <c r="C78" s="46" t="str">
        <f t="shared" si="2"/>
        <v/>
      </c>
      <c r="D78" s="46" t="str">
        <f t="shared" si="3"/>
        <v/>
      </c>
    </row>
    <row r="79" spans="3:4" ht="15.75" x14ac:dyDescent="0.25">
      <c r="C79" s="46" t="str">
        <f t="shared" si="2"/>
        <v/>
      </c>
      <c r="D79" s="46" t="str">
        <f t="shared" si="3"/>
        <v/>
      </c>
    </row>
    <row r="80" spans="3:4" ht="15.75" x14ac:dyDescent="0.25">
      <c r="C80" s="46" t="str">
        <f t="shared" si="2"/>
        <v/>
      </c>
      <c r="D80" s="46" t="str">
        <f t="shared" si="3"/>
        <v/>
      </c>
    </row>
    <row r="81" spans="3:4" ht="15.75" x14ac:dyDescent="0.25">
      <c r="C81" s="46" t="str">
        <f t="shared" si="2"/>
        <v/>
      </c>
      <c r="D81" s="46" t="str">
        <f t="shared" si="3"/>
        <v/>
      </c>
    </row>
    <row r="82" spans="3:4" ht="15.75" x14ac:dyDescent="0.25">
      <c r="C82" s="46" t="str">
        <f t="shared" si="2"/>
        <v/>
      </c>
      <c r="D82" s="46" t="str">
        <f t="shared" si="3"/>
        <v/>
      </c>
    </row>
    <row r="83" spans="3:4" ht="15.75" x14ac:dyDescent="0.25">
      <c r="C83" s="46" t="str">
        <f t="shared" si="2"/>
        <v/>
      </c>
      <c r="D83" s="46" t="str">
        <f t="shared" si="3"/>
        <v/>
      </c>
    </row>
    <row r="84" spans="3:4" ht="15.75" x14ac:dyDescent="0.25">
      <c r="C84" s="46" t="str">
        <f t="shared" si="2"/>
        <v/>
      </c>
      <c r="D84" s="46" t="str">
        <f t="shared" si="3"/>
        <v/>
      </c>
    </row>
    <row r="85" spans="3:4" ht="15.75" x14ac:dyDescent="0.25">
      <c r="C85" s="46" t="str">
        <f t="shared" si="2"/>
        <v/>
      </c>
      <c r="D85" s="46" t="str">
        <f t="shared" si="3"/>
        <v/>
      </c>
    </row>
    <row r="86" spans="3:4" ht="15.75" x14ac:dyDescent="0.25">
      <c r="C86" s="46" t="str">
        <f t="shared" si="2"/>
        <v/>
      </c>
      <c r="D86" s="46" t="str">
        <f t="shared" si="3"/>
        <v/>
      </c>
    </row>
    <row r="87" spans="3:4" ht="15.75" x14ac:dyDescent="0.25">
      <c r="C87" s="46" t="str">
        <f t="shared" si="2"/>
        <v/>
      </c>
      <c r="D87" s="46" t="str">
        <f t="shared" si="3"/>
        <v/>
      </c>
    </row>
    <row r="88" spans="3:4" ht="15.75" x14ac:dyDescent="0.25">
      <c r="C88" s="46" t="str">
        <f t="shared" si="2"/>
        <v/>
      </c>
      <c r="D88" s="46" t="str">
        <f t="shared" si="3"/>
        <v/>
      </c>
    </row>
    <row r="89" spans="3:4" ht="15.75" x14ac:dyDescent="0.25">
      <c r="C89" s="46" t="str">
        <f t="shared" si="2"/>
        <v/>
      </c>
      <c r="D89" s="46" t="str">
        <f t="shared" si="3"/>
        <v/>
      </c>
    </row>
    <row r="90" spans="3:4" ht="15.75" x14ac:dyDescent="0.25">
      <c r="C90" s="46" t="str">
        <f t="shared" si="2"/>
        <v/>
      </c>
      <c r="D90" s="46" t="str">
        <f t="shared" si="3"/>
        <v/>
      </c>
    </row>
    <row r="91" spans="3:4" ht="15.75" x14ac:dyDescent="0.25">
      <c r="C91" s="46" t="str">
        <f t="shared" si="2"/>
        <v/>
      </c>
      <c r="D91" s="46" t="str">
        <f t="shared" si="3"/>
        <v/>
      </c>
    </row>
    <row r="92" spans="3:4" ht="15.75" x14ac:dyDescent="0.25">
      <c r="C92" s="46" t="str">
        <f t="shared" si="2"/>
        <v/>
      </c>
      <c r="D92" s="46" t="str">
        <f t="shared" si="3"/>
        <v/>
      </c>
    </row>
    <row r="93" spans="3:4" ht="15.75" x14ac:dyDescent="0.25">
      <c r="C93" s="46" t="str">
        <f t="shared" si="2"/>
        <v/>
      </c>
      <c r="D93" s="46" t="str">
        <f t="shared" si="3"/>
        <v/>
      </c>
    </row>
    <row r="94" spans="3:4" ht="15.75" x14ac:dyDescent="0.25">
      <c r="C94" s="46" t="str">
        <f t="shared" si="2"/>
        <v/>
      </c>
      <c r="D94" s="46" t="str">
        <f t="shared" si="3"/>
        <v/>
      </c>
    </row>
    <row r="95" spans="3:4" ht="15.75" x14ac:dyDescent="0.25">
      <c r="C95" s="46" t="str">
        <f t="shared" si="2"/>
        <v/>
      </c>
      <c r="D95" s="46" t="str">
        <f t="shared" si="3"/>
        <v/>
      </c>
    </row>
    <row r="96" spans="3:4" ht="15.75" x14ac:dyDescent="0.25">
      <c r="C96" s="46" t="str">
        <f t="shared" si="2"/>
        <v/>
      </c>
      <c r="D96" s="46" t="str">
        <f t="shared" si="3"/>
        <v/>
      </c>
    </row>
    <row r="97" spans="3:4" ht="15.75" x14ac:dyDescent="0.25">
      <c r="C97" s="46" t="str">
        <f t="shared" si="2"/>
        <v/>
      </c>
      <c r="D97" s="46" t="str">
        <f t="shared" si="3"/>
        <v/>
      </c>
    </row>
    <row r="98" spans="3:4" ht="15.75" x14ac:dyDescent="0.25">
      <c r="C98" s="46" t="str">
        <f t="shared" si="2"/>
        <v/>
      </c>
      <c r="D98" s="46" t="str">
        <f t="shared" si="3"/>
        <v/>
      </c>
    </row>
    <row r="99" spans="3:4" ht="15.75" x14ac:dyDescent="0.25">
      <c r="C99" s="46" t="str">
        <f t="shared" si="2"/>
        <v/>
      </c>
      <c r="D99" s="46" t="str">
        <f t="shared" si="3"/>
        <v/>
      </c>
    </row>
    <row r="100" spans="3:4" ht="15.75" x14ac:dyDescent="0.25">
      <c r="C100" s="46" t="str">
        <f t="shared" si="2"/>
        <v/>
      </c>
      <c r="D100" s="46" t="str">
        <f t="shared" si="3"/>
        <v/>
      </c>
    </row>
    <row r="101" spans="3:4" ht="15.75" x14ac:dyDescent="0.25">
      <c r="C101" s="46" t="str">
        <f t="shared" si="2"/>
        <v/>
      </c>
      <c r="D101" s="46" t="str">
        <f t="shared" si="3"/>
        <v/>
      </c>
    </row>
    <row r="102" spans="3:4" ht="15.75" x14ac:dyDescent="0.25">
      <c r="C102" s="46" t="str">
        <f t="shared" si="2"/>
        <v/>
      </c>
      <c r="D102" s="46" t="str">
        <f t="shared" si="3"/>
        <v/>
      </c>
    </row>
    <row r="103" spans="3:4" ht="15.75" x14ac:dyDescent="0.25">
      <c r="C103" s="46" t="str">
        <f t="shared" si="2"/>
        <v/>
      </c>
      <c r="D103" s="46" t="str">
        <f t="shared" si="3"/>
        <v/>
      </c>
    </row>
    <row r="104" spans="3:4" ht="15.75" x14ac:dyDescent="0.25">
      <c r="C104" s="46" t="str">
        <f t="shared" si="2"/>
        <v/>
      </c>
      <c r="D104" s="46" t="str">
        <f t="shared" si="3"/>
        <v/>
      </c>
    </row>
    <row r="105" spans="3:4" ht="15.75" x14ac:dyDescent="0.25">
      <c r="C105" s="46" t="str">
        <f t="shared" si="2"/>
        <v/>
      </c>
      <c r="D105" s="46" t="str">
        <f t="shared" si="3"/>
        <v/>
      </c>
    </row>
    <row r="106" spans="3:4" ht="15.75" x14ac:dyDescent="0.25">
      <c r="C106" s="46" t="str">
        <f t="shared" si="2"/>
        <v/>
      </c>
      <c r="D106" s="46" t="str">
        <f t="shared" si="3"/>
        <v/>
      </c>
    </row>
    <row r="107" spans="3:4" ht="15.75" x14ac:dyDescent="0.25">
      <c r="C107" s="46" t="str">
        <f t="shared" si="2"/>
        <v/>
      </c>
      <c r="D107" s="46" t="str">
        <f t="shared" si="3"/>
        <v/>
      </c>
    </row>
    <row r="108" spans="3:4" ht="15.75" x14ac:dyDescent="0.25">
      <c r="C108" s="46" t="str">
        <f t="shared" si="2"/>
        <v/>
      </c>
      <c r="D108" s="46" t="str">
        <f t="shared" si="3"/>
        <v/>
      </c>
    </row>
    <row r="109" spans="3:4" ht="15.75" x14ac:dyDescent="0.25">
      <c r="C109" s="46" t="str">
        <f t="shared" si="2"/>
        <v/>
      </c>
      <c r="D109" s="46" t="str">
        <f t="shared" si="3"/>
        <v/>
      </c>
    </row>
    <row r="110" spans="3:4" ht="15.75" x14ac:dyDescent="0.25">
      <c r="C110" s="46" t="str">
        <f t="shared" ref="C110:C173" si="4">IF(COUNTIF(E110:BA110,"YES")=0,"",COUNTIF(E110:BA110,"YES"))</f>
        <v/>
      </c>
      <c r="D110" s="46" t="str">
        <f t="shared" ref="D110:D173" si="5">IF(COUNTIF(E110:BA110,"NO")=0,"",COUNTIF(E110:BA110,"NO"))</f>
        <v/>
      </c>
    </row>
    <row r="111" spans="3:4" ht="15.75" x14ac:dyDescent="0.25">
      <c r="C111" s="46" t="str">
        <f t="shared" si="4"/>
        <v/>
      </c>
      <c r="D111" s="46" t="str">
        <f t="shared" si="5"/>
        <v/>
      </c>
    </row>
    <row r="112" spans="3:4" ht="15.75" x14ac:dyDescent="0.25">
      <c r="C112" s="46" t="str">
        <f t="shared" si="4"/>
        <v/>
      </c>
      <c r="D112" s="46" t="str">
        <f t="shared" si="5"/>
        <v/>
      </c>
    </row>
    <row r="113" spans="3:4" ht="15.75" x14ac:dyDescent="0.25">
      <c r="C113" s="46" t="str">
        <f t="shared" si="4"/>
        <v/>
      </c>
      <c r="D113" s="46" t="str">
        <f t="shared" si="5"/>
        <v/>
      </c>
    </row>
    <row r="114" spans="3:4" ht="15.75" x14ac:dyDescent="0.25">
      <c r="C114" s="46" t="str">
        <f t="shared" si="4"/>
        <v/>
      </c>
      <c r="D114" s="46" t="str">
        <f t="shared" si="5"/>
        <v/>
      </c>
    </row>
    <row r="115" spans="3:4" ht="15.75" x14ac:dyDescent="0.25">
      <c r="C115" s="46" t="str">
        <f t="shared" si="4"/>
        <v/>
      </c>
      <c r="D115" s="46" t="str">
        <f t="shared" si="5"/>
        <v/>
      </c>
    </row>
    <row r="116" spans="3:4" ht="15.75" x14ac:dyDescent="0.25">
      <c r="C116" s="46" t="str">
        <f t="shared" si="4"/>
        <v/>
      </c>
      <c r="D116" s="46" t="str">
        <f t="shared" si="5"/>
        <v/>
      </c>
    </row>
    <row r="117" spans="3:4" ht="15.75" x14ac:dyDescent="0.25">
      <c r="C117" s="46" t="str">
        <f t="shared" si="4"/>
        <v/>
      </c>
      <c r="D117" s="46" t="str">
        <f t="shared" si="5"/>
        <v/>
      </c>
    </row>
    <row r="118" spans="3:4" ht="15.75" x14ac:dyDescent="0.25">
      <c r="C118" s="46" t="str">
        <f t="shared" si="4"/>
        <v/>
      </c>
      <c r="D118" s="46" t="str">
        <f t="shared" si="5"/>
        <v/>
      </c>
    </row>
    <row r="119" spans="3:4" ht="15.75" x14ac:dyDescent="0.25">
      <c r="C119" s="46" t="str">
        <f t="shared" si="4"/>
        <v/>
      </c>
      <c r="D119" s="46" t="str">
        <f t="shared" si="5"/>
        <v/>
      </c>
    </row>
    <row r="120" spans="3:4" ht="15.75" x14ac:dyDescent="0.25">
      <c r="C120" s="46" t="str">
        <f t="shared" si="4"/>
        <v/>
      </c>
      <c r="D120" s="46" t="str">
        <f t="shared" si="5"/>
        <v/>
      </c>
    </row>
    <row r="121" spans="3:4" ht="15.75" x14ac:dyDescent="0.25">
      <c r="C121" s="46" t="str">
        <f t="shared" si="4"/>
        <v/>
      </c>
      <c r="D121" s="46" t="str">
        <f t="shared" si="5"/>
        <v/>
      </c>
    </row>
    <row r="122" spans="3:4" ht="15.75" x14ac:dyDescent="0.25">
      <c r="C122" s="46" t="str">
        <f t="shared" si="4"/>
        <v/>
      </c>
      <c r="D122" s="46" t="str">
        <f t="shared" si="5"/>
        <v/>
      </c>
    </row>
    <row r="123" spans="3:4" ht="15.75" x14ac:dyDescent="0.25">
      <c r="C123" s="46" t="str">
        <f t="shared" si="4"/>
        <v/>
      </c>
      <c r="D123" s="46" t="str">
        <f t="shared" si="5"/>
        <v/>
      </c>
    </row>
    <row r="124" spans="3:4" ht="15.75" x14ac:dyDescent="0.25">
      <c r="C124" s="46" t="str">
        <f t="shared" si="4"/>
        <v/>
      </c>
      <c r="D124" s="46" t="str">
        <f t="shared" si="5"/>
        <v/>
      </c>
    </row>
    <row r="125" spans="3:4" ht="15.75" x14ac:dyDescent="0.25">
      <c r="C125" s="46" t="str">
        <f t="shared" si="4"/>
        <v/>
      </c>
      <c r="D125" s="46" t="str">
        <f t="shared" si="5"/>
        <v/>
      </c>
    </row>
    <row r="126" spans="3:4" ht="15.75" x14ac:dyDescent="0.25">
      <c r="C126" s="46" t="str">
        <f t="shared" si="4"/>
        <v/>
      </c>
      <c r="D126" s="46" t="str">
        <f t="shared" si="5"/>
        <v/>
      </c>
    </row>
    <row r="127" spans="3:4" ht="15.75" x14ac:dyDescent="0.25">
      <c r="C127" s="46" t="str">
        <f t="shared" si="4"/>
        <v/>
      </c>
      <c r="D127" s="46" t="str">
        <f t="shared" si="5"/>
        <v/>
      </c>
    </row>
    <row r="128" spans="3:4" ht="15.75" x14ac:dyDescent="0.25">
      <c r="C128" s="46" t="str">
        <f t="shared" si="4"/>
        <v/>
      </c>
      <c r="D128" s="46" t="str">
        <f t="shared" si="5"/>
        <v/>
      </c>
    </row>
    <row r="129" spans="3:4" ht="15.75" x14ac:dyDescent="0.25">
      <c r="C129" s="46" t="str">
        <f t="shared" si="4"/>
        <v/>
      </c>
      <c r="D129" s="46" t="str">
        <f t="shared" si="5"/>
        <v/>
      </c>
    </row>
    <row r="130" spans="3:4" ht="15.75" x14ac:dyDescent="0.25">
      <c r="C130" s="46" t="str">
        <f t="shared" si="4"/>
        <v/>
      </c>
      <c r="D130" s="46" t="str">
        <f t="shared" si="5"/>
        <v/>
      </c>
    </row>
    <row r="131" spans="3:4" ht="15.75" x14ac:dyDescent="0.25">
      <c r="C131" s="46" t="str">
        <f t="shared" si="4"/>
        <v/>
      </c>
      <c r="D131" s="46" t="str">
        <f t="shared" si="5"/>
        <v/>
      </c>
    </row>
    <row r="132" spans="3:4" ht="15.75" x14ac:dyDescent="0.25">
      <c r="C132" s="46" t="str">
        <f t="shared" si="4"/>
        <v/>
      </c>
      <c r="D132" s="46" t="str">
        <f t="shared" si="5"/>
        <v/>
      </c>
    </row>
    <row r="133" spans="3:4" ht="15.75" x14ac:dyDescent="0.25">
      <c r="C133" s="46" t="str">
        <f t="shared" si="4"/>
        <v/>
      </c>
      <c r="D133" s="46" t="str">
        <f t="shared" si="5"/>
        <v/>
      </c>
    </row>
    <row r="134" spans="3:4" ht="15.75" x14ac:dyDescent="0.25">
      <c r="C134" s="46" t="str">
        <f t="shared" si="4"/>
        <v/>
      </c>
      <c r="D134" s="46" t="str">
        <f t="shared" si="5"/>
        <v/>
      </c>
    </row>
    <row r="135" spans="3:4" ht="15.75" x14ac:dyDescent="0.25">
      <c r="C135" s="46" t="str">
        <f t="shared" si="4"/>
        <v/>
      </c>
      <c r="D135" s="46" t="str">
        <f t="shared" si="5"/>
        <v/>
      </c>
    </row>
    <row r="136" spans="3:4" ht="15.75" x14ac:dyDescent="0.25">
      <c r="C136" s="46" t="str">
        <f t="shared" si="4"/>
        <v/>
      </c>
      <c r="D136" s="46" t="str">
        <f t="shared" si="5"/>
        <v/>
      </c>
    </row>
    <row r="137" spans="3:4" ht="15.75" x14ac:dyDescent="0.25">
      <c r="C137" s="46" t="str">
        <f t="shared" si="4"/>
        <v/>
      </c>
      <c r="D137" s="46" t="str">
        <f t="shared" si="5"/>
        <v/>
      </c>
    </row>
    <row r="138" spans="3:4" ht="15.75" x14ac:dyDescent="0.25">
      <c r="C138" s="46" t="str">
        <f t="shared" si="4"/>
        <v/>
      </c>
      <c r="D138" s="46" t="str">
        <f t="shared" si="5"/>
        <v/>
      </c>
    </row>
    <row r="139" spans="3:4" ht="15.75" x14ac:dyDescent="0.25">
      <c r="C139" s="46" t="str">
        <f t="shared" si="4"/>
        <v/>
      </c>
      <c r="D139" s="46" t="str">
        <f t="shared" si="5"/>
        <v/>
      </c>
    </row>
    <row r="140" spans="3:4" ht="15.75" x14ac:dyDescent="0.25">
      <c r="C140" s="46" t="str">
        <f t="shared" si="4"/>
        <v/>
      </c>
      <c r="D140" s="46" t="str">
        <f t="shared" si="5"/>
        <v/>
      </c>
    </row>
    <row r="141" spans="3:4" ht="15.75" x14ac:dyDescent="0.25">
      <c r="C141" s="46" t="str">
        <f t="shared" si="4"/>
        <v/>
      </c>
      <c r="D141" s="46" t="str">
        <f t="shared" si="5"/>
        <v/>
      </c>
    </row>
    <row r="142" spans="3:4" ht="15.75" x14ac:dyDescent="0.25">
      <c r="C142" s="46" t="str">
        <f t="shared" si="4"/>
        <v/>
      </c>
      <c r="D142" s="46" t="str">
        <f t="shared" si="5"/>
        <v/>
      </c>
    </row>
    <row r="143" spans="3:4" ht="15.75" x14ac:dyDescent="0.25">
      <c r="C143" s="46" t="str">
        <f t="shared" si="4"/>
        <v/>
      </c>
      <c r="D143" s="46" t="str">
        <f t="shared" si="5"/>
        <v/>
      </c>
    </row>
    <row r="144" spans="3:4" ht="15.75" x14ac:dyDescent="0.25">
      <c r="C144" s="46" t="str">
        <f t="shared" si="4"/>
        <v/>
      </c>
      <c r="D144" s="46" t="str">
        <f t="shared" si="5"/>
        <v/>
      </c>
    </row>
    <row r="145" spans="3:4" ht="15.75" x14ac:dyDescent="0.25">
      <c r="C145" s="46" t="str">
        <f t="shared" si="4"/>
        <v/>
      </c>
      <c r="D145" s="46" t="str">
        <f t="shared" si="5"/>
        <v/>
      </c>
    </row>
    <row r="146" spans="3:4" ht="15.75" x14ac:dyDescent="0.25">
      <c r="C146" s="46" t="str">
        <f t="shared" si="4"/>
        <v/>
      </c>
      <c r="D146" s="46" t="str">
        <f t="shared" si="5"/>
        <v/>
      </c>
    </row>
    <row r="147" spans="3:4" ht="15.75" x14ac:dyDescent="0.25">
      <c r="C147" s="46" t="str">
        <f t="shared" si="4"/>
        <v/>
      </c>
      <c r="D147" s="46" t="str">
        <f t="shared" si="5"/>
        <v/>
      </c>
    </row>
    <row r="148" spans="3:4" ht="15.75" x14ac:dyDescent="0.25">
      <c r="C148" s="46" t="str">
        <f t="shared" si="4"/>
        <v/>
      </c>
      <c r="D148" s="46" t="str">
        <f t="shared" si="5"/>
        <v/>
      </c>
    </row>
    <row r="149" spans="3:4" ht="15.75" x14ac:dyDescent="0.25">
      <c r="C149" s="46" t="str">
        <f t="shared" si="4"/>
        <v/>
      </c>
      <c r="D149" s="46" t="str">
        <f t="shared" si="5"/>
        <v/>
      </c>
    </row>
    <row r="150" spans="3:4" ht="15.75" x14ac:dyDescent="0.25">
      <c r="C150" s="46" t="str">
        <f t="shared" si="4"/>
        <v/>
      </c>
      <c r="D150" s="46" t="str">
        <f t="shared" si="5"/>
        <v/>
      </c>
    </row>
    <row r="151" spans="3:4" ht="15.75" x14ac:dyDescent="0.25">
      <c r="C151" s="46" t="str">
        <f t="shared" si="4"/>
        <v/>
      </c>
      <c r="D151" s="46" t="str">
        <f t="shared" si="5"/>
        <v/>
      </c>
    </row>
    <row r="152" spans="3:4" ht="15.75" x14ac:dyDescent="0.25">
      <c r="C152" s="46" t="str">
        <f t="shared" si="4"/>
        <v/>
      </c>
      <c r="D152" s="46" t="str">
        <f t="shared" si="5"/>
        <v/>
      </c>
    </row>
    <row r="153" spans="3:4" ht="15.75" x14ac:dyDescent="0.25">
      <c r="C153" s="46" t="str">
        <f t="shared" si="4"/>
        <v/>
      </c>
      <c r="D153" s="46" t="str">
        <f t="shared" si="5"/>
        <v/>
      </c>
    </row>
    <row r="154" spans="3:4" ht="15.75" x14ac:dyDescent="0.25">
      <c r="C154" s="46" t="str">
        <f t="shared" si="4"/>
        <v/>
      </c>
      <c r="D154" s="46" t="str">
        <f t="shared" si="5"/>
        <v/>
      </c>
    </row>
    <row r="155" spans="3:4" ht="15.75" x14ac:dyDescent="0.25">
      <c r="C155" s="46" t="str">
        <f t="shared" si="4"/>
        <v/>
      </c>
      <c r="D155" s="46" t="str">
        <f t="shared" si="5"/>
        <v/>
      </c>
    </row>
    <row r="156" spans="3:4" ht="15.75" x14ac:dyDescent="0.25">
      <c r="C156" s="46" t="str">
        <f t="shared" si="4"/>
        <v/>
      </c>
      <c r="D156" s="46" t="str">
        <f t="shared" si="5"/>
        <v/>
      </c>
    </row>
    <row r="157" spans="3:4" ht="15.75" x14ac:dyDescent="0.25">
      <c r="C157" s="46" t="str">
        <f t="shared" si="4"/>
        <v/>
      </c>
      <c r="D157" s="46" t="str">
        <f t="shared" si="5"/>
        <v/>
      </c>
    </row>
    <row r="158" spans="3:4" ht="15.75" x14ac:dyDescent="0.25">
      <c r="C158" s="46" t="str">
        <f t="shared" si="4"/>
        <v/>
      </c>
      <c r="D158" s="46" t="str">
        <f t="shared" si="5"/>
        <v/>
      </c>
    </row>
    <row r="159" spans="3:4" ht="15.75" x14ac:dyDescent="0.25">
      <c r="C159" s="46" t="str">
        <f t="shared" si="4"/>
        <v/>
      </c>
      <c r="D159" s="46" t="str">
        <f t="shared" si="5"/>
        <v/>
      </c>
    </row>
    <row r="160" spans="3:4" ht="15.75" x14ac:dyDescent="0.25">
      <c r="C160" s="46" t="str">
        <f t="shared" si="4"/>
        <v/>
      </c>
      <c r="D160" s="46" t="str">
        <f t="shared" si="5"/>
        <v/>
      </c>
    </row>
    <row r="161" spans="3:4" ht="15.75" x14ac:dyDescent="0.25">
      <c r="C161" s="46" t="str">
        <f t="shared" si="4"/>
        <v/>
      </c>
      <c r="D161" s="46" t="str">
        <f t="shared" si="5"/>
        <v/>
      </c>
    </row>
    <row r="162" spans="3:4" ht="15.75" x14ac:dyDescent="0.25">
      <c r="C162" s="46" t="str">
        <f t="shared" si="4"/>
        <v/>
      </c>
      <c r="D162" s="46" t="str">
        <f t="shared" si="5"/>
        <v/>
      </c>
    </row>
    <row r="163" spans="3:4" ht="15.75" x14ac:dyDescent="0.25">
      <c r="C163" s="46" t="str">
        <f t="shared" si="4"/>
        <v/>
      </c>
      <c r="D163" s="46" t="str">
        <f t="shared" si="5"/>
        <v/>
      </c>
    </row>
    <row r="164" spans="3:4" ht="15.75" x14ac:dyDescent="0.25">
      <c r="C164" s="46" t="str">
        <f t="shared" si="4"/>
        <v/>
      </c>
      <c r="D164" s="46" t="str">
        <f t="shared" si="5"/>
        <v/>
      </c>
    </row>
    <row r="165" spans="3:4" ht="15.75" x14ac:dyDescent="0.25">
      <c r="C165" s="46" t="str">
        <f t="shared" si="4"/>
        <v/>
      </c>
      <c r="D165" s="46" t="str">
        <f t="shared" si="5"/>
        <v/>
      </c>
    </row>
    <row r="166" spans="3:4" ht="15.75" x14ac:dyDescent="0.25">
      <c r="C166" s="46" t="str">
        <f t="shared" si="4"/>
        <v/>
      </c>
      <c r="D166" s="46" t="str">
        <f t="shared" si="5"/>
        <v/>
      </c>
    </row>
    <row r="167" spans="3:4" ht="15.75" x14ac:dyDescent="0.25">
      <c r="C167" s="46" t="str">
        <f t="shared" si="4"/>
        <v/>
      </c>
      <c r="D167" s="46" t="str">
        <f t="shared" si="5"/>
        <v/>
      </c>
    </row>
    <row r="168" spans="3:4" ht="15.75" x14ac:dyDescent="0.25">
      <c r="C168" s="46" t="str">
        <f t="shared" si="4"/>
        <v/>
      </c>
      <c r="D168" s="46" t="str">
        <f t="shared" si="5"/>
        <v/>
      </c>
    </row>
    <row r="169" spans="3:4" ht="15.75" x14ac:dyDescent="0.25">
      <c r="C169" s="46" t="str">
        <f t="shared" si="4"/>
        <v/>
      </c>
      <c r="D169" s="46" t="str">
        <f t="shared" si="5"/>
        <v/>
      </c>
    </row>
    <row r="170" spans="3:4" ht="15.75" x14ac:dyDescent="0.25">
      <c r="C170" s="46" t="str">
        <f t="shared" si="4"/>
        <v/>
      </c>
      <c r="D170" s="46" t="str">
        <f t="shared" si="5"/>
        <v/>
      </c>
    </row>
    <row r="171" spans="3:4" ht="15.75" x14ac:dyDescent="0.25">
      <c r="C171" s="46" t="str">
        <f t="shared" si="4"/>
        <v/>
      </c>
      <c r="D171" s="46" t="str">
        <f t="shared" si="5"/>
        <v/>
      </c>
    </row>
    <row r="172" spans="3:4" ht="15.75" x14ac:dyDescent="0.25">
      <c r="C172" s="46" t="str">
        <f t="shared" si="4"/>
        <v/>
      </c>
      <c r="D172" s="46" t="str">
        <f t="shared" si="5"/>
        <v/>
      </c>
    </row>
    <row r="173" spans="3:4" ht="15.75" x14ac:dyDescent="0.25">
      <c r="C173" s="46" t="str">
        <f t="shared" si="4"/>
        <v/>
      </c>
      <c r="D173" s="46" t="str">
        <f t="shared" si="5"/>
        <v/>
      </c>
    </row>
    <row r="174" spans="3:4" ht="15.75" x14ac:dyDescent="0.25">
      <c r="C174" s="46" t="str">
        <f t="shared" ref="C174:C237" si="6">IF(COUNTIF(E174:BA174,"YES")=0,"",COUNTIF(E174:BA174,"YES"))</f>
        <v/>
      </c>
      <c r="D174" s="46" t="str">
        <f t="shared" ref="D174:D237" si="7">IF(COUNTIF(E174:BA174,"NO")=0,"",COUNTIF(E174:BA174,"NO"))</f>
        <v/>
      </c>
    </row>
    <row r="175" spans="3:4" ht="15.75" x14ac:dyDescent="0.25">
      <c r="C175" s="46" t="str">
        <f t="shared" si="6"/>
        <v/>
      </c>
      <c r="D175" s="46" t="str">
        <f t="shared" si="7"/>
        <v/>
      </c>
    </row>
    <row r="176" spans="3:4" ht="15.75" x14ac:dyDescent="0.25">
      <c r="C176" s="46" t="str">
        <f t="shared" si="6"/>
        <v/>
      </c>
      <c r="D176" s="46" t="str">
        <f t="shared" si="7"/>
        <v/>
      </c>
    </row>
    <row r="177" spans="3:4" ht="15.75" x14ac:dyDescent="0.25">
      <c r="C177" s="46" t="str">
        <f t="shared" si="6"/>
        <v/>
      </c>
      <c r="D177" s="46" t="str">
        <f t="shared" si="7"/>
        <v/>
      </c>
    </row>
    <row r="178" spans="3:4" ht="15.75" x14ac:dyDescent="0.25">
      <c r="C178" s="46" t="str">
        <f t="shared" si="6"/>
        <v/>
      </c>
      <c r="D178" s="46" t="str">
        <f t="shared" si="7"/>
        <v/>
      </c>
    </row>
    <row r="179" spans="3:4" ht="15.75" x14ac:dyDescent="0.25">
      <c r="C179" s="46" t="str">
        <f t="shared" si="6"/>
        <v/>
      </c>
      <c r="D179" s="46" t="str">
        <f t="shared" si="7"/>
        <v/>
      </c>
    </row>
    <row r="180" spans="3:4" ht="15.75" x14ac:dyDescent="0.25">
      <c r="C180" s="46" t="str">
        <f t="shared" si="6"/>
        <v/>
      </c>
      <c r="D180" s="46" t="str">
        <f t="shared" si="7"/>
        <v/>
      </c>
    </row>
    <row r="181" spans="3:4" ht="15.75" x14ac:dyDescent="0.25">
      <c r="C181" s="46" t="str">
        <f t="shared" si="6"/>
        <v/>
      </c>
      <c r="D181" s="46" t="str">
        <f t="shared" si="7"/>
        <v/>
      </c>
    </row>
    <row r="182" spans="3:4" ht="15.75" x14ac:dyDescent="0.25">
      <c r="C182" s="46" t="str">
        <f t="shared" si="6"/>
        <v/>
      </c>
      <c r="D182" s="46" t="str">
        <f t="shared" si="7"/>
        <v/>
      </c>
    </row>
    <row r="183" spans="3:4" ht="15.75" x14ac:dyDescent="0.25">
      <c r="C183" s="46" t="str">
        <f t="shared" si="6"/>
        <v/>
      </c>
      <c r="D183" s="46" t="str">
        <f t="shared" si="7"/>
        <v/>
      </c>
    </row>
    <row r="184" spans="3:4" ht="15.75" x14ac:dyDescent="0.25">
      <c r="C184" s="46" t="str">
        <f t="shared" si="6"/>
        <v/>
      </c>
      <c r="D184" s="46" t="str">
        <f t="shared" si="7"/>
        <v/>
      </c>
    </row>
    <row r="185" spans="3:4" ht="15.75" x14ac:dyDescent="0.25">
      <c r="C185" s="46" t="str">
        <f t="shared" si="6"/>
        <v/>
      </c>
      <c r="D185" s="46" t="str">
        <f t="shared" si="7"/>
        <v/>
      </c>
    </row>
    <row r="186" spans="3:4" ht="15.75" x14ac:dyDescent="0.25">
      <c r="C186" s="46" t="str">
        <f t="shared" si="6"/>
        <v/>
      </c>
      <c r="D186" s="46" t="str">
        <f t="shared" si="7"/>
        <v/>
      </c>
    </row>
    <row r="187" spans="3:4" ht="15.75" x14ac:dyDescent="0.25">
      <c r="C187" s="46" t="str">
        <f t="shared" si="6"/>
        <v/>
      </c>
      <c r="D187" s="46" t="str">
        <f t="shared" si="7"/>
        <v/>
      </c>
    </row>
    <row r="188" spans="3:4" ht="15.75" x14ac:dyDescent="0.25">
      <c r="C188" s="46" t="str">
        <f t="shared" si="6"/>
        <v/>
      </c>
      <c r="D188" s="46" t="str">
        <f t="shared" si="7"/>
        <v/>
      </c>
    </row>
    <row r="189" spans="3:4" ht="15.75" x14ac:dyDescent="0.25">
      <c r="C189" s="46" t="str">
        <f t="shared" si="6"/>
        <v/>
      </c>
      <c r="D189" s="46" t="str">
        <f t="shared" si="7"/>
        <v/>
      </c>
    </row>
    <row r="190" spans="3:4" ht="15.75" x14ac:dyDescent="0.25">
      <c r="C190" s="46" t="str">
        <f t="shared" si="6"/>
        <v/>
      </c>
      <c r="D190" s="46" t="str">
        <f t="shared" si="7"/>
        <v/>
      </c>
    </row>
    <row r="191" spans="3:4" ht="15.75" x14ac:dyDescent="0.25">
      <c r="C191" s="46" t="str">
        <f t="shared" si="6"/>
        <v/>
      </c>
      <c r="D191" s="46" t="str">
        <f t="shared" si="7"/>
        <v/>
      </c>
    </row>
    <row r="192" spans="3:4" ht="15.75" x14ac:dyDescent="0.25">
      <c r="C192" s="46" t="str">
        <f t="shared" si="6"/>
        <v/>
      </c>
      <c r="D192" s="46" t="str">
        <f t="shared" si="7"/>
        <v/>
      </c>
    </row>
    <row r="193" spans="3:4" ht="15.75" x14ac:dyDescent="0.25">
      <c r="C193" s="46" t="str">
        <f t="shared" si="6"/>
        <v/>
      </c>
      <c r="D193" s="46" t="str">
        <f t="shared" si="7"/>
        <v/>
      </c>
    </row>
    <row r="194" spans="3:4" ht="15.75" x14ac:dyDescent="0.25">
      <c r="C194" s="46" t="str">
        <f t="shared" si="6"/>
        <v/>
      </c>
      <c r="D194" s="46" t="str">
        <f t="shared" si="7"/>
        <v/>
      </c>
    </row>
    <row r="195" spans="3:4" ht="15.75" x14ac:dyDescent="0.25">
      <c r="C195" s="46" t="str">
        <f t="shared" si="6"/>
        <v/>
      </c>
      <c r="D195" s="46" t="str">
        <f t="shared" si="7"/>
        <v/>
      </c>
    </row>
    <row r="196" spans="3:4" ht="15.75" x14ac:dyDescent="0.25">
      <c r="C196" s="46" t="str">
        <f t="shared" si="6"/>
        <v/>
      </c>
      <c r="D196" s="46" t="str">
        <f t="shared" si="7"/>
        <v/>
      </c>
    </row>
    <row r="197" spans="3:4" ht="15.75" x14ac:dyDescent="0.25">
      <c r="C197" s="46" t="str">
        <f t="shared" si="6"/>
        <v/>
      </c>
      <c r="D197" s="46" t="str">
        <f t="shared" si="7"/>
        <v/>
      </c>
    </row>
    <row r="198" spans="3:4" ht="15.75" x14ac:dyDescent="0.25">
      <c r="C198" s="46" t="str">
        <f t="shared" si="6"/>
        <v/>
      </c>
      <c r="D198" s="46" t="str">
        <f t="shared" si="7"/>
        <v/>
      </c>
    </row>
    <row r="199" spans="3:4" ht="15.75" x14ac:dyDescent="0.25">
      <c r="C199" s="46" t="str">
        <f t="shared" si="6"/>
        <v/>
      </c>
      <c r="D199" s="46" t="str">
        <f t="shared" si="7"/>
        <v/>
      </c>
    </row>
    <row r="200" spans="3:4" ht="15.75" x14ac:dyDescent="0.25">
      <c r="C200" s="46" t="str">
        <f t="shared" si="6"/>
        <v/>
      </c>
      <c r="D200" s="46" t="str">
        <f t="shared" si="7"/>
        <v/>
      </c>
    </row>
    <row r="201" spans="3:4" ht="15.75" x14ac:dyDescent="0.25">
      <c r="C201" s="46" t="str">
        <f t="shared" si="6"/>
        <v/>
      </c>
      <c r="D201" s="46" t="str">
        <f t="shared" si="7"/>
        <v/>
      </c>
    </row>
    <row r="202" spans="3:4" ht="15.75" x14ac:dyDescent="0.25">
      <c r="C202" s="46" t="str">
        <f t="shared" si="6"/>
        <v/>
      </c>
      <c r="D202" s="46" t="str">
        <f t="shared" si="7"/>
        <v/>
      </c>
    </row>
    <row r="203" spans="3:4" ht="15.75" x14ac:dyDescent="0.25">
      <c r="C203" s="46" t="str">
        <f t="shared" si="6"/>
        <v/>
      </c>
      <c r="D203" s="46" t="str">
        <f t="shared" si="7"/>
        <v/>
      </c>
    </row>
    <row r="204" spans="3:4" ht="15.75" x14ac:dyDescent="0.25">
      <c r="C204" s="46" t="str">
        <f t="shared" si="6"/>
        <v/>
      </c>
      <c r="D204" s="46" t="str">
        <f t="shared" si="7"/>
        <v/>
      </c>
    </row>
    <row r="205" spans="3:4" ht="15.75" x14ac:dyDescent="0.25">
      <c r="C205" s="46" t="str">
        <f t="shared" si="6"/>
        <v/>
      </c>
      <c r="D205" s="46" t="str">
        <f t="shared" si="7"/>
        <v/>
      </c>
    </row>
    <row r="206" spans="3:4" ht="15.75" x14ac:dyDescent="0.25">
      <c r="C206" s="46" t="str">
        <f t="shared" si="6"/>
        <v/>
      </c>
      <c r="D206" s="46" t="str">
        <f t="shared" si="7"/>
        <v/>
      </c>
    </row>
    <row r="207" spans="3:4" ht="15.75" x14ac:dyDescent="0.25">
      <c r="C207" s="46" t="str">
        <f t="shared" si="6"/>
        <v/>
      </c>
      <c r="D207" s="46" t="str">
        <f t="shared" si="7"/>
        <v/>
      </c>
    </row>
    <row r="208" spans="3:4" ht="15.75" x14ac:dyDescent="0.25">
      <c r="C208" s="46" t="str">
        <f t="shared" si="6"/>
        <v/>
      </c>
      <c r="D208" s="46" t="str">
        <f t="shared" si="7"/>
        <v/>
      </c>
    </row>
    <row r="209" spans="3:4" ht="15.75" x14ac:dyDescent="0.25">
      <c r="C209" s="46" t="str">
        <f t="shared" si="6"/>
        <v/>
      </c>
      <c r="D209" s="46" t="str">
        <f t="shared" si="7"/>
        <v/>
      </c>
    </row>
    <row r="210" spans="3:4" ht="15.75" x14ac:dyDescent="0.25">
      <c r="C210" s="46" t="str">
        <f t="shared" si="6"/>
        <v/>
      </c>
      <c r="D210" s="46" t="str">
        <f t="shared" si="7"/>
        <v/>
      </c>
    </row>
    <row r="211" spans="3:4" ht="15.75" x14ac:dyDescent="0.25">
      <c r="C211" s="46" t="str">
        <f t="shared" si="6"/>
        <v/>
      </c>
      <c r="D211" s="46" t="str">
        <f t="shared" si="7"/>
        <v/>
      </c>
    </row>
    <row r="212" spans="3:4" ht="15.75" x14ac:dyDescent="0.25">
      <c r="C212" s="46" t="str">
        <f t="shared" si="6"/>
        <v/>
      </c>
      <c r="D212" s="46" t="str">
        <f t="shared" si="7"/>
        <v/>
      </c>
    </row>
    <row r="213" spans="3:4" ht="15.75" x14ac:dyDescent="0.25">
      <c r="C213" s="46" t="str">
        <f t="shared" si="6"/>
        <v/>
      </c>
      <c r="D213" s="46" t="str">
        <f t="shared" si="7"/>
        <v/>
      </c>
    </row>
    <row r="214" spans="3:4" ht="15.75" x14ac:dyDescent="0.25">
      <c r="C214" s="46" t="str">
        <f t="shared" si="6"/>
        <v/>
      </c>
      <c r="D214" s="46" t="str">
        <f t="shared" si="7"/>
        <v/>
      </c>
    </row>
    <row r="215" spans="3:4" ht="15.75" x14ac:dyDescent="0.25">
      <c r="C215" s="46" t="str">
        <f t="shared" si="6"/>
        <v/>
      </c>
      <c r="D215" s="46" t="str">
        <f t="shared" si="7"/>
        <v/>
      </c>
    </row>
    <row r="216" spans="3:4" ht="15.75" x14ac:dyDescent="0.25">
      <c r="C216" s="46" t="str">
        <f t="shared" si="6"/>
        <v/>
      </c>
      <c r="D216" s="46" t="str">
        <f t="shared" si="7"/>
        <v/>
      </c>
    </row>
    <row r="217" spans="3:4" ht="15.75" x14ac:dyDescent="0.25">
      <c r="C217" s="46" t="str">
        <f t="shared" si="6"/>
        <v/>
      </c>
      <c r="D217" s="46" t="str">
        <f t="shared" si="7"/>
        <v/>
      </c>
    </row>
    <row r="218" spans="3:4" ht="15.75" x14ac:dyDescent="0.25">
      <c r="C218" s="46" t="str">
        <f t="shared" si="6"/>
        <v/>
      </c>
      <c r="D218" s="46" t="str">
        <f t="shared" si="7"/>
        <v/>
      </c>
    </row>
    <row r="219" spans="3:4" ht="15.75" x14ac:dyDescent="0.25">
      <c r="C219" s="46" t="str">
        <f t="shared" si="6"/>
        <v/>
      </c>
      <c r="D219" s="46" t="str">
        <f t="shared" si="7"/>
        <v/>
      </c>
    </row>
    <row r="220" spans="3:4" ht="15.75" x14ac:dyDescent="0.25">
      <c r="C220" s="46" t="str">
        <f t="shared" si="6"/>
        <v/>
      </c>
      <c r="D220" s="46" t="str">
        <f t="shared" si="7"/>
        <v/>
      </c>
    </row>
    <row r="221" spans="3:4" ht="15.75" x14ac:dyDescent="0.25">
      <c r="C221" s="46" t="str">
        <f t="shared" si="6"/>
        <v/>
      </c>
      <c r="D221" s="46" t="str">
        <f t="shared" si="7"/>
        <v/>
      </c>
    </row>
    <row r="222" spans="3:4" ht="15.75" x14ac:dyDescent="0.25">
      <c r="C222" s="46" t="str">
        <f t="shared" si="6"/>
        <v/>
      </c>
      <c r="D222" s="46" t="str">
        <f t="shared" si="7"/>
        <v/>
      </c>
    </row>
    <row r="223" spans="3:4" ht="15.75" x14ac:dyDescent="0.25">
      <c r="C223" s="46" t="str">
        <f t="shared" si="6"/>
        <v/>
      </c>
      <c r="D223" s="46" t="str">
        <f t="shared" si="7"/>
        <v/>
      </c>
    </row>
    <row r="224" spans="3:4" ht="15.75" x14ac:dyDescent="0.25">
      <c r="C224" s="46" t="str">
        <f t="shared" si="6"/>
        <v/>
      </c>
      <c r="D224" s="46" t="str">
        <f t="shared" si="7"/>
        <v/>
      </c>
    </row>
    <row r="225" spans="3:4" ht="15.75" x14ac:dyDescent="0.25">
      <c r="C225" s="46" t="str">
        <f t="shared" si="6"/>
        <v/>
      </c>
      <c r="D225" s="46" t="str">
        <f t="shared" si="7"/>
        <v/>
      </c>
    </row>
    <row r="226" spans="3:4" ht="15.75" x14ac:dyDescent="0.25">
      <c r="C226" s="46" t="str">
        <f t="shared" si="6"/>
        <v/>
      </c>
      <c r="D226" s="46" t="str">
        <f t="shared" si="7"/>
        <v/>
      </c>
    </row>
    <row r="227" spans="3:4" ht="15.75" x14ac:dyDescent="0.25">
      <c r="C227" s="46" t="str">
        <f t="shared" si="6"/>
        <v/>
      </c>
      <c r="D227" s="46" t="str">
        <f t="shared" si="7"/>
        <v/>
      </c>
    </row>
    <row r="228" spans="3:4" ht="15.75" x14ac:dyDescent="0.25">
      <c r="C228" s="46" t="str">
        <f t="shared" si="6"/>
        <v/>
      </c>
      <c r="D228" s="46" t="str">
        <f t="shared" si="7"/>
        <v/>
      </c>
    </row>
    <row r="229" spans="3:4" ht="15.75" x14ac:dyDescent="0.25">
      <c r="C229" s="46" t="str">
        <f t="shared" si="6"/>
        <v/>
      </c>
      <c r="D229" s="46" t="str">
        <f t="shared" si="7"/>
        <v/>
      </c>
    </row>
    <row r="230" spans="3:4" ht="15.75" x14ac:dyDescent="0.25">
      <c r="C230" s="46" t="str">
        <f t="shared" si="6"/>
        <v/>
      </c>
      <c r="D230" s="46" t="str">
        <f t="shared" si="7"/>
        <v/>
      </c>
    </row>
    <row r="231" spans="3:4" ht="15.75" x14ac:dyDescent="0.25">
      <c r="C231" s="46" t="str">
        <f t="shared" si="6"/>
        <v/>
      </c>
      <c r="D231" s="46" t="str">
        <f t="shared" si="7"/>
        <v/>
      </c>
    </row>
    <row r="232" spans="3:4" ht="15.75" x14ac:dyDescent="0.25">
      <c r="C232" s="46" t="str">
        <f t="shared" si="6"/>
        <v/>
      </c>
      <c r="D232" s="46" t="str">
        <f t="shared" si="7"/>
        <v/>
      </c>
    </row>
    <row r="233" spans="3:4" ht="15.75" x14ac:dyDescent="0.25">
      <c r="C233" s="46" t="str">
        <f t="shared" si="6"/>
        <v/>
      </c>
      <c r="D233" s="46" t="str">
        <f t="shared" si="7"/>
        <v/>
      </c>
    </row>
    <row r="234" spans="3:4" ht="15.75" x14ac:dyDescent="0.25">
      <c r="C234" s="46" t="str">
        <f t="shared" si="6"/>
        <v/>
      </c>
      <c r="D234" s="46" t="str">
        <f t="shared" si="7"/>
        <v/>
      </c>
    </row>
    <row r="235" spans="3:4" ht="15.75" x14ac:dyDescent="0.25">
      <c r="C235" s="46" t="str">
        <f t="shared" si="6"/>
        <v/>
      </c>
      <c r="D235" s="46" t="str">
        <f t="shared" si="7"/>
        <v/>
      </c>
    </row>
    <row r="236" spans="3:4" ht="15.75" x14ac:dyDescent="0.25">
      <c r="C236" s="46" t="str">
        <f t="shared" si="6"/>
        <v/>
      </c>
      <c r="D236" s="46" t="str">
        <f t="shared" si="7"/>
        <v/>
      </c>
    </row>
    <row r="237" spans="3:4" ht="15.75" x14ac:dyDescent="0.25">
      <c r="C237" s="46" t="str">
        <f t="shared" si="6"/>
        <v/>
      </c>
      <c r="D237" s="46" t="str">
        <f t="shared" si="7"/>
        <v/>
      </c>
    </row>
    <row r="238" spans="3:4" ht="15.75" x14ac:dyDescent="0.25">
      <c r="C238" s="46" t="str">
        <f t="shared" ref="C238:C302" si="8">IF(COUNTIF(E238:BA238,"YES")=0,"",COUNTIF(E238:BA238,"YES"))</f>
        <v/>
      </c>
      <c r="D238" s="46" t="str">
        <f t="shared" ref="D238:D301" si="9">IF(COUNTIF(E238:BA238,"NO")=0,"",COUNTIF(E238:BA238,"NO"))</f>
        <v/>
      </c>
    </row>
    <row r="239" spans="3:4" ht="15.75" x14ac:dyDescent="0.25">
      <c r="C239" s="46" t="str">
        <f t="shared" si="8"/>
        <v/>
      </c>
      <c r="D239" s="46" t="str">
        <f t="shared" si="9"/>
        <v/>
      </c>
    </row>
    <row r="240" spans="3:4" ht="15.75" x14ac:dyDescent="0.25">
      <c r="C240" s="46" t="str">
        <f t="shared" si="8"/>
        <v/>
      </c>
      <c r="D240" s="46" t="str">
        <f t="shared" si="9"/>
        <v/>
      </c>
    </row>
    <row r="241" spans="3:4" ht="15.75" x14ac:dyDescent="0.25">
      <c r="C241" s="46" t="str">
        <f t="shared" si="8"/>
        <v/>
      </c>
      <c r="D241" s="46" t="str">
        <f t="shared" si="9"/>
        <v/>
      </c>
    </row>
    <row r="242" spans="3:4" ht="15.75" x14ac:dyDescent="0.25">
      <c r="C242" s="46" t="str">
        <f t="shared" si="8"/>
        <v/>
      </c>
      <c r="D242" s="46" t="str">
        <f t="shared" si="9"/>
        <v/>
      </c>
    </row>
    <row r="243" spans="3:4" ht="15.75" x14ac:dyDescent="0.25">
      <c r="C243" s="46" t="str">
        <f t="shared" si="8"/>
        <v/>
      </c>
      <c r="D243" s="46" t="str">
        <f t="shared" si="9"/>
        <v/>
      </c>
    </row>
    <row r="244" spans="3:4" ht="15.75" x14ac:dyDescent="0.25">
      <c r="C244" s="46" t="str">
        <f t="shared" si="8"/>
        <v/>
      </c>
      <c r="D244" s="46" t="str">
        <f t="shared" si="9"/>
        <v/>
      </c>
    </row>
    <row r="245" spans="3:4" ht="15.75" x14ac:dyDescent="0.25">
      <c r="C245" s="46" t="str">
        <f t="shared" si="8"/>
        <v/>
      </c>
      <c r="D245" s="46" t="str">
        <f t="shared" si="9"/>
        <v/>
      </c>
    </row>
    <row r="246" spans="3:4" ht="15.75" x14ac:dyDescent="0.25">
      <c r="C246" s="46" t="str">
        <f t="shared" si="8"/>
        <v/>
      </c>
      <c r="D246" s="46" t="str">
        <f t="shared" si="9"/>
        <v/>
      </c>
    </row>
    <row r="247" spans="3:4" ht="15.75" x14ac:dyDescent="0.25">
      <c r="C247" s="46" t="str">
        <f t="shared" si="8"/>
        <v/>
      </c>
      <c r="D247" s="46" t="str">
        <f t="shared" si="9"/>
        <v/>
      </c>
    </row>
    <row r="248" spans="3:4" ht="15.75" x14ac:dyDescent="0.25">
      <c r="C248" s="46" t="str">
        <f t="shared" si="8"/>
        <v/>
      </c>
      <c r="D248" s="46" t="str">
        <f t="shared" si="9"/>
        <v/>
      </c>
    </row>
    <row r="249" spans="3:4" ht="15.75" x14ac:dyDescent="0.25">
      <c r="C249" s="46" t="str">
        <f t="shared" si="8"/>
        <v/>
      </c>
      <c r="D249" s="46" t="str">
        <f t="shared" si="9"/>
        <v/>
      </c>
    </row>
    <row r="250" spans="3:4" ht="15.75" x14ac:dyDescent="0.25">
      <c r="C250" s="46" t="str">
        <f t="shared" si="8"/>
        <v/>
      </c>
      <c r="D250" s="46" t="str">
        <f t="shared" si="9"/>
        <v/>
      </c>
    </row>
    <row r="251" spans="3:4" ht="15.75" x14ac:dyDescent="0.25">
      <c r="C251" s="46" t="str">
        <f t="shared" si="8"/>
        <v/>
      </c>
      <c r="D251" s="46" t="str">
        <f t="shared" si="9"/>
        <v/>
      </c>
    </row>
    <row r="252" spans="3:4" ht="15.75" x14ac:dyDescent="0.25">
      <c r="C252" s="46" t="str">
        <f t="shared" si="8"/>
        <v/>
      </c>
      <c r="D252" s="46" t="str">
        <f t="shared" si="9"/>
        <v/>
      </c>
    </row>
    <row r="253" spans="3:4" ht="15.75" x14ac:dyDescent="0.25">
      <c r="C253" s="46" t="str">
        <f t="shared" si="8"/>
        <v/>
      </c>
      <c r="D253" s="46" t="str">
        <f t="shared" si="9"/>
        <v/>
      </c>
    </row>
    <row r="254" spans="3:4" ht="15.75" x14ac:dyDescent="0.25">
      <c r="C254" s="46" t="str">
        <f t="shared" si="8"/>
        <v/>
      </c>
      <c r="D254" s="46" t="str">
        <f t="shared" si="9"/>
        <v/>
      </c>
    </row>
    <row r="255" spans="3:4" ht="15.75" x14ac:dyDescent="0.25">
      <c r="C255" s="46" t="str">
        <f t="shared" si="8"/>
        <v/>
      </c>
      <c r="D255" s="46" t="str">
        <f t="shared" si="9"/>
        <v/>
      </c>
    </row>
    <row r="256" spans="3:4" ht="15.75" x14ac:dyDescent="0.25">
      <c r="C256" s="46" t="str">
        <f t="shared" si="8"/>
        <v/>
      </c>
      <c r="D256" s="46" t="str">
        <f t="shared" si="9"/>
        <v/>
      </c>
    </row>
    <row r="257" spans="3:4" ht="15.75" x14ac:dyDescent="0.25">
      <c r="C257" s="46" t="str">
        <f t="shared" si="8"/>
        <v/>
      </c>
      <c r="D257" s="46" t="str">
        <f t="shared" si="9"/>
        <v/>
      </c>
    </row>
    <row r="258" spans="3:4" ht="15.75" x14ac:dyDescent="0.25">
      <c r="C258" s="46" t="str">
        <f t="shared" si="8"/>
        <v/>
      </c>
      <c r="D258" s="46" t="str">
        <f t="shared" si="9"/>
        <v/>
      </c>
    </row>
    <row r="259" spans="3:4" ht="15.75" x14ac:dyDescent="0.25">
      <c r="C259" s="46" t="str">
        <f t="shared" si="8"/>
        <v/>
      </c>
      <c r="D259" s="46" t="str">
        <f t="shared" si="9"/>
        <v/>
      </c>
    </row>
    <row r="260" spans="3:4" ht="15.75" x14ac:dyDescent="0.25">
      <c r="C260" s="46" t="str">
        <f t="shared" si="8"/>
        <v/>
      </c>
      <c r="D260" s="46" t="str">
        <f t="shared" si="9"/>
        <v/>
      </c>
    </row>
    <row r="261" spans="3:4" ht="15.75" x14ac:dyDescent="0.25">
      <c r="C261" s="46" t="str">
        <f t="shared" si="8"/>
        <v/>
      </c>
      <c r="D261" s="46" t="str">
        <f t="shared" si="9"/>
        <v/>
      </c>
    </row>
    <row r="262" spans="3:4" ht="15.75" x14ac:dyDescent="0.25">
      <c r="C262" s="46" t="str">
        <f t="shared" si="8"/>
        <v/>
      </c>
      <c r="D262" s="46" t="str">
        <f t="shared" si="9"/>
        <v/>
      </c>
    </row>
    <row r="263" spans="3:4" ht="15.75" x14ac:dyDescent="0.25">
      <c r="C263" s="46" t="str">
        <f t="shared" si="8"/>
        <v/>
      </c>
      <c r="D263" s="46" t="str">
        <f t="shared" si="9"/>
        <v/>
      </c>
    </row>
    <row r="264" spans="3:4" ht="15.75" x14ac:dyDescent="0.25">
      <c r="C264" s="46" t="str">
        <f t="shared" si="8"/>
        <v/>
      </c>
      <c r="D264" s="46" t="str">
        <f t="shared" si="9"/>
        <v/>
      </c>
    </row>
    <row r="265" spans="3:4" ht="15.75" x14ac:dyDescent="0.25">
      <c r="C265" s="46" t="str">
        <f t="shared" si="8"/>
        <v/>
      </c>
      <c r="D265" s="46" t="str">
        <f t="shared" si="9"/>
        <v/>
      </c>
    </row>
    <row r="266" spans="3:4" ht="15.75" x14ac:dyDescent="0.25">
      <c r="C266" s="46" t="str">
        <f t="shared" si="8"/>
        <v/>
      </c>
      <c r="D266" s="46" t="str">
        <f t="shared" si="9"/>
        <v/>
      </c>
    </row>
    <row r="267" spans="3:4" ht="15.75" x14ac:dyDescent="0.25">
      <c r="C267" s="46" t="str">
        <f t="shared" si="8"/>
        <v/>
      </c>
      <c r="D267" s="46" t="str">
        <f t="shared" si="9"/>
        <v/>
      </c>
    </row>
    <row r="268" spans="3:4" ht="15.75" x14ac:dyDescent="0.25">
      <c r="C268" s="46" t="str">
        <f t="shared" si="8"/>
        <v/>
      </c>
      <c r="D268" s="46" t="str">
        <f t="shared" si="9"/>
        <v/>
      </c>
    </row>
    <row r="269" spans="3:4" ht="15.75" x14ac:dyDescent="0.25">
      <c r="C269" s="46" t="str">
        <f t="shared" si="8"/>
        <v/>
      </c>
      <c r="D269" s="46" t="str">
        <f t="shared" si="9"/>
        <v/>
      </c>
    </row>
    <row r="270" spans="3:4" ht="15.75" x14ac:dyDescent="0.25">
      <c r="C270" s="46" t="str">
        <f t="shared" si="8"/>
        <v/>
      </c>
      <c r="D270" s="46" t="str">
        <f t="shared" si="9"/>
        <v/>
      </c>
    </row>
    <row r="271" spans="3:4" ht="15.75" x14ac:dyDescent="0.25">
      <c r="C271" s="46" t="str">
        <f t="shared" si="8"/>
        <v/>
      </c>
      <c r="D271" s="46" t="str">
        <f t="shared" si="9"/>
        <v/>
      </c>
    </row>
    <row r="272" spans="3:4" ht="15.75" x14ac:dyDescent="0.25">
      <c r="C272" s="46" t="str">
        <f t="shared" si="8"/>
        <v/>
      </c>
      <c r="D272" s="46" t="str">
        <f t="shared" si="9"/>
        <v/>
      </c>
    </row>
    <row r="273" spans="3:4" ht="15.75" x14ac:dyDescent="0.25">
      <c r="C273" s="46" t="str">
        <f t="shared" si="8"/>
        <v/>
      </c>
      <c r="D273" s="46" t="str">
        <f t="shared" si="9"/>
        <v/>
      </c>
    </row>
    <row r="274" spans="3:4" ht="15.75" x14ac:dyDescent="0.25">
      <c r="C274" s="46" t="str">
        <f t="shared" si="8"/>
        <v/>
      </c>
      <c r="D274" s="46" t="str">
        <f t="shared" si="9"/>
        <v/>
      </c>
    </row>
    <row r="275" spans="3:4" ht="15.75" x14ac:dyDescent="0.25">
      <c r="C275" s="46" t="str">
        <f t="shared" si="8"/>
        <v/>
      </c>
      <c r="D275" s="46" t="str">
        <f t="shared" si="9"/>
        <v/>
      </c>
    </row>
    <row r="276" spans="3:4" ht="15.75" x14ac:dyDescent="0.25">
      <c r="C276" s="46" t="str">
        <f t="shared" si="8"/>
        <v/>
      </c>
      <c r="D276" s="46" t="str">
        <f t="shared" si="9"/>
        <v/>
      </c>
    </row>
    <row r="277" spans="3:4" ht="15.75" x14ac:dyDescent="0.25">
      <c r="C277" s="46" t="str">
        <f t="shared" si="8"/>
        <v/>
      </c>
      <c r="D277" s="46" t="str">
        <f t="shared" si="9"/>
        <v/>
      </c>
    </row>
    <row r="278" spans="3:4" ht="15.75" x14ac:dyDescent="0.25">
      <c r="C278" s="46" t="str">
        <f t="shared" si="8"/>
        <v/>
      </c>
      <c r="D278" s="46" t="str">
        <f t="shared" si="9"/>
        <v/>
      </c>
    </row>
    <row r="279" spans="3:4" ht="15.75" x14ac:dyDescent="0.25">
      <c r="C279" s="46" t="str">
        <f t="shared" si="8"/>
        <v/>
      </c>
      <c r="D279" s="46" t="str">
        <f t="shared" si="9"/>
        <v/>
      </c>
    </row>
    <row r="280" spans="3:4" ht="15.75" x14ac:dyDescent="0.25">
      <c r="C280" s="46" t="str">
        <f t="shared" si="8"/>
        <v/>
      </c>
      <c r="D280" s="46" t="str">
        <f t="shared" si="9"/>
        <v/>
      </c>
    </row>
    <row r="281" spans="3:4" ht="15.75" x14ac:dyDescent="0.25">
      <c r="C281" s="46" t="str">
        <f t="shared" si="8"/>
        <v/>
      </c>
      <c r="D281" s="46" t="str">
        <f t="shared" si="9"/>
        <v/>
      </c>
    </row>
    <row r="282" spans="3:4" ht="15.75" x14ac:dyDescent="0.25">
      <c r="C282" s="46" t="str">
        <f t="shared" si="8"/>
        <v/>
      </c>
      <c r="D282" s="46" t="str">
        <f t="shared" si="9"/>
        <v/>
      </c>
    </row>
    <row r="283" spans="3:4" ht="15.75" x14ac:dyDescent="0.25">
      <c r="C283" s="46" t="str">
        <f t="shared" si="8"/>
        <v/>
      </c>
      <c r="D283" s="46" t="str">
        <f t="shared" si="9"/>
        <v/>
      </c>
    </row>
    <row r="284" spans="3:4" ht="15.75" x14ac:dyDescent="0.25">
      <c r="C284" s="46" t="str">
        <f t="shared" si="8"/>
        <v/>
      </c>
      <c r="D284" s="46" t="str">
        <f t="shared" si="9"/>
        <v/>
      </c>
    </row>
    <row r="285" spans="3:4" ht="15.75" x14ac:dyDescent="0.25">
      <c r="C285" s="46" t="str">
        <f t="shared" si="8"/>
        <v/>
      </c>
      <c r="D285" s="46" t="str">
        <f t="shared" si="9"/>
        <v/>
      </c>
    </row>
    <row r="286" spans="3:4" ht="15.75" x14ac:dyDescent="0.25">
      <c r="C286" s="46" t="str">
        <f t="shared" si="8"/>
        <v/>
      </c>
      <c r="D286" s="46" t="str">
        <f t="shared" si="9"/>
        <v/>
      </c>
    </row>
    <row r="287" spans="3:4" ht="15.75" x14ac:dyDescent="0.25">
      <c r="C287" s="46" t="str">
        <f t="shared" si="8"/>
        <v/>
      </c>
      <c r="D287" s="46" t="str">
        <f t="shared" si="9"/>
        <v/>
      </c>
    </row>
    <row r="288" spans="3:4" ht="15.75" x14ac:dyDescent="0.25">
      <c r="C288" s="46" t="str">
        <f t="shared" si="8"/>
        <v/>
      </c>
      <c r="D288" s="46" t="str">
        <f t="shared" si="9"/>
        <v/>
      </c>
    </row>
    <row r="289" spans="3:4" ht="15.75" x14ac:dyDescent="0.25">
      <c r="C289" s="46" t="str">
        <f t="shared" si="8"/>
        <v/>
      </c>
      <c r="D289" s="46" t="str">
        <f t="shared" si="9"/>
        <v/>
      </c>
    </row>
    <row r="290" spans="3:4" ht="15.75" x14ac:dyDescent="0.25">
      <c r="C290" s="46" t="str">
        <f t="shared" si="8"/>
        <v/>
      </c>
      <c r="D290" s="46" t="str">
        <f t="shared" si="9"/>
        <v/>
      </c>
    </row>
    <row r="291" spans="3:4" ht="15.75" x14ac:dyDescent="0.25">
      <c r="C291" s="46" t="str">
        <f t="shared" si="8"/>
        <v/>
      </c>
      <c r="D291" s="46" t="str">
        <f t="shared" si="9"/>
        <v/>
      </c>
    </row>
    <row r="292" spans="3:4" ht="15.75" x14ac:dyDescent="0.25">
      <c r="C292" s="46" t="str">
        <f t="shared" si="8"/>
        <v/>
      </c>
      <c r="D292" s="46" t="str">
        <f t="shared" si="9"/>
        <v/>
      </c>
    </row>
    <row r="293" spans="3:4" ht="15.75" x14ac:dyDescent="0.25">
      <c r="C293" s="46" t="str">
        <f t="shared" si="8"/>
        <v/>
      </c>
      <c r="D293" s="46" t="str">
        <f t="shared" si="9"/>
        <v/>
      </c>
    </row>
    <row r="294" spans="3:4" ht="15.75" x14ac:dyDescent="0.25">
      <c r="C294" s="46" t="str">
        <f t="shared" si="8"/>
        <v/>
      </c>
      <c r="D294" s="46" t="str">
        <f t="shared" si="9"/>
        <v/>
      </c>
    </row>
    <row r="295" spans="3:4" ht="15.75" x14ac:dyDescent="0.25">
      <c r="C295" s="46" t="str">
        <f t="shared" si="8"/>
        <v/>
      </c>
      <c r="D295" s="46" t="str">
        <f t="shared" si="9"/>
        <v/>
      </c>
    </row>
    <row r="296" spans="3:4" ht="15.75" x14ac:dyDescent="0.25">
      <c r="C296" s="46" t="str">
        <f t="shared" si="8"/>
        <v/>
      </c>
      <c r="D296" s="46" t="str">
        <f t="shared" si="9"/>
        <v/>
      </c>
    </row>
    <row r="297" spans="3:4" ht="15.75" x14ac:dyDescent="0.25">
      <c r="C297" s="46" t="str">
        <f t="shared" si="8"/>
        <v/>
      </c>
      <c r="D297" s="46" t="str">
        <f t="shared" si="9"/>
        <v/>
      </c>
    </row>
    <row r="298" spans="3:4" ht="15.75" x14ac:dyDescent="0.25">
      <c r="C298" s="46" t="str">
        <f t="shared" si="8"/>
        <v/>
      </c>
      <c r="D298" s="46" t="str">
        <f t="shared" si="9"/>
        <v/>
      </c>
    </row>
    <row r="299" spans="3:4" ht="15.75" x14ac:dyDescent="0.25">
      <c r="C299" s="46" t="str">
        <f t="shared" si="8"/>
        <v/>
      </c>
      <c r="D299" s="46" t="str">
        <f t="shared" si="9"/>
        <v/>
      </c>
    </row>
    <row r="300" spans="3:4" ht="15.75" x14ac:dyDescent="0.25">
      <c r="C300" s="46" t="str">
        <f t="shared" si="8"/>
        <v/>
      </c>
      <c r="D300" s="46" t="str">
        <f t="shared" si="9"/>
        <v/>
      </c>
    </row>
    <row r="301" spans="3:4" ht="15.75" x14ac:dyDescent="0.25">
      <c r="C301" s="46" t="str">
        <f t="shared" si="8"/>
        <v/>
      </c>
      <c r="D301" s="46" t="str">
        <f t="shared" si="9"/>
        <v/>
      </c>
    </row>
    <row r="302" spans="3:4" ht="15.75" x14ac:dyDescent="0.25">
      <c r="C302" s="46" t="str">
        <f t="shared" si="8"/>
        <v/>
      </c>
      <c r="D302" s="46" t="str">
        <f>IF(COUNTIF(E302:BA302,"NO")=0,"",COUNTIF(E302:BA302,"NO"))</f>
        <v/>
      </c>
    </row>
  </sheetData>
  <phoneticPr fontId="4" type="noConversion"/>
  <conditionalFormatting sqref="E5:AA25">
    <cfRule type="cellIs" dxfId="35" priority="1" stopIfTrue="1" operator="equal">
      <formula>"YES"</formula>
    </cfRule>
    <cfRule type="cellIs" dxfId="34" priority="2" stopIfTrue="1" operator="equal">
      <formula>"NO"</formula>
    </cfRule>
  </conditionalFormatting>
  <dataValidations count="1">
    <dataValidation type="list" allowBlank="1" showInputMessage="1" showErrorMessage="1" sqref="E5:AA25" xr:uid="{00000000-0002-0000-0F00-000000000000}">
      <formula1>$D$1:$D$3</formula1>
    </dataValidation>
  </dataValidations>
  <hyperlinks>
    <hyperlink ref="B5" r:id="rId1" display="ALE_2.10n" xr:uid="{00000000-0004-0000-0F00-000000000000}"/>
    <hyperlink ref="B12" r:id="rId2" display="http://portal.automotive-his.de/images/pdf/SoftwareTest/his-sc-metriken.1.3.1_e.pdf" xr:uid="{00000000-0004-0000-0F00-000001000000}"/>
  </hyperlinks>
  <pageMargins left="0.75" right="0.75" top="1" bottom="1" header="0.4921259845" footer="0.4921259845"/>
  <pageSetup paperSize="9" scale="31" fitToHeight="0" orientation="portrait" r:id="rId3"/>
  <headerFooter alignWithMargins="0"/>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21">
    <tabColor theme="7"/>
    <pageSetUpPr fitToPage="1"/>
  </sheetPr>
  <dimension ref="A1:Z306"/>
  <sheetViews>
    <sheetView zoomScale="90" zoomScaleNormal="90" workbookViewId="0">
      <pane xSplit="2" ySplit="4" topLeftCell="C16"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9.140625" style="40" customWidth="1"/>
    <col min="2" max="2" width="95.7109375" style="57" customWidth="1"/>
    <col min="3" max="4" width="4.42578125" style="40" bestFit="1" customWidth="1"/>
    <col min="5" max="32" width="6.5703125" style="40" customWidth="1"/>
    <col min="33" max="16384" width="9.140625" style="40"/>
  </cols>
  <sheetData>
    <row r="1" spans="1:26" ht="0.75" customHeight="1" thickBot="1" x14ac:dyDescent="0.25">
      <c r="D1" s="40" t="s">
        <v>43</v>
      </c>
    </row>
    <row r="2" spans="1:26" ht="13.5" hidden="1" thickBot="1" x14ac:dyDescent="0.25">
      <c r="D2" s="40" t="s">
        <v>44</v>
      </c>
    </row>
    <row r="3" spans="1:26" ht="13.5" hidden="1" thickBot="1" x14ac:dyDescent="0.25">
      <c r="D3" s="40" t="s">
        <v>13</v>
      </c>
    </row>
    <row r="4" spans="1:26" ht="88.5" thickTop="1" thickBot="1" x14ac:dyDescent="0.4">
      <c r="A4" s="49"/>
      <c r="B4" s="47" t="s">
        <v>308</v>
      </c>
      <c r="C4" s="43" t="s">
        <v>46</v>
      </c>
      <c r="D4" s="43" t="s">
        <v>47</v>
      </c>
      <c r="E4" s="43" t="s">
        <v>298</v>
      </c>
      <c r="F4" s="43" t="s">
        <v>298</v>
      </c>
      <c r="G4" s="43" t="s">
        <v>298</v>
      </c>
      <c r="H4" s="43" t="s">
        <v>298</v>
      </c>
      <c r="I4" s="43" t="s">
        <v>298</v>
      </c>
      <c r="J4" s="43" t="s">
        <v>298</v>
      </c>
      <c r="K4" s="43" t="s">
        <v>298</v>
      </c>
      <c r="L4" s="43" t="s">
        <v>298</v>
      </c>
      <c r="M4" s="43" t="s">
        <v>298</v>
      </c>
      <c r="N4" s="43" t="s">
        <v>298</v>
      </c>
      <c r="O4" s="43" t="s">
        <v>298</v>
      </c>
      <c r="P4" s="43" t="s">
        <v>298</v>
      </c>
      <c r="Q4" s="43" t="s">
        <v>298</v>
      </c>
      <c r="R4" s="43" t="s">
        <v>298</v>
      </c>
      <c r="S4" s="43" t="s">
        <v>298</v>
      </c>
      <c r="T4" s="43" t="s">
        <v>298</v>
      </c>
      <c r="U4" s="43" t="s">
        <v>298</v>
      </c>
      <c r="V4" s="43" t="s">
        <v>298</v>
      </c>
      <c r="W4" s="43" t="s">
        <v>298</v>
      </c>
      <c r="X4" s="43" t="s">
        <v>298</v>
      </c>
      <c r="Y4" s="43" t="s">
        <v>298</v>
      </c>
      <c r="Z4" s="43" t="s">
        <v>298</v>
      </c>
    </row>
    <row r="5" spans="1:26" s="80" customFormat="1" ht="24" thickTop="1" x14ac:dyDescent="0.35">
      <c r="A5" s="193"/>
      <c r="B5" s="218" t="s">
        <v>307</v>
      </c>
      <c r="C5" s="79"/>
      <c r="D5" s="79"/>
      <c r="E5" s="79"/>
      <c r="F5" s="79"/>
      <c r="G5" s="79"/>
      <c r="H5" s="79"/>
      <c r="I5" s="79"/>
      <c r="J5" s="79"/>
      <c r="K5" s="79"/>
      <c r="L5" s="79"/>
      <c r="M5" s="79"/>
      <c r="N5" s="79"/>
      <c r="O5" s="79"/>
      <c r="P5" s="79"/>
      <c r="Q5" s="79"/>
      <c r="R5" s="79"/>
      <c r="S5" s="79"/>
      <c r="T5" s="79"/>
      <c r="U5" s="79"/>
      <c r="V5" s="79"/>
      <c r="W5" s="79"/>
      <c r="X5" s="79"/>
      <c r="Y5" s="79"/>
      <c r="Z5" s="79"/>
    </row>
    <row r="6" spans="1:26" s="80" customFormat="1" ht="120.75" thickBot="1" x14ac:dyDescent="0.3">
      <c r="A6" s="192"/>
      <c r="B6" s="191" t="s">
        <v>358</v>
      </c>
      <c r="C6" s="71" t="str">
        <f t="shared" ref="C6:C14" si="0">IF(COUNTIF(E6:BA6,"YES")=0,"",COUNTIF(E6:BA6,"YES"))</f>
        <v/>
      </c>
      <c r="D6" s="71" t="str">
        <f>IF(COUNTIF(E6:BA6,"NO")=0,"",COUNTIF(E6:BA6,"NO"))</f>
        <v/>
      </c>
      <c r="E6" s="72"/>
      <c r="F6" s="72"/>
      <c r="G6" s="72"/>
      <c r="H6" s="72"/>
      <c r="I6" s="72"/>
      <c r="J6" s="72"/>
      <c r="K6" s="72"/>
      <c r="L6" s="72"/>
      <c r="M6" s="72"/>
      <c r="N6" s="72"/>
      <c r="O6" s="72"/>
      <c r="P6" s="72"/>
      <c r="Q6" s="72"/>
      <c r="R6" s="72"/>
      <c r="S6" s="72"/>
      <c r="T6" s="72"/>
      <c r="U6" s="72"/>
      <c r="V6" s="72"/>
      <c r="W6" s="72"/>
      <c r="X6" s="72"/>
      <c r="Y6" s="72"/>
      <c r="Z6" s="72"/>
    </row>
    <row r="7" spans="1:26" ht="17.25" thickTop="1" thickBot="1" x14ac:dyDescent="0.3">
      <c r="A7" s="183" t="s">
        <v>48</v>
      </c>
      <c r="B7" s="190" t="s">
        <v>303</v>
      </c>
      <c r="C7" s="44" t="str">
        <f t="shared" si="0"/>
        <v/>
      </c>
      <c r="D7" s="44" t="str">
        <f>IF(COUNTIF(E7:BA7,"NO")=0,"",COUNTIF(E7:BA7,"NO"))</f>
        <v/>
      </c>
      <c r="E7" s="41"/>
      <c r="F7" s="41"/>
      <c r="G7" s="41"/>
      <c r="H7" s="41"/>
      <c r="I7" s="41"/>
      <c r="J7" s="41"/>
      <c r="K7" s="41"/>
      <c r="L7" s="41"/>
      <c r="M7" s="41"/>
      <c r="N7" s="41"/>
      <c r="O7" s="41"/>
      <c r="P7" s="41"/>
      <c r="Q7" s="41"/>
      <c r="R7" s="41"/>
      <c r="S7" s="41"/>
      <c r="T7" s="41"/>
      <c r="U7" s="41"/>
      <c r="V7" s="41"/>
      <c r="W7" s="41"/>
      <c r="X7" s="41"/>
      <c r="Y7" s="41"/>
      <c r="Z7" s="41"/>
    </row>
    <row r="8" spans="1:26" ht="27" thickTop="1" thickBot="1" x14ac:dyDescent="0.3">
      <c r="A8" s="184">
        <v>1</v>
      </c>
      <c r="B8" s="287" t="s">
        <v>494</v>
      </c>
      <c r="C8" s="44" t="str">
        <f t="shared" si="0"/>
        <v/>
      </c>
      <c r="D8" s="44" t="str">
        <f>IF(COUNTIF(E8:BA8,"NO")=0,"",COUNTIF(E8:BA8,"NO"))</f>
        <v/>
      </c>
      <c r="E8" s="41"/>
      <c r="F8" s="41"/>
      <c r="G8" s="41"/>
      <c r="H8" s="41"/>
      <c r="I8" s="41"/>
      <c r="J8" s="41"/>
      <c r="K8" s="41"/>
      <c r="L8" s="41"/>
      <c r="M8" s="41"/>
      <c r="N8" s="41"/>
      <c r="O8" s="41"/>
      <c r="P8" s="41"/>
      <c r="Q8" s="41"/>
      <c r="R8" s="41"/>
      <c r="S8" s="41"/>
      <c r="T8" s="41"/>
      <c r="U8" s="41"/>
      <c r="V8" s="41"/>
      <c r="W8" s="41"/>
      <c r="X8" s="41"/>
      <c r="Y8" s="41"/>
      <c r="Z8" s="41"/>
    </row>
    <row r="9" spans="1:26" ht="17.25" thickTop="1" thickBot="1" x14ac:dyDescent="0.3">
      <c r="A9" s="182"/>
      <c r="B9" s="190" t="s">
        <v>297</v>
      </c>
      <c r="C9" s="44" t="str">
        <f t="shared" si="0"/>
        <v/>
      </c>
      <c r="D9" s="44"/>
      <c r="E9" s="41"/>
      <c r="F9" s="41"/>
      <c r="G9" s="41"/>
      <c r="H9" s="41"/>
      <c r="I9" s="41"/>
      <c r="J9" s="41"/>
      <c r="K9" s="41"/>
      <c r="L9" s="41"/>
      <c r="M9" s="41"/>
      <c r="N9" s="41"/>
      <c r="O9" s="41"/>
      <c r="P9" s="41"/>
      <c r="Q9" s="41"/>
      <c r="R9" s="41"/>
      <c r="S9" s="41"/>
      <c r="T9" s="41"/>
      <c r="U9" s="41"/>
      <c r="V9" s="41"/>
      <c r="W9" s="41"/>
      <c r="X9" s="41"/>
      <c r="Y9" s="41"/>
      <c r="Z9" s="41"/>
    </row>
    <row r="10" spans="1:26" ht="26.25" thickTop="1" x14ac:dyDescent="0.25">
      <c r="A10" s="185">
        <v>2</v>
      </c>
      <c r="B10" s="288" t="s">
        <v>524</v>
      </c>
      <c r="C10" s="44" t="str">
        <f t="shared" si="0"/>
        <v/>
      </c>
      <c r="D10" s="44" t="str">
        <f>IF(COUNTIF(E10:BA10,"NO")=0,"",COUNTIF(E10:BA10,"NO"))</f>
        <v/>
      </c>
      <c r="E10" s="41"/>
      <c r="F10" s="41"/>
      <c r="G10" s="41"/>
      <c r="H10" s="41"/>
      <c r="I10" s="41"/>
      <c r="J10" s="41"/>
      <c r="K10" s="41"/>
      <c r="L10" s="41"/>
      <c r="M10" s="41"/>
      <c r="N10" s="41"/>
      <c r="O10" s="41"/>
      <c r="P10" s="41"/>
      <c r="Q10" s="41"/>
      <c r="R10" s="41"/>
      <c r="S10" s="41"/>
      <c r="T10" s="41"/>
      <c r="U10" s="41"/>
      <c r="V10" s="41"/>
      <c r="W10" s="41"/>
      <c r="X10" s="41"/>
      <c r="Y10" s="41"/>
      <c r="Z10" s="41"/>
    </row>
    <row r="11" spans="1:26" ht="76.5" x14ac:dyDescent="0.25">
      <c r="A11" s="185">
        <v>3</v>
      </c>
      <c r="B11" s="289" t="s">
        <v>525</v>
      </c>
      <c r="C11" s="44" t="str">
        <f t="shared" si="0"/>
        <v/>
      </c>
      <c r="D11" s="44" t="str">
        <f>IF(COUNTIF(E11:BA11,"NO")=0,"",COUNTIF(E11:BA11,"NO"))</f>
        <v/>
      </c>
      <c r="E11" s="41"/>
      <c r="F11" s="41"/>
      <c r="G11" s="41"/>
      <c r="H11" s="41"/>
      <c r="I11" s="41"/>
      <c r="J11" s="41"/>
      <c r="K11" s="41"/>
      <c r="L11" s="41"/>
      <c r="M11" s="41"/>
      <c r="N11" s="41"/>
      <c r="O11" s="41"/>
      <c r="P11" s="41"/>
      <c r="Q11" s="41"/>
      <c r="R11" s="41"/>
      <c r="S11" s="41"/>
      <c r="T11" s="41"/>
      <c r="U11" s="41"/>
      <c r="V11" s="41"/>
      <c r="W11" s="41"/>
      <c r="X11" s="41"/>
      <c r="Y11" s="41"/>
      <c r="Z11" s="41"/>
    </row>
    <row r="12" spans="1:26" ht="38.25" x14ac:dyDescent="0.25">
      <c r="A12" s="185">
        <v>4</v>
      </c>
      <c r="B12" s="290" t="s">
        <v>526</v>
      </c>
      <c r="C12" s="44" t="str">
        <f t="shared" si="0"/>
        <v/>
      </c>
      <c r="D12" s="44" t="str">
        <f>IF(COUNTIF(E12:BA12,"NO")=0,"",COUNTIF(E12:BA12,"NO"))</f>
        <v/>
      </c>
      <c r="E12" s="41"/>
      <c r="F12" s="41"/>
      <c r="G12" s="41"/>
      <c r="H12" s="41"/>
      <c r="I12" s="41"/>
      <c r="J12" s="41"/>
      <c r="K12" s="41"/>
      <c r="L12" s="41"/>
      <c r="M12" s="41"/>
      <c r="N12" s="41"/>
      <c r="O12" s="41"/>
      <c r="P12" s="41"/>
      <c r="Q12" s="41"/>
      <c r="R12" s="41"/>
      <c r="S12" s="41"/>
      <c r="T12" s="41"/>
      <c r="U12" s="41"/>
      <c r="V12" s="41"/>
      <c r="W12" s="41"/>
      <c r="X12" s="41"/>
      <c r="Y12" s="41"/>
      <c r="Z12" s="41"/>
    </row>
    <row r="13" spans="1:26" ht="38.25" x14ac:dyDescent="0.25">
      <c r="A13" s="185">
        <v>5</v>
      </c>
      <c r="B13" s="290" t="s">
        <v>527</v>
      </c>
      <c r="C13" s="44" t="str">
        <f t="shared" si="0"/>
        <v/>
      </c>
      <c r="D13" s="44" t="str">
        <f>IF(COUNTIF(E13:BA13,"NO")=0,"",COUNTIF(E13:BA13,"NO"))</f>
        <v/>
      </c>
      <c r="E13" s="41"/>
      <c r="F13" s="41"/>
      <c r="G13" s="41"/>
      <c r="H13" s="41"/>
      <c r="I13" s="41"/>
      <c r="J13" s="41"/>
      <c r="K13" s="41"/>
      <c r="L13" s="41"/>
      <c r="M13" s="41"/>
      <c r="N13" s="41"/>
      <c r="O13" s="41"/>
      <c r="P13" s="41"/>
      <c r="Q13" s="41"/>
      <c r="R13" s="41"/>
      <c r="S13" s="41"/>
      <c r="T13" s="41"/>
      <c r="U13" s="41"/>
      <c r="V13" s="41"/>
      <c r="W13" s="41"/>
      <c r="X13" s="41"/>
      <c r="Y13" s="41"/>
      <c r="Z13" s="41"/>
    </row>
    <row r="14" spans="1:26" ht="38.25" x14ac:dyDescent="0.25">
      <c r="A14" s="185">
        <v>6</v>
      </c>
      <c r="B14" s="290" t="s">
        <v>528</v>
      </c>
      <c r="C14" s="44" t="str">
        <f t="shared" si="0"/>
        <v/>
      </c>
      <c r="D14" s="44" t="str">
        <f>IF(COUNTIF(E14:BA14,"NO")=0,"",COUNTIF(E14:BA14,"NO"))</f>
        <v/>
      </c>
      <c r="E14" s="41"/>
      <c r="F14" s="41"/>
      <c r="G14" s="41"/>
      <c r="H14" s="41"/>
    </row>
    <row r="15" spans="1:26" ht="38.25" x14ac:dyDescent="0.25">
      <c r="A15" s="185">
        <v>7</v>
      </c>
      <c r="B15" s="290" t="s">
        <v>529</v>
      </c>
      <c r="C15" s="44"/>
      <c r="D15" s="44"/>
      <c r="E15" s="41"/>
      <c r="F15" s="41"/>
      <c r="G15" s="41"/>
      <c r="H15" s="41"/>
    </row>
    <row r="16" spans="1:26" ht="51.75" customHeight="1" x14ac:dyDescent="0.25">
      <c r="A16" s="185">
        <v>8</v>
      </c>
      <c r="B16" s="290" t="s">
        <v>530</v>
      </c>
      <c r="C16" s="71"/>
      <c r="D16" s="71"/>
      <c r="E16" s="41"/>
      <c r="F16" s="41"/>
      <c r="G16" s="41"/>
      <c r="H16" s="41"/>
    </row>
    <row r="17" spans="1:26" ht="63.75" x14ac:dyDescent="0.25">
      <c r="A17" s="185">
        <v>9</v>
      </c>
      <c r="B17" s="290" t="s">
        <v>531</v>
      </c>
      <c r="C17" s="44" t="str">
        <f>IF(COUNTIF(E17:BA17,"YES")=0,"",COUNTIF(E17:BA17,"YES"))</f>
        <v/>
      </c>
      <c r="D17" s="44"/>
      <c r="E17" s="41"/>
      <c r="F17" s="41"/>
      <c r="G17" s="41"/>
      <c r="H17" s="41"/>
      <c r="I17" s="41"/>
      <c r="J17" s="41"/>
      <c r="K17" s="41"/>
      <c r="L17" s="41"/>
      <c r="M17" s="41"/>
      <c r="N17" s="41"/>
      <c r="O17" s="41"/>
      <c r="P17" s="41"/>
      <c r="Q17" s="41"/>
      <c r="R17" s="41"/>
      <c r="S17" s="41"/>
      <c r="T17" s="41"/>
      <c r="U17" s="41"/>
      <c r="V17" s="41"/>
      <c r="W17" s="41"/>
      <c r="X17" s="41"/>
      <c r="Y17" s="41"/>
      <c r="Z17" s="41"/>
    </row>
    <row r="18" spans="1:26" ht="15.75" x14ac:dyDescent="0.25">
      <c r="C18" s="46" t="str">
        <f t="shared" ref="C18:C81" si="1">IF(COUNTIF(E18:BA18,"YES")=0,"",COUNTIF(E18:BA18,"YES"))</f>
        <v/>
      </c>
      <c r="D18" s="46" t="str">
        <f t="shared" ref="D18:D81" si="2">IF(COUNTIF(E18:BA18,"NO")=0,"",COUNTIF(E18:BA18,"NO"))</f>
        <v/>
      </c>
    </row>
    <row r="19" spans="1:26" ht="15.75" x14ac:dyDescent="0.25">
      <c r="C19" s="46" t="str">
        <f t="shared" si="1"/>
        <v/>
      </c>
      <c r="D19" s="46" t="str">
        <f t="shared" si="2"/>
        <v/>
      </c>
    </row>
    <row r="20" spans="1:26" ht="15.75" x14ac:dyDescent="0.25">
      <c r="C20" s="46" t="str">
        <f t="shared" si="1"/>
        <v/>
      </c>
      <c r="D20" s="46" t="str">
        <f t="shared" si="2"/>
        <v/>
      </c>
    </row>
    <row r="21" spans="1:26" ht="15.75" x14ac:dyDescent="0.25">
      <c r="C21" s="46" t="str">
        <f t="shared" si="1"/>
        <v/>
      </c>
      <c r="D21" s="46" t="str">
        <f t="shared" si="2"/>
        <v/>
      </c>
    </row>
    <row r="22" spans="1:26" ht="15.75" x14ac:dyDescent="0.25">
      <c r="C22" s="46" t="str">
        <f t="shared" si="1"/>
        <v/>
      </c>
      <c r="D22" s="46" t="str">
        <f t="shared" si="2"/>
        <v/>
      </c>
    </row>
    <row r="23" spans="1:26" ht="15.75" x14ac:dyDescent="0.25">
      <c r="C23" s="46" t="str">
        <f t="shared" si="1"/>
        <v/>
      </c>
      <c r="D23" s="46" t="str">
        <f t="shared" si="2"/>
        <v/>
      </c>
    </row>
    <row r="24" spans="1:26" ht="15.75" x14ac:dyDescent="0.25">
      <c r="C24" s="46" t="str">
        <f t="shared" si="1"/>
        <v/>
      </c>
      <c r="D24" s="46" t="str">
        <f t="shared" si="2"/>
        <v/>
      </c>
    </row>
    <row r="25" spans="1:26" ht="15.75" x14ac:dyDescent="0.25">
      <c r="C25" s="46" t="str">
        <f t="shared" si="1"/>
        <v/>
      </c>
      <c r="D25" s="46" t="str">
        <f t="shared" si="2"/>
        <v/>
      </c>
    </row>
    <row r="26" spans="1:26" ht="15.75" x14ac:dyDescent="0.25">
      <c r="C26" s="46" t="str">
        <f t="shared" si="1"/>
        <v/>
      </c>
      <c r="D26" s="46" t="str">
        <f t="shared" si="2"/>
        <v/>
      </c>
    </row>
    <row r="27" spans="1:26" ht="15.75" x14ac:dyDescent="0.25">
      <c r="C27" s="46" t="str">
        <f t="shared" si="1"/>
        <v/>
      </c>
      <c r="D27" s="46" t="str">
        <f t="shared" si="2"/>
        <v/>
      </c>
    </row>
    <row r="28" spans="1:26" ht="15.75" x14ac:dyDescent="0.25">
      <c r="C28" s="46" t="str">
        <f t="shared" si="1"/>
        <v/>
      </c>
      <c r="D28" s="46" t="str">
        <f t="shared" si="2"/>
        <v/>
      </c>
    </row>
    <row r="29" spans="1:26" ht="15.75" x14ac:dyDescent="0.25">
      <c r="C29" s="46" t="str">
        <f t="shared" si="1"/>
        <v/>
      </c>
      <c r="D29" s="46" t="str">
        <f t="shared" si="2"/>
        <v/>
      </c>
    </row>
    <row r="30" spans="1:26" ht="15.75" x14ac:dyDescent="0.25">
      <c r="C30" s="46" t="str">
        <f t="shared" si="1"/>
        <v/>
      </c>
      <c r="D30" s="46" t="str">
        <f t="shared" si="2"/>
        <v/>
      </c>
    </row>
    <row r="31" spans="1:26" ht="15.75" x14ac:dyDescent="0.25">
      <c r="C31" s="46" t="str">
        <f t="shared" si="1"/>
        <v/>
      </c>
      <c r="D31" s="46" t="str">
        <f t="shared" si="2"/>
        <v/>
      </c>
    </row>
    <row r="32" spans="1:26" ht="15.75" x14ac:dyDescent="0.25">
      <c r="C32" s="46" t="str">
        <f t="shared" si="1"/>
        <v/>
      </c>
      <c r="D32" s="46" t="str">
        <f t="shared" si="2"/>
        <v/>
      </c>
    </row>
    <row r="33" spans="3:4" ht="15.75" x14ac:dyDescent="0.25">
      <c r="C33" s="46" t="str">
        <f t="shared" si="1"/>
        <v/>
      </c>
      <c r="D33" s="46" t="str">
        <f t="shared" si="2"/>
        <v/>
      </c>
    </row>
    <row r="34" spans="3:4" ht="15.75" x14ac:dyDescent="0.25">
      <c r="C34" s="46" t="str">
        <f t="shared" si="1"/>
        <v/>
      </c>
      <c r="D34" s="46" t="str">
        <f t="shared" si="2"/>
        <v/>
      </c>
    </row>
    <row r="35" spans="3:4" ht="15.75" x14ac:dyDescent="0.25">
      <c r="C35" s="46" t="str">
        <f t="shared" si="1"/>
        <v/>
      </c>
      <c r="D35" s="46" t="str">
        <f t="shared" si="2"/>
        <v/>
      </c>
    </row>
    <row r="36" spans="3:4" ht="15.75" x14ac:dyDescent="0.25">
      <c r="C36" s="46" t="str">
        <f t="shared" si="1"/>
        <v/>
      </c>
      <c r="D36" s="46" t="str">
        <f t="shared" si="2"/>
        <v/>
      </c>
    </row>
    <row r="37" spans="3:4" ht="15.75" x14ac:dyDescent="0.25">
      <c r="C37" s="46" t="str">
        <f t="shared" si="1"/>
        <v/>
      </c>
      <c r="D37" s="46" t="str">
        <f t="shared" si="2"/>
        <v/>
      </c>
    </row>
    <row r="38" spans="3:4" ht="15.75" x14ac:dyDescent="0.25">
      <c r="C38" s="46" t="str">
        <f t="shared" si="1"/>
        <v/>
      </c>
      <c r="D38" s="46" t="str">
        <f t="shared" si="2"/>
        <v/>
      </c>
    </row>
    <row r="39" spans="3:4" ht="15.75" x14ac:dyDescent="0.25">
      <c r="C39" s="46" t="str">
        <f t="shared" si="1"/>
        <v/>
      </c>
      <c r="D39" s="46" t="str">
        <f t="shared" si="2"/>
        <v/>
      </c>
    </row>
    <row r="40" spans="3:4" ht="15.75" x14ac:dyDescent="0.25">
      <c r="C40" s="46" t="str">
        <f t="shared" si="1"/>
        <v/>
      </c>
      <c r="D40" s="46" t="str">
        <f t="shared" si="2"/>
        <v/>
      </c>
    </row>
    <row r="41" spans="3:4" ht="15.75" x14ac:dyDescent="0.25">
      <c r="C41" s="46" t="str">
        <f t="shared" si="1"/>
        <v/>
      </c>
      <c r="D41" s="46" t="str">
        <f t="shared" si="2"/>
        <v/>
      </c>
    </row>
    <row r="42" spans="3:4" ht="15.75" x14ac:dyDescent="0.25">
      <c r="C42" s="46" t="str">
        <f t="shared" si="1"/>
        <v/>
      </c>
      <c r="D42" s="46" t="str">
        <f t="shared" si="2"/>
        <v/>
      </c>
    </row>
    <row r="43" spans="3:4" ht="15.75" x14ac:dyDescent="0.25">
      <c r="C43" s="46" t="str">
        <f t="shared" si="1"/>
        <v/>
      </c>
      <c r="D43" s="46" t="str">
        <f t="shared" si="2"/>
        <v/>
      </c>
    </row>
    <row r="44" spans="3:4" ht="15.75" x14ac:dyDescent="0.25">
      <c r="C44" s="46" t="str">
        <f t="shared" si="1"/>
        <v/>
      </c>
      <c r="D44" s="46" t="str">
        <f t="shared" si="2"/>
        <v/>
      </c>
    </row>
    <row r="45" spans="3:4" ht="15.75" x14ac:dyDescent="0.25">
      <c r="C45" s="46" t="str">
        <f t="shared" si="1"/>
        <v/>
      </c>
      <c r="D45" s="46" t="str">
        <f t="shared" si="2"/>
        <v/>
      </c>
    </row>
    <row r="46" spans="3:4" ht="15.75" x14ac:dyDescent="0.25">
      <c r="C46" s="46" t="str">
        <f t="shared" si="1"/>
        <v/>
      </c>
      <c r="D46" s="46" t="str">
        <f t="shared" si="2"/>
        <v/>
      </c>
    </row>
    <row r="47" spans="3:4" ht="15.75" x14ac:dyDescent="0.25">
      <c r="C47" s="46" t="str">
        <f t="shared" si="1"/>
        <v/>
      </c>
      <c r="D47" s="46" t="str">
        <f t="shared" si="2"/>
        <v/>
      </c>
    </row>
    <row r="48" spans="3:4" ht="15.75" x14ac:dyDescent="0.25">
      <c r="C48" s="46" t="str">
        <f t="shared" si="1"/>
        <v/>
      </c>
      <c r="D48" s="46" t="str">
        <f t="shared" si="2"/>
        <v/>
      </c>
    </row>
    <row r="49" spans="3:4" ht="15.75" x14ac:dyDescent="0.25">
      <c r="C49" s="46" t="str">
        <f t="shared" si="1"/>
        <v/>
      </c>
      <c r="D49" s="46" t="str">
        <f t="shared" si="2"/>
        <v/>
      </c>
    </row>
    <row r="50" spans="3:4" ht="15.75" x14ac:dyDescent="0.25">
      <c r="C50" s="46" t="str">
        <f t="shared" si="1"/>
        <v/>
      </c>
      <c r="D50" s="46" t="str">
        <f t="shared" si="2"/>
        <v/>
      </c>
    </row>
    <row r="51" spans="3:4" ht="15.75" x14ac:dyDescent="0.25">
      <c r="C51" s="46" t="str">
        <f t="shared" si="1"/>
        <v/>
      </c>
      <c r="D51" s="46" t="str">
        <f t="shared" si="2"/>
        <v/>
      </c>
    </row>
    <row r="52" spans="3:4" ht="15.75" x14ac:dyDescent="0.25">
      <c r="C52" s="46" t="str">
        <f t="shared" si="1"/>
        <v/>
      </c>
      <c r="D52" s="46" t="str">
        <f t="shared" si="2"/>
        <v/>
      </c>
    </row>
    <row r="53" spans="3:4" ht="15.75" x14ac:dyDescent="0.25">
      <c r="C53" s="46" t="str">
        <f t="shared" si="1"/>
        <v/>
      </c>
      <c r="D53" s="46" t="str">
        <f t="shared" si="2"/>
        <v/>
      </c>
    </row>
    <row r="54" spans="3:4" ht="15.75" x14ac:dyDescent="0.25">
      <c r="C54" s="46" t="str">
        <f t="shared" si="1"/>
        <v/>
      </c>
      <c r="D54" s="46" t="str">
        <f t="shared" si="2"/>
        <v/>
      </c>
    </row>
    <row r="55" spans="3:4" ht="15.75" x14ac:dyDescent="0.25">
      <c r="C55" s="46" t="str">
        <f t="shared" si="1"/>
        <v/>
      </c>
      <c r="D55" s="46" t="str">
        <f t="shared" si="2"/>
        <v/>
      </c>
    </row>
    <row r="56" spans="3:4" ht="15.75" x14ac:dyDescent="0.25">
      <c r="C56" s="46" t="str">
        <f t="shared" si="1"/>
        <v/>
      </c>
      <c r="D56" s="46" t="str">
        <f t="shared" si="2"/>
        <v/>
      </c>
    </row>
    <row r="57" spans="3:4" ht="15.75" x14ac:dyDescent="0.25">
      <c r="C57" s="46" t="str">
        <f t="shared" si="1"/>
        <v/>
      </c>
      <c r="D57" s="46" t="str">
        <f t="shared" si="2"/>
        <v/>
      </c>
    </row>
    <row r="58" spans="3:4" ht="15.75" x14ac:dyDescent="0.25">
      <c r="C58" s="46" t="str">
        <f t="shared" si="1"/>
        <v/>
      </c>
      <c r="D58" s="46" t="str">
        <f t="shared" si="2"/>
        <v/>
      </c>
    </row>
    <row r="59" spans="3:4" ht="15.75" x14ac:dyDescent="0.25">
      <c r="C59" s="46" t="str">
        <f t="shared" si="1"/>
        <v/>
      </c>
      <c r="D59" s="46" t="str">
        <f t="shared" si="2"/>
        <v/>
      </c>
    </row>
    <row r="60" spans="3:4" ht="15.75" x14ac:dyDescent="0.25">
      <c r="C60" s="46" t="str">
        <f t="shared" si="1"/>
        <v/>
      </c>
      <c r="D60" s="46" t="str">
        <f t="shared" si="2"/>
        <v/>
      </c>
    </row>
    <row r="61" spans="3:4" ht="15.75" x14ac:dyDescent="0.25">
      <c r="C61" s="46" t="str">
        <f t="shared" si="1"/>
        <v/>
      </c>
      <c r="D61" s="46" t="str">
        <f t="shared" si="2"/>
        <v/>
      </c>
    </row>
    <row r="62" spans="3:4" ht="15.75" x14ac:dyDescent="0.25">
      <c r="C62" s="46" t="str">
        <f t="shared" si="1"/>
        <v/>
      </c>
      <c r="D62" s="46" t="str">
        <f t="shared" si="2"/>
        <v/>
      </c>
    </row>
    <row r="63" spans="3:4" ht="15.75" x14ac:dyDescent="0.25">
      <c r="C63" s="46" t="str">
        <f t="shared" si="1"/>
        <v/>
      </c>
      <c r="D63" s="46" t="str">
        <f t="shared" si="2"/>
        <v/>
      </c>
    </row>
    <row r="64" spans="3:4" ht="15.75" x14ac:dyDescent="0.25">
      <c r="C64" s="46" t="str">
        <f t="shared" si="1"/>
        <v/>
      </c>
      <c r="D64" s="46" t="str">
        <f t="shared" si="2"/>
        <v/>
      </c>
    </row>
    <row r="65" spans="3:4" ht="15.75" x14ac:dyDescent="0.25">
      <c r="C65" s="46" t="str">
        <f t="shared" si="1"/>
        <v/>
      </c>
      <c r="D65" s="46" t="str">
        <f t="shared" si="2"/>
        <v/>
      </c>
    </row>
    <row r="66" spans="3:4" ht="15.75" x14ac:dyDescent="0.25">
      <c r="C66" s="46" t="str">
        <f t="shared" si="1"/>
        <v/>
      </c>
      <c r="D66" s="46" t="str">
        <f t="shared" si="2"/>
        <v/>
      </c>
    </row>
    <row r="67" spans="3:4" ht="15.75" x14ac:dyDescent="0.25">
      <c r="C67" s="46" t="str">
        <f t="shared" si="1"/>
        <v/>
      </c>
      <c r="D67" s="46" t="str">
        <f t="shared" si="2"/>
        <v/>
      </c>
    </row>
    <row r="68" spans="3:4" ht="15.75" x14ac:dyDescent="0.25">
      <c r="C68" s="46" t="str">
        <f t="shared" si="1"/>
        <v/>
      </c>
      <c r="D68" s="46" t="str">
        <f t="shared" si="2"/>
        <v/>
      </c>
    </row>
    <row r="69" spans="3:4" ht="15.75" x14ac:dyDescent="0.25">
      <c r="C69" s="46" t="str">
        <f t="shared" si="1"/>
        <v/>
      </c>
      <c r="D69" s="46" t="str">
        <f t="shared" si="2"/>
        <v/>
      </c>
    </row>
    <row r="70" spans="3:4" ht="15.75" x14ac:dyDescent="0.25">
      <c r="C70" s="46" t="str">
        <f t="shared" si="1"/>
        <v/>
      </c>
      <c r="D70" s="46" t="str">
        <f t="shared" si="2"/>
        <v/>
      </c>
    </row>
    <row r="71" spans="3:4" ht="15.75" x14ac:dyDescent="0.25">
      <c r="C71" s="46" t="str">
        <f t="shared" si="1"/>
        <v/>
      </c>
      <c r="D71" s="46" t="str">
        <f t="shared" si="2"/>
        <v/>
      </c>
    </row>
    <row r="72" spans="3:4" ht="15.75" x14ac:dyDescent="0.25">
      <c r="C72" s="46" t="str">
        <f t="shared" si="1"/>
        <v/>
      </c>
      <c r="D72" s="46" t="str">
        <f t="shared" si="2"/>
        <v/>
      </c>
    </row>
    <row r="73" spans="3:4" ht="15.75" x14ac:dyDescent="0.25">
      <c r="C73" s="46" t="str">
        <f t="shared" si="1"/>
        <v/>
      </c>
      <c r="D73" s="46" t="str">
        <f t="shared" si="2"/>
        <v/>
      </c>
    </row>
    <row r="74" spans="3:4" ht="15.75" x14ac:dyDescent="0.25">
      <c r="C74" s="46" t="str">
        <f t="shared" si="1"/>
        <v/>
      </c>
      <c r="D74" s="46" t="str">
        <f t="shared" si="2"/>
        <v/>
      </c>
    </row>
    <row r="75" spans="3:4" ht="15.75" x14ac:dyDescent="0.25">
      <c r="C75" s="46" t="str">
        <f t="shared" si="1"/>
        <v/>
      </c>
      <c r="D75" s="46" t="str">
        <f t="shared" si="2"/>
        <v/>
      </c>
    </row>
    <row r="76" spans="3:4" ht="15.75" x14ac:dyDescent="0.25">
      <c r="C76" s="46" t="str">
        <f t="shared" si="1"/>
        <v/>
      </c>
      <c r="D76" s="46" t="str">
        <f t="shared" si="2"/>
        <v/>
      </c>
    </row>
    <row r="77" spans="3:4" ht="15.75" x14ac:dyDescent="0.25">
      <c r="C77" s="46" t="str">
        <f t="shared" si="1"/>
        <v/>
      </c>
      <c r="D77" s="46" t="str">
        <f t="shared" si="2"/>
        <v/>
      </c>
    </row>
    <row r="78" spans="3:4" ht="15.75" x14ac:dyDescent="0.25">
      <c r="C78" s="46" t="str">
        <f t="shared" si="1"/>
        <v/>
      </c>
      <c r="D78" s="46" t="str">
        <f t="shared" si="2"/>
        <v/>
      </c>
    </row>
    <row r="79" spans="3:4" ht="15.75" x14ac:dyDescent="0.25">
      <c r="C79" s="46" t="str">
        <f t="shared" si="1"/>
        <v/>
      </c>
      <c r="D79" s="46" t="str">
        <f t="shared" si="2"/>
        <v/>
      </c>
    </row>
    <row r="80" spans="3:4" ht="15.75" x14ac:dyDescent="0.25">
      <c r="C80" s="46" t="str">
        <f t="shared" si="1"/>
        <v/>
      </c>
      <c r="D80" s="46" t="str">
        <f t="shared" si="2"/>
        <v/>
      </c>
    </row>
    <row r="81" spans="3:4" ht="15.75" x14ac:dyDescent="0.25">
      <c r="C81" s="46" t="str">
        <f t="shared" si="1"/>
        <v/>
      </c>
      <c r="D81" s="46" t="str">
        <f t="shared" si="2"/>
        <v/>
      </c>
    </row>
    <row r="82" spans="3:4" ht="15.75" x14ac:dyDescent="0.25">
      <c r="C82" s="46" t="str">
        <f t="shared" ref="C82:C145" si="3">IF(COUNTIF(E82:BA82,"YES")=0,"",COUNTIF(E82:BA82,"YES"))</f>
        <v/>
      </c>
      <c r="D82" s="46" t="str">
        <f t="shared" ref="D82:D145" si="4">IF(COUNTIF(E82:BA82,"NO")=0,"",COUNTIF(E82:BA82,"NO"))</f>
        <v/>
      </c>
    </row>
    <row r="83" spans="3:4" ht="15.75" x14ac:dyDescent="0.25">
      <c r="C83" s="46" t="str">
        <f t="shared" si="3"/>
        <v/>
      </c>
      <c r="D83" s="46" t="str">
        <f t="shared" si="4"/>
        <v/>
      </c>
    </row>
    <row r="84" spans="3:4" ht="15.75" x14ac:dyDescent="0.25">
      <c r="C84" s="46" t="str">
        <f t="shared" si="3"/>
        <v/>
      </c>
      <c r="D84" s="46" t="str">
        <f t="shared" si="4"/>
        <v/>
      </c>
    </row>
    <row r="85" spans="3:4" ht="15.75" x14ac:dyDescent="0.25">
      <c r="C85" s="46" t="str">
        <f t="shared" si="3"/>
        <v/>
      </c>
      <c r="D85" s="46" t="str">
        <f t="shared" si="4"/>
        <v/>
      </c>
    </row>
    <row r="86" spans="3:4" ht="15.75" x14ac:dyDescent="0.25">
      <c r="C86" s="46" t="str">
        <f t="shared" si="3"/>
        <v/>
      </c>
      <c r="D86" s="46" t="str">
        <f t="shared" si="4"/>
        <v/>
      </c>
    </row>
    <row r="87" spans="3:4" ht="15.75" x14ac:dyDescent="0.25">
      <c r="C87" s="46" t="str">
        <f t="shared" si="3"/>
        <v/>
      </c>
      <c r="D87" s="46" t="str">
        <f t="shared" si="4"/>
        <v/>
      </c>
    </row>
    <row r="88" spans="3:4" ht="15.75" x14ac:dyDescent="0.25">
      <c r="C88" s="46" t="str">
        <f t="shared" si="3"/>
        <v/>
      </c>
      <c r="D88" s="46" t="str">
        <f t="shared" si="4"/>
        <v/>
      </c>
    </row>
    <row r="89" spans="3:4" ht="15.75" x14ac:dyDescent="0.25">
      <c r="C89" s="46" t="str">
        <f t="shared" si="3"/>
        <v/>
      </c>
      <c r="D89" s="46" t="str">
        <f t="shared" si="4"/>
        <v/>
      </c>
    </row>
    <row r="90" spans="3:4" ht="15.75" x14ac:dyDescent="0.25">
      <c r="C90" s="46" t="str">
        <f t="shared" si="3"/>
        <v/>
      </c>
      <c r="D90" s="46" t="str">
        <f t="shared" si="4"/>
        <v/>
      </c>
    </row>
    <row r="91" spans="3:4" ht="15.75" x14ac:dyDescent="0.25">
      <c r="C91" s="46" t="str">
        <f t="shared" si="3"/>
        <v/>
      </c>
      <c r="D91" s="46" t="str">
        <f t="shared" si="4"/>
        <v/>
      </c>
    </row>
    <row r="92" spans="3:4" ht="15.75" x14ac:dyDescent="0.25">
      <c r="C92" s="46" t="str">
        <f t="shared" si="3"/>
        <v/>
      </c>
      <c r="D92" s="46" t="str">
        <f t="shared" si="4"/>
        <v/>
      </c>
    </row>
    <row r="93" spans="3:4" ht="15.75" x14ac:dyDescent="0.25">
      <c r="C93" s="46" t="str">
        <f t="shared" si="3"/>
        <v/>
      </c>
      <c r="D93" s="46" t="str">
        <f t="shared" si="4"/>
        <v/>
      </c>
    </row>
    <row r="94" spans="3:4" ht="15.75" x14ac:dyDescent="0.25">
      <c r="C94" s="46" t="str">
        <f t="shared" si="3"/>
        <v/>
      </c>
      <c r="D94" s="46" t="str">
        <f t="shared" si="4"/>
        <v/>
      </c>
    </row>
    <row r="95" spans="3:4" ht="15.75" x14ac:dyDescent="0.25">
      <c r="C95" s="46" t="str">
        <f t="shared" si="3"/>
        <v/>
      </c>
      <c r="D95" s="46" t="str">
        <f t="shared" si="4"/>
        <v/>
      </c>
    </row>
    <row r="96" spans="3:4" ht="15.75" x14ac:dyDescent="0.25">
      <c r="C96" s="46" t="str">
        <f t="shared" si="3"/>
        <v/>
      </c>
      <c r="D96" s="46" t="str">
        <f t="shared" si="4"/>
        <v/>
      </c>
    </row>
    <row r="97" spans="3:4" ht="15.75" x14ac:dyDescent="0.25">
      <c r="C97" s="46" t="str">
        <f t="shared" si="3"/>
        <v/>
      </c>
      <c r="D97" s="46" t="str">
        <f t="shared" si="4"/>
        <v/>
      </c>
    </row>
    <row r="98" spans="3:4" ht="15.75" x14ac:dyDescent="0.25">
      <c r="C98" s="46" t="str">
        <f t="shared" si="3"/>
        <v/>
      </c>
      <c r="D98" s="46" t="str">
        <f t="shared" si="4"/>
        <v/>
      </c>
    </row>
    <row r="99" spans="3:4" ht="15.75" x14ac:dyDescent="0.25">
      <c r="C99" s="46" t="str">
        <f t="shared" si="3"/>
        <v/>
      </c>
      <c r="D99" s="46" t="str">
        <f t="shared" si="4"/>
        <v/>
      </c>
    </row>
    <row r="100" spans="3:4" ht="15.75" x14ac:dyDescent="0.25">
      <c r="C100" s="46" t="str">
        <f t="shared" si="3"/>
        <v/>
      </c>
      <c r="D100" s="46" t="str">
        <f t="shared" si="4"/>
        <v/>
      </c>
    </row>
    <row r="101" spans="3:4" ht="15.75" x14ac:dyDescent="0.25">
      <c r="C101" s="46" t="str">
        <f t="shared" si="3"/>
        <v/>
      </c>
      <c r="D101" s="46" t="str">
        <f t="shared" si="4"/>
        <v/>
      </c>
    </row>
    <row r="102" spans="3:4" ht="15.75" x14ac:dyDescent="0.25">
      <c r="C102" s="46" t="str">
        <f t="shared" si="3"/>
        <v/>
      </c>
      <c r="D102" s="46" t="str">
        <f t="shared" si="4"/>
        <v/>
      </c>
    </row>
    <row r="103" spans="3:4" ht="15.75" x14ac:dyDescent="0.25">
      <c r="C103" s="46" t="str">
        <f t="shared" si="3"/>
        <v/>
      </c>
      <c r="D103" s="46" t="str">
        <f t="shared" si="4"/>
        <v/>
      </c>
    </row>
    <row r="104" spans="3:4" ht="15.75" x14ac:dyDescent="0.25">
      <c r="C104" s="46" t="str">
        <f t="shared" si="3"/>
        <v/>
      </c>
      <c r="D104" s="46" t="str">
        <f t="shared" si="4"/>
        <v/>
      </c>
    </row>
    <row r="105" spans="3:4" ht="15.75" x14ac:dyDescent="0.25">
      <c r="C105" s="46" t="str">
        <f t="shared" si="3"/>
        <v/>
      </c>
      <c r="D105" s="46" t="str">
        <f t="shared" si="4"/>
        <v/>
      </c>
    </row>
    <row r="106" spans="3:4" ht="15.75" x14ac:dyDescent="0.25">
      <c r="C106" s="46" t="str">
        <f t="shared" si="3"/>
        <v/>
      </c>
      <c r="D106" s="46" t="str">
        <f t="shared" si="4"/>
        <v/>
      </c>
    </row>
    <row r="107" spans="3:4" ht="15.75" x14ac:dyDescent="0.25">
      <c r="C107" s="46" t="str">
        <f t="shared" si="3"/>
        <v/>
      </c>
      <c r="D107" s="46" t="str">
        <f t="shared" si="4"/>
        <v/>
      </c>
    </row>
    <row r="108" spans="3:4" ht="15.75" x14ac:dyDescent="0.25">
      <c r="C108" s="46" t="str">
        <f t="shared" si="3"/>
        <v/>
      </c>
      <c r="D108" s="46" t="str">
        <f t="shared" si="4"/>
        <v/>
      </c>
    </row>
    <row r="109" spans="3:4" ht="15.75" x14ac:dyDescent="0.25">
      <c r="C109" s="46" t="str">
        <f t="shared" si="3"/>
        <v/>
      </c>
      <c r="D109" s="46" t="str">
        <f t="shared" si="4"/>
        <v/>
      </c>
    </row>
    <row r="110" spans="3:4" ht="15.75" x14ac:dyDescent="0.25">
      <c r="C110" s="46" t="str">
        <f t="shared" si="3"/>
        <v/>
      </c>
      <c r="D110" s="46" t="str">
        <f t="shared" si="4"/>
        <v/>
      </c>
    </row>
    <row r="111" spans="3:4" ht="15.75" x14ac:dyDescent="0.25">
      <c r="C111" s="46" t="str">
        <f t="shared" si="3"/>
        <v/>
      </c>
      <c r="D111" s="46" t="str">
        <f t="shared" si="4"/>
        <v/>
      </c>
    </row>
    <row r="112" spans="3:4" ht="15.75" x14ac:dyDescent="0.25">
      <c r="C112" s="46" t="str">
        <f t="shared" si="3"/>
        <v/>
      </c>
      <c r="D112" s="46" t="str">
        <f t="shared" si="4"/>
        <v/>
      </c>
    </row>
    <row r="113" spans="3:4" ht="15.75" x14ac:dyDescent="0.25">
      <c r="C113" s="46" t="str">
        <f t="shared" si="3"/>
        <v/>
      </c>
      <c r="D113" s="46" t="str">
        <f t="shared" si="4"/>
        <v/>
      </c>
    </row>
    <row r="114" spans="3:4" ht="15.75" x14ac:dyDescent="0.25">
      <c r="C114" s="46" t="str">
        <f t="shared" si="3"/>
        <v/>
      </c>
      <c r="D114" s="46" t="str">
        <f t="shared" si="4"/>
        <v/>
      </c>
    </row>
    <row r="115" spans="3:4" ht="15.75" x14ac:dyDescent="0.25">
      <c r="C115" s="46" t="str">
        <f t="shared" si="3"/>
        <v/>
      </c>
      <c r="D115" s="46" t="str">
        <f t="shared" si="4"/>
        <v/>
      </c>
    </row>
    <row r="116" spans="3:4" ht="15.75" x14ac:dyDescent="0.25">
      <c r="C116" s="46" t="str">
        <f t="shared" si="3"/>
        <v/>
      </c>
      <c r="D116" s="46" t="str">
        <f t="shared" si="4"/>
        <v/>
      </c>
    </row>
    <row r="117" spans="3:4" ht="15.75" x14ac:dyDescent="0.25">
      <c r="C117" s="46" t="str">
        <f t="shared" si="3"/>
        <v/>
      </c>
      <c r="D117" s="46" t="str">
        <f t="shared" si="4"/>
        <v/>
      </c>
    </row>
    <row r="118" spans="3:4" ht="15.75" x14ac:dyDescent="0.25">
      <c r="C118" s="46" t="str">
        <f t="shared" si="3"/>
        <v/>
      </c>
      <c r="D118" s="46" t="str">
        <f t="shared" si="4"/>
        <v/>
      </c>
    </row>
    <row r="119" spans="3:4" ht="15.75" x14ac:dyDescent="0.25">
      <c r="C119" s="46" t="str">
        <f t="shared" si="3"/>
        <v/>
      </c>
      <c r="D119" s="46" t="str">
        <f t="shared" si="4"/>
        <v/>
      </c>
    </row>
    <row r="120" spans="3:4" ht="15.75" x14ac:dyDescent="0.25">
      <c r="C120" s="46" t="str">
        <f t="shared" si="3"/>
        <v/>
      </c>
      <c r="D120" s="46" t="str">
        <f t="shared" si="4"/>
        <v/>
      </c>
    </row>
    <row r="121" spans="3:4" ht="15.75" x14ac:dyDescent="0.25">
      <c r="C121" s="46" t="str">
        <f t="shared" si="3"/>
        <v/>
      </c>
      <c r="D121" s="46" t="str">
        <f t="shared" si="4"/>
        <v/>
      </c>
    </row>
    <row r="122" spans="3:4" ht="15.75" x14ac:dyDescent="0.25">
      <c r="C122" s="46" t="str">
        <f t="shared" si="3"/>
        <v/>
      </c>
      <c r="D122" s="46" t="str">
        <f t="shared" si="4"/>
        <v/>
      </c>
    </row>
    <row r="123" spans="3:4" ht="15.75" x14ac:dyDescent="0.25">
      <c r="C123" s="46" t="str">
        <f t="shared" si="3"/>
        <v/>
      </c>
      <c r="D123" s="46" t="str">
        <f t="shared" si="4"/>
        <v/>
      </c>
    </row>
    <row r="124" spans="3:4" ht="15.75" x14ac:dyDescent="0.25">
      <c r="C124" s="46" t="str">
        <f t="shared" si="3"/>
        <v/>
      </c>
      <c r="D124" s="46" t="str">
        <f t="shared" si="4"/>
        <v/>
      </c>
    </row>
    <row r="125" spans="3:4" ht="15.75" x14ac:dyDescent="0.25">
      <c r="C125" s="46" t="str">
        <f t="shared" si="3"/>
        <v/>
      </c>
      <c r="D125" s="46" t="str">
        <f t="shared" si="4"/>
        <v/>
      </c>
    </row>
    <row r="126" spans="3:4" ht="15.75" x14ac:dyDescent="0.25">
      <c r="C126" s="46" t="str">
        <f t="shared" si="3"/>
        <v/>
      </c>
      <c r="D126" s="46" t="str">
        <f t="shared" si="4"/>
        <v/>
      </c>
    </row>
    <row r="127" spans="3:4" ht="15.75" x14ac:dyDescent="0.25">
      <c r="C127" s="46" t="str">
        <f t="shared" si="3"/>
        <v/>
      </c>
      <c r="D127" s="46" t="str">
        <f t="shared" si="4"/>
        <v/>
      </c>
    </row>
    <row r="128" spans="3:4" ht="15.75" x14ac:dyDescent="0.25">
      <c r="C128" s="46" t="str">
        <f t="shared" si="3"/>
        <v/>
      </c>
      <c r="D128" s="46" t="str">
        <f t="shared" si="4"/>
        <v/>
      </c>
    </row>
    <row r="129" spans="3:4" ht="15.75" x14ac:dyDescent="0.25">
      <c r="C129" s="46" t="str">
        <f t="shared" si="3"/>
        <v/>
      </c>
      <c r="D129" s="46" t="str">
        <f t="shared" si="4"/>
        <v/>
      </c>
    </row>
    <row r="130" spans="3:4" ht="15.75" x14ac:dyDescent="0.25">
      <c r="C130" s="46" t="str">
        <f t="shared" si="3"/>
        <v/>
      </c>
      <c r="D130" s="46" t="str">
        <f t="shared" si="4"/>
        <v/>
      </c>
    </row>
    <row r="131" spans="3:4" ht="15.75" x14ac:dyDescent="0.25">
      <c r="C131" s="46" t="str">
        <f t="shared" si="3"/>
        <v/>
      </c>
      <c r="D131" s="46" t="str">
        <f t="shared" si="4"/>
        <v/>
      </c>
    </row>
    <row r="132" spans="3:4" ht="15.75" x14ac:dyDescent="0.25">
      <c r="C132" s="46" t="str">
        <f t="shared" si="3"/>
        <v/>
      </c>
      <c r="D132" s="46" t="str">
        <f t="shared" si="4"/>
        <v/>
      </c>
    </row>
    <row r="133" spans="3:4" ht="15.75" x14ac:dyDescent="0.25">
      <c r="C133" s="46" t="str">
        <f t="shared" si="3"/>
        <v/>
      </c>
      <c r="D133" s="46" t="str">
        <f t="shared" si="4"/>
        <v/>
      </c>
    </row>
    <row r="134" spans="3:4" ht="15.75" x14ac:dyDescent="0.25">
      <c r="C134" s="46" t="str">
        <f t="shared" si="3"/>
        <v/>
      </c>
      <c r="D134" s="46" t="str">
        <f t="shared" si="4"/>
        <v/>
      </c>
    </row>
    <row r="135" spans="3:4" ht="15.75" x14ac:dyDescent="0.25">
      <c r="C135" s="46" t="str">
        <f t="shared" si="3"/>
        <v/>
      </c>
      <c r="D135" s="46" t="str">
        <f t="shared" si="4"/>
        <v/>
      </c>
    </row>
    <row r="136" spans="3:4" ht="15.75" x14ac:dyDescent="0.25">
      <c r="C136" s="46" t="str">
        <f t="shared" si="3"/>
        <v/>
      </c>
      <c r="D136" s="46" t="str">
        <f t="shared" si="4"/>
        <v/>
      </c>
    </row>
    <row r="137" spans="3:4" ht="15.75" x14ac:dyDescent="0.25">
      <c r="C137" s="46" t="str">
        <f t="shared" si="3"/>
        <v/>
      </c>
      <c r="D137" s="46" t="str">
        <f t="shared" si="4"/>
        <v/>
      </c>
    </row>
    <row r="138" spans="3:4" ht="15.75" x14ac:dyDescent="0.25">
      <c r="C138" s="46" t="str">
        <f t="shared" si="3"/>
        <v/>
      </c>
      <c r="D138" s="46" t="str">
        <f t="shared" si="4"/>
        <v/>
      </c>
    </row>
    <row r="139" spans="3:4" ht="15.75" x14ac:dyDescent="0.25">
      <c r="C139" s="46" t="str">
        <f t="shared" si="3"/>
        <v/>
      </c>
      <c r="D139" s="46" t="str">
        <f t="shared" si="4"/>
        <v/>
      </c>
    </row>
    <row r="140" spans="3:4" ht="15.75" x14ac:dyDescent="0.25">
      <c r="C140" s="46" t="str">
        <f t="shared" si="3"/>
        <v/>
      </c>
      <c r="D140" s="46" t="str">
        <f t="shared" si="4"/>
        <v/>
      </c>
    </row>
    <row r="141" spans="3:4" ht="15.75" x14ac:dyDescent="0.25">
      <c r="C141" s="46" t="str">
        <f t="shared" si="3"/>
        <v/>
      </c>
      <c r="D141" s="46" t="str">
        <f t="shared" si="4"/>
        <v/>
      </c>
    </row>
    <row r="142" spans="3:4" ht="15.75" x14ac:dyDescent="0.25">
      <c r="C142" s="46" t="str">
        <f t="shared" si="3"/>
        <v/>
      </c>
      <c r="D142" s="46" t="str">
        <f t="shared" si="4"/>
        <v/>
      </c>
    </row>
    <row r="143" spans="3:4" ht="15.75" x14ac:dyDescent="0.25">
      <c r="C143" s="46" t="str">
        <f t="shared" si="3"/>
        <v/>
      </c>
      <c r="D143" s="46" t="str">
        <f t="shared" si="4"/>
        <v/>
      </c>
    </row>
    <row r="144" spans="3:4" ht="15.75" x14ac:dyDescent="0.25">
      <c r="C144" s="46" t="str">
        <f t="shared" si="3"/>
        <v/>
      </c>
      <c r="D144" s="46" t="str">
        <f t="shared" si="4"/>
        <v/>
      </c>
    </row>
    <row r="145" spans="3:4" ht="15.75" x14ac:dyDescent="0.25">
      <c r="C145" s="46" t="str">
        <f t="shared" si="3"/>
        <v/>
      </c>
      <c r="D145" s="46" t="str">
        <f t="shared" si="4"/>
        <v/>
      </c>
    </row>
    <row r="146" spans="3:4" ht="15.75" x14ac:dyDescent="0.25">
      <c r="C146" s="46" t="str">
        <f t="shared" ref="C146:C209" si="5">IF(COUNTIF(E146:BA146,"YES")=0,"",COUNTIF(E146:BA146,"YES"))</f>
        <v/>
      </c>
      <c r="D146" s="46" t="str">
        <f t="shared" ref="D146:D209" si="6">IF(COUNTIF(E146:BA146,"NO")=0,"",COUNTIF(E146:BA146,"NO"))</f>
        <v/>
      </c>
    </row>
    <row r="147" spans="3:4" ht="15.75" x14ac:dyDescent="0.25">
      <c r="C147" s="46" t="str">
        <f t="shared" si="5"/>
        <v/>
      </c>
      <c r="D147" s="46" t="str">
        <f t="shared" si="6"/>
        <v/>
      </c>
    </row>
    <row r="148" spans="3:4" ht="15.75" x14ac:dyDescent="0.25">
      <c r="C148" s="46" t="str">
        <f t="shared" si="5"/>
        <v/>
      </c>
      <c r="D148" s="46" t="str">
        <f t="shared" si="6"/>
        <v/>
      </c>
    </row>
    <row r="149" spans="3:4" ht="15.75" x14ac:dyDescent="0.25">
      <c r="C149" s="46" t="str">
        <f t="shared" si="5"/>
        <v/>
      </c>
      <c r="D149" s="46" t="str">
        <f t="shared" si="6"/>
        <v/>
      </c>
    </row>
    <row r="150" spans="3:4" ht="15.75" x14ac:dyDescent="0.25">
      <c r="C150" s="46" t="str">
        <f t="shared" si="5"/>
        <v/>
      </c>
      <c r="D150" s="46" t="str">
        <f t="shared" si="6"/>
        <v/>
      </c>
    </row>
    <row r="151" spans="3:4" ht="15.75" x14ac:dyDescent="0.25">
      <c r="C151" s="46" t="str">
        <f t="shared" si="5"/>
        <v/>
      </c>
      <c r="D151" s="46" t="str">
        <f t="shared" si="6"/>
        <v/>
      </c>
    </row>
    <row r="152" spans="3:4" ht="15.75" x14ac:dyDescent="0.25">
      <c r="C152" s="46" t="str">
        <f t="shared" si="5"/>
        <v/>
      </c>
      <c r="D152" s="46" t="str">
        <f t="shared" si="6"/>
        <v/>
      </c>
    </row>
    <row r="153" spans="3:4" ht="15.75" x14ac:dyDescent="0.25">
      <c r="C153" s="46" t="str">
        <f t="shared" si="5"/>
        <v/>
      </c>
      <c r="D153" s="46" t="str">
        <f t="shared" si="6"/>
        <v/>
      </c>
    </row>
    <row r="154" spans="3:4" ht="15.75" x14ac:dyDescent="0.25">
      <c r="C154" s="46" t="str">
        <f t="shared" si="5"/>
        <v/>
      </c>
      <c r="D154" s="46" t="str">
        <f t="shared" si="6"/>
        <v/>
      </c>
    </row>
    <row r="155" spans="3:4" ht="15.75" x14ac:dyDescent="0.25">
      <c r="C155" s="46" t="str">
        <f t="shared" si="5"/>
        <v/>
      </c>
      <c r="D155" s="46" t="str">
        <f t="shared" si="6"/>
        <v/>
      </c>
    </row>
    <row r="156" spans="3:4" ht="15.75" x14ac:dyDescent="0.25">
      <c r="C156" s="46" t="str">
        <f t="shared" si="5"/>
        <v/>
      </c>
      <c r="D156" s="46" t="str">
        <f t="shared" si="6"/>
        <v/>
      </c>
    </row>
    <row r="157" spans="3:4" ht="15.75" x14ac:dyDescent="0.25">
      <c r="C157" s="46" t="str">
        <f t="shared" si="5"/>
        <v/>
      </c>
      <c r="D157" s="46" t="str">
        <f t="shared" si="6"/>
        <v/>
      </c>
    </row>
    <row r="158" spans="3:4" ht="15.75" x14ac:dyDescent="0.25">
      <c r="C158" s="46" t="str">
        <f t="shared" si="5"/>
        <v/>
      </c>
      <c r="D158" s="46" t="str">
        <f t="shared" si="6"/>
        <v/>
      </c>
    </row>
    <row r="159" spans="3:4" ht="15.75" x14ac:dyDescent="0.25">
      <c r="C159" s="46" t="str">
        <f t="shared" si="5"/>
        <v/>
      </c>
      <c r="D159" s="46" t="str">
        <f t="shared" si="6"/>
        <v/>
      </c>
    </row>
    <row r="160" spans="3:4" ht="15.75" x14ac:dyDescent="0.25">
      <c r="C160" s="46" t="str">
        <f t="shared" si="5"/>
        <v/>
      </c>
      <c r="D160" s="46" t="str">
        <f t="shared" si="6"/>
        <v/>
      </c>
    </row>
    <row r="161" spans="3:4" ht="15.75" x14ac:dyDescent="0.25">
      <c r="C161" s="46" t="str">
        <f t="shared" si="5"/>
        <v/>
      </c>
      <c r="D161" s="46" t="str">
        <f t="shared" si="6"/>
        <v/>
      </c>
    </row>
    <row r="162" spans="3:4" ht="15.75" x14ac:dyDescent="0.25">
      <c r="C162" s="46" t="str">
        <f t="shared" si="5"/>
        <v/>
      </c>
      <c r="D162" s="46" t="str">
        <f t="shared" si="6"/>
        <v/>
      </c>
    </row>
    <row r="163" spans="3:4" ht="15.75" x14ac:dyDescent="0.25">
      <c r="C163" s="46" t="str">
        <f t="shared" si="5"/>
        <v/>
      </c>
      <c r="D163" s="46" t="str">
        <f t="shared" si="6"/>
        <v/>
      </c>
    </row>
    <row r="164" spans="3:4" ht="15.75" x14ac:dyDescent="0.25">
      <c r="C164" s="46" t="str">
        <f t="shared" si="5"/>
        <v/>
      </c>
      <c r="D164" s="46" t="str">
        <f t="shared" si="6"/>
        <v/>
      </c>
    </row>
    <row r="165" spans="3:4" ht="15.75" x14ac:dyDescent="0.25">
      <c r="C165" s="46" t="str">
        <f t="shared" si="5"/>
        <v/>
      </c>
      <c r="D165" s="46" t="str">
        <f t="shared" si="6"/>
        <v/>
      </c>
    </row>
    <row r="166" spans="3:4" ht="15.75" x14ac:dyDescent="0.25">
      <c r="C166" s="46" t="str">
        <f t="shared" si="5"/>
        <v/>
      </c>
      <c r="D166" s="46" t="str">
        <f t="shared" si="6"/>
        <v/>
      </c>
    </row>
    <row r="167" spans="3:4" ht="15.75" x14ac:dyDescent="0.25">
      <c r="C167" s="46" t="str">
        <f t="shared" si="5"/>
        <v/>
      </c>
      <c r="D167" s="46" t="str">
        <f t="shared" si="6"/>
        <v/>
      </c>
    </row>
    <row r="168" spans="3:4" ht="15.75" x14ac:dyDescent="0.25">
      <c r="C168" s="46" t="str">
        <f t="shared" si="5"/>
        <v/>
      </c>
      <c r="D168" s="46" t="str">
        <f t="shared" si="6"/>
        <v/>
      </c>
    </row>
    <row r="169" spans="3:4" ht="15.75" x14ac:dyDescent="0.25">
      <c r="C169" s="46" t="str">
        <f t="shared" si="5"/>
        <v/>
      </c>
      <c r="D169" s="46" t="str">
        <f t="shared" si="6"/>
        <v/>
      </c>
    </row>
    <row r="170" spans="3:4" ht="15.75" x14ac:dyDescent="0.25">
      <c r="C170" s="46" t="str">
        <f t="shared" si="5"/>
        <v/>
      </c>
      <c r="D170" s="46" t="str">
        <f t="shared" si="6"/>
        <v/>
      </c>
    </row>
    <row r="171" spans="3:4" ht="15.75" x14ac:dyDescent="0.25">
      <c r="C171" s="46" t="str">
        <f t="shared" si="5"/>
        <v/>
      </c>
      <c r="D171" s="46" t="str">
        <f t="shared" si="6"/>
        <v/>
      </c>
    </row>
    <row r="172" spans="3:4" ht="15.75" x14ac:dyDescent="0.25">
      <c r="C172" s="46" t="str">
        <f t="shared" si="5"/>
        <v/>
      </c>
      <c r="D172" s="46" t="str">
        <f t="shared" si="6"/>
        <v/>
      </c>
    </row>
    <row r="173" spans="3:4" ht="15.75" x14ac:dyDescent="0.25">
      <c r="C173" s="46" t="str">
        <f t="shared" si="5"/>
        <v/>
      </c>
      <c r="D173" s="46" t="str">
        <f t="shared" si="6"/>
        <v/>
      </c>
    </row>
    <row r="174" spans="3:4" ht="15.75" x14ac:dyDescent="0.25">
      <c r="C174" s="46" t="str">
        <f t="shared" si="5"/>
        <v/>
      </c>
      <c r="D174" s="46" t="str">
        <f t="shared" si="6"/>
        <v/>
      </c>
    </row>
    <row r="175" spans="3:4" ht="15.75" x14ac:dyDescent="0.25">
      <c r="C175" s="46" t="str">
        <f t="shared" si="5"/>
        <v/>
      </c>
      <c r="D175" s="46" t="str">
        <f t="shared" si="6"/>
        <v/>
      </c>
    </row>
    <row r="176" spans="3:4" ht="15.75" x14ac:dyDescent="0.25">
      <c r="C176" s="46" t="str">
        <f t="shared" si="5"/>
        <v/>
      </c>
      <c r="D176" s="46" t="str">
        <f t="shared" si="6"/>
        <v/>
      </c>
    </row>
    <row r="177" spans="3:4" ht="15.75" x14ac:dyDescent="0.25">
      <c r="C177" s="46" t="str">
        <f t="shared" si="5"/>
        <v/>
      </c>
      <c r="D177" s="46" t="str">
        <f t="shared" si="6"/>
        <v/>
      </c>
    </row>
    <row r="178" spans="3:4" ht="15.75" x14ac:dyDescent="0.25">
      <c r="C178" s="46" t="str">
        <f t="shared" si="5"/>
        <v/>
      </c>
      <c r="D178" s="46" t="str">
        <f t="shared" si="6"/>
        <v/>
      </c>
    </row>
    <row r="179" spans="3:4" ht="15.75" x14ac:dyDescent="0.25">
      <c r="C179" s="46" t="str">
        <f t="shared" si="5"/>
        <v/>
      </c>
      <c r="D179" s="46" t="str">
        <f t="shared" si="6"/>
        <v/>
      </c>
    </row>
    <row r="180" spans="3:4" ht="15.75" x14ac:dyDescent="0.25">
      <c r="C180" s="46" t="str">
        <f t="shared" si="5"/>
        <v/>
      </c>
      <c r="D180" s="46" t="str">
        <f t="shared" si="6"/>
        <v/>
      </c>
    </row>
    <row r="181" spans="3:4" ht="15.75" x14ac:dyDescent="0.25">
      <c r="C181" s="46" t="str">
        <f t="shared" si="5"/>
        <v/>
      </c>
      <c r="D181" s="46" t="str">
        <f t="shared" si="6"/>
        <v/>
      </c>
    </row>
    <row r="182" spans="3:4" ht="15.75" x14ac:dyDescent="0.25">
      <c r="C182" s="46" t="str">
        <f t="shared" si="5"/>
        <v/>
      </c>
      <c r="D182" s="46" t="str">
        <f t="shared" si="6"/>
        <v/>
      </c>
    </row>
    <row r="183" spans="3:4" ht="15.75" x14ac:dyDescent="0.25">
      <c r="C183" s="46" t="str">
        <f t="shared" si="5"/>
        <v/>
      </c>
      <c r="D183" s="46" t="str">
        <f t="shared" si="6"/>
        <v/>
      </c>
    </row>
    <row r="184" spans="3:4" ht="15.75" x14ac:dyDescent="0.25">
      <c r="C184" s="46" t="str">
        <f t="shared" si="5"/>
        <v/>
      </c>
      <c r="D184" s="46" t="str">
        <f t="shared" si="6"/>
        <v/>
      </c>
    </row>
    <row r="185" spans="3:4" ht="15.75" x14ac:dyDescent="0.25">
      <c r="C185" s="46" t="str">
        <f t="shared" si="5"/>
        <v/>
      </c>
      <c r="D185" s="46" t="str">
        <f t="shared" si="6"/>
        <v/>
      </c>
    </row>
    <row r="186" spans="3:4" ht="15.75" x14ac:dyDescent="0.25">
      <c r="C186" s="46" t="str">
        <f t="shared" si="5"/>
        <v/>
      </c>
      <c r="D186" s="46" t="str">
        <f t="shared" si="6"/>
        <v/>
      </c>
    </row>
    <row r="187" spans="3:4" ht="15.75" x14ac:dyDescent="0.25">
      <c r="C187" s="46" t="str">
        <f t="shared" si="5"/>
        <v/>
      </c>
      <c r="D187" s="46" t="str">
        <f t="shared" si="6"/>
        <v/>
      </c>
    </row>
    <row r="188" spans="3:4" ht="15.75" x14ac:dyDescent="0.25">
      <c r="C188" s="46" t="str">
        <f t="shared" si="5"/>
        <v/>
      </c>
      <c r="D188" s="46" t="str">
        <f t="shared" si="6"/>
        <v/>
      </c>
    </row>
    <row r="189" spans="3:4" ht="15.75" x14ac:dyDescent="0.25">
      <c r="C189" s="46" t="str">
        <f t="shared" si="5"/>
        <v/>
      </c>
      <c r="D189" s="46" t="str">
        <f t="shared" si="6"/>
        <v/>
      </c>
    </row>
    <row r="190" spans="3:4" ht="15.75" x14ac:dyDescent="0.25">
      <c r="C190" s="46" t="str">
        <f t="shared" si="5"/>
        <v/>
      </c>
      <c r="D190" s="46" t="str">
        <f t="shared" si="6"/>
        <v/>
      </c>
    </row>
    <row r="191" spans="3:4" ht="15.75" x14ac:dyDescent="0.25">
      <c r="C191" s="46" t="str">
        <f t="shared" si="5"/>
        <v/>
      </c>
      <c r="D191" s="46" t="str">
        <f t="shared" si="6"/>
        <v/>
      </c>
    </row>
    <row r="192" spans="3:4" ht="15.75" x14ac:dyDescent="0.25">
      <c r="C192" s="46" t="str">
        <f t="shared" si="5"/>
        <v/>
      </c>
      <c r="D192" s="46" t="str">
        <f t="shared" si="6"/>
        <v/>
      </c>
    </row>
    <row r="193" spans="3:4" ht="15.75" x14ac:dyDescent="0.25">
      <c r="C193" s="46" t="str">
        <f t="shared" si="5"/>
        <v/>
      </c>
      <c r="D193" s="46" t="str">
        <f t="shared" si="6"/>
        <v/>
      </c>
    </row>
    <row r="194" spans="3:4" ht="15.75" x14ac:dyDescent="0.25">
      <c r="C194" s="46" t="str">
        <f t="shared" si="5"/>
        <v/>
      </c>
      <c r="D194" s="46" t="str">
        <f t="shared" si="6"/>
        <v/>
      </c>
    </row>
    <row r="195" spans="3:4" ht="15.75" x14ac:dyDescent="0.25">
      <c r="C195" s="46" t="str">
        <f t="shared" si="5"/>
        <v/>
      </c>
      <c r="D195" s="46" t="str">
        <f t="shared" si="6"/>
        <v/>
      </c>
    </row>
    <row r="196" spans="3:4" ht="15.75" x14ac:dyDescent="0.25">
      <c r="C196" s="46" t="str">
        <f t="shared" si="5"/>
        <v/>
      </c>
      <c r="D196" s="46" t="str">
        <f t="shared" si="6"/>
        <v/>
      </c>
    </row>
    <row r="197" spans="3:4" ht="15.75" x14ac:dyDescent="0.25">
      <c r="C197" s="46" t="str">
        <f t="shared" si="5"/>
        <v/>
      </c>
      <c r="D197" s="46" t="str">
        <f t="shared" si="6"/>
        <v/>
      </c>
    </row>
    <row r="198" spans="3:4" ht="15.75" x14ac:dyDescent="0.25">
      <c r="C198" s="46" t="str">
        <f t="shared" si="5"/>
        <v/>
      </c>
      <c r="D198" s="46" t="str">
        <f t="shared" si="6"/>
        <v/>
      </c>
    </row>
    <row r="199" spans="3:4" ht="15.75" x14ac:dyDescent="0.25">
      <c r="C199" s="46" t="str">
        <f t="shared" si="5"/>
        <v/>
      </c>
      <c r="D199" s="46" t="str">
        <f t="shared" si="6"/>
        <v/>
      </c>
    </row>
    <row r="200" spans="3:4" ht="15.75" x14ac:dyDescent="0.25">
      <c r="C200" s="46" t="str">
        <f t="shared" si="5"/>
        <v/>
      </c>
      <c r="D200" s="46" t="str">
        <f t="shared" si="6"/>
        <v/>
      </c>
    </row>
    <row r="201" spans="3:4" ht="15.75" x14ac:dyDescent="0.25">
      <c r="C201" s="46" t="str">
        <f t="shared" si="5"/>
        <v/>
      </c>
      <c r="D201" s="46" t="str">
        <f t="shared" si="6"/>
        <v/>
      </c>
    </row>
    <row r="202" spans="3:4" ht="15.75" x14ac:dyDescent="0.25">
      <c r="C202" s="46" t="str">
        <f t="shared" si="5"/>
        <v/>
      </c>
      <c r="D202" s="46" t="str">
        <f t="shared" si="6"/>
        <v/>
      </c>
    </row>
    <row r="203" spans="3:4" ht="15.75" x14ac:dyDescent="0.25">
      <c r="C203" s="46" t="str">
        <f t="shared" si="5"/>
        <v/>
      </c>
      <c r="D203" s="46" t="str">
        <f t="shared" si="6"/>
        <v/>
      </c>
    </row>
    <row r="204" spans="3:4" ht="15.75" x14ac:dyDescent="0.25">
      <c r="C204" s="46" t="str">
        <f t="shared" si="5"/>
        <v/>
      </c>
      <c r="D204" s="46" t="str">
        <f t="shared" si="6"/>
        <v/>
      </c>
    </row>
    <row r="205" spans="3:4" ht="15.75" x14ac:dyDescent="0.25">
      <c r="C205" s="46" t="str">
        <f t="shared" si="5"/>
        <v/>
      </c>
      <c r="D205" s="46" t="str">
        <f t="shared" si="6"/>
        <v/>
      </c>
    </row>
    <row r="206" spans="3:4" ht="15.75" x14ac:dyDescent="0.25">
      <c r="C206" s="46" t="str">
        <f t="shared" si="5"/>
        <v/>
      </c>
      <c r="D206" s="46" t="str">
        <f t="shared" si="6"/>
        <v/>
      </c>
    </row>
    <row r="207" spans="3:4" ht="15.75" x14ac:dyDescent="0.25">
      <c r="C207" s="46" t="str">
        <f t="shared" si="5"/>
        <v/>
      </c>
      <c r="D207" s="46" t="str">
        <f t="shared" si="6"/>
        <v/>
      </c>
    </row>
    <row r="208" spans="3:4" ht="15.75" x14ac:dyDescent="0.25">
      <c r="C208" s="46" t="str">
        <f t="shared" si="5"/>
        <v/>
      </c>
      <c r="D208" s="46" t="str">
        <f t="shared" si="6"/>
        <v/>
      </c>
    </row>
    <row r="209" spans="3:4" ht="15.75" x14ac:dyDescent="0.25">
      <c r="C209" s="46" t="str">
        <f t="shared" si="5"/>
        <v/>
      </c>
      <c r="D209" s="46" t="str">
        <f t="shared" si="6"/>
        <v/>
      </c>
    </row>
    <row r="210" spans="3:4" ht="15.75" x14ac:dyDescent="0.25">
      <c r="C210" s="46" t="str">
        <f t="shared" ref="C210:C273" si="7">IF(COUNTIF(E210:BA210,"YES")=0,"",COUNTIF(E210:BA210,"YES"))</f>
        <v/>
      </c>
      <c r="D210" s="46" t="str">
        <f t="shared" ref="D210:D273" si="8">IF(COUNTIF(E210:BA210,"NO")=0,"",COUNTIF(E210:BA210,"NO"))</f>
        <v/>
      </c>
    </row>
    <row r="211" spans="3:4" ht="15.75" x14ac:dyDescent="0.25">
      <c r="C211" s="46" t="str">
        <f t="shared" si="7"/>
        <v/>
      </c>
      <c r="D211" s="46" t="str">
        <f t="shared" si="8"/>
        <v/>
      </c>
    </row>
    <row r="212" spans="3:4" ht="15.75" x14ac:dyDescent="0.25">
      <c r="C212" s="46" t="str">
        <f t="shared" si="7"/>
        <v/>
      </c>
      <c r="D212" s="46" t="str">
        <f t="shared" si="8"/>
        <v/>
      </c>
    </row>
    <row r="213" spans="3:4" ht="15.75" x14ac:dyDescent="0.25">
      <c r="C213" s="46" t="str">
        <f t="shared" si="7"/>
        <v/>
      </c>
      <c r="D213" s="46" t="str">
        <f t="shared" si="8"/>
        <v/>
      </c>
    </row>
    <row r="214" spans="3:4" ht="15.75" x14ac:dyDescent="0.25">
      <c r="C214" s="46" t="str">
        <f t="shared" si="7"/>
        <v/>
      </c>
      <c r="D214" s="46" t="str">
        <f t="shared" si="8"/>
        <v/>
      </c>
    </row>
    <row r="215" spans="3:4" ht="15.75" x14ac:dyDescent="0.25">
      <c r="C215" s="46" t="str">
        <f t="shared" si="7"/>
        <v/>
      </c>
      <c r="D215" s="46" t="str">
        <f t="shared" si="8"/>
        <v/>
      </c>
    </row>
    <row r="216" spans="3:4" ht="15.75" x14ac:dyDescent="0.25">
      <c r="C216" s="46" t="str">
        <f t="shared" si="7"/>
        <v/>
      </c>
      <c r="D216" s="46" t="str">
        <f t="shared" si="8"/>
        <v/>
      </c>
    </row>
    <row r="217" spans="3:4" ht="15.75" x14ac:dyDescent="0.25">
      <c r="C217" s="46" t="str">
        <f t="shared" si="7"/>
        <v/>
      </c>
      <c r="D217" s="46" t="str">
        <f t="shared" si="8"/>
        <v/>
      </c>
    </row>
    <row r="218" spans="3:4" ht="15.75" x14ac:dyDescent="0.25">
      <c r="C218" s="46" t="str">
        <f t="shared" si="7"/>
        <v/>
      </c>
      <c r="D218" s="46" t="str">
        <f t="shared" si="8"/>
        <v/>
      </c>
    </row>
    <row r="219" spans="3:4" ht="15.75" x14ac:dyDescent="0.25">
      <c r="C219" s="46" t="str">
        <f t="shared" si="7"/>
        <v/>
      </c>
      <c r="D219" s="46" t="str">
        <f t="shared" si="8"/>
        <v/>
      </c>
    </row>
    <row r="220" spans="3:4" ht="15.75" x14ac:dyDescent="0.25">
      <c r="C220" s="46" t="str">
        <f t="shared" si="7"/>
        <v/>
      </c>
      <c r="D220" s="46" t="str">
        <f t="shared" si="8"/>
        <v/>
      </c>
    </row>
    <row r="221" spans="3:4" ht="15.75" x14ac:dyDescent="0.25">
      <c r="C221" s="46" t="str">
        <f t="shared" si="7"/>
        <v/>
      </c>
      <c r="D221" s="46" t="str">
        <f t="shared" si="8"/>
        <v/>
      </c>
    </row>
    <row r="222" spans="3:4" ht="15.75" x14ac:dyDescent="0.25">
      <c r="C222" s="46" t="str">
        <f t="shared" si="7"/>
        <v/>
      </c>
      <c r="D222" s="46" t="str">
        <f t="shared" si="8"/>
        <v/>
      </c>
    </row>
    <row r="223" spans="3:4" ht="15.75" x14ac:dyDescent="0.25">
      <c r="C223" s="46" t="str">
        <f t="shared" si="7"/>
        <v/>
      </c>
      <c r="D223" s="46" t="str">
        <f t="shared" si="8"/>
        <v/>
      </c>
    </row>
    <row r="224" spans="3:4" ht="15.75" x14ac:dyDescent="0.25">
      <c r="C224" s="46" t="str">
        <f t="shared" si="7"/>
        <v/>
      </c>
      <c r="D224" s="46" t="str">
        <f t="shared" si="8"/>
        <v/>
      </c>
    </row>
    <row r="225" spans="3:4" ht="15.75" x14ac:dyDescent="0.25">
      <c r="C225" s="46" t="str">
        <f t="shared" si="7"/>
        <v/>
      </c>
      <c r="D225" s="46" t="str">
        <f t="shared" si="8"/>
        <v/>
      </c>
    </row>
    <row r="226" spans="3:4" ht="15.75" x14ac:dyDescent="0.25">
      <c r="C226" s="46" t="str">
        <f t="shared" si="7"/>
        <v/>
      </c>
      <c r="D226" s="46" t="str">
        <f t="shared" si="8"/>
        <v/>
      </c>
    </row>
    <row r="227" spans="3:4" ht="15.75" x14ac:dyDescent="0.25">
      <c r="C227" s="46" t="str">
        <f t="shared" si="7"/>
        <v/>
      </c>
      <c r="D227" s="46" t="str">
        <f t="shared" si="8"/>
        <v/>
      </c>
    </row>
    <row r="228" spans="3:4" ht="15.75" x14ac:dyDescent="0.25">
      <c r="C228" s="46" t="str">
        <f t="shared" si="7"/>
        <v/>
      </c>
      <c r="D228" s="46" t="str">
        <f t="shared" si="8"/>
        <v/>
      </c>
    </row>
    <row r="229" spans="3:4" ht="15.75" x14ac:dyDescent="0.25">
      <c r="C229" s="46" t="str">
        <f t="shared" si="7"/>
        <v/>
      </c>
      <c r="D229" s="46" t="str">
        <f t="shared" si="8"/>
        <v/>
      </c>
    </row>
    <row r="230" spans="3:4" ht="15.75" x14ac:dyDescent="0.25">
      <c r="C230" s="46" t="str">
        <f t="shared" si="7"/>
        <v/>
      </c>
      <c r="D230" s="46" t="str">
        <f t="shared" si="8"/>
        <v/>
      </c>
    </row>
    <row r="231" spans="3:4" ht="15.75" x14ac:dyDescent="0.25">
      <c r="C231" s="46" t="str">
        <f t="shared" si="7"/>
        <v/>
      </c>
      <c r="D231" s="46" t="str">
        <f t="shared" si="8"/>
        <v/>
      </c>
    </row>
    <row r="232" spans="3:4" ht="15.75" x14ac:dyDescent="0.25">
      <c r="C232" s="46" t="str">
        <f t="shared" si="7"/>
        <v/>
      </c>
      <c r="D232" s="46" t="str">
        <f t="shared" si="8"/>
        <v/>
      </c>
    </row>
    <row r="233" spans="3:4" ht="15.75" x14ac:dyDescent="0.25">
      <c r="C233" s="46" t="str">
        <f t="shared" si="7"/>
        <v/>
      </c>
      <c r="D233" s="46" t="str">
        <f t="shared" si="8"/>
        <v/>
      </c>
    </row>
    <row r="234" spans="3:4" ht="15.75" x14ac:dyDescent="0.25">
      <c r="C234" s="46" t="str">
        <f t="shared" si="7"/>
        <v/>
      </c>
      <c r="D234" s="46" t="str">
        <f t="shared" si="8"/>
        <v/>
      </c>
    </row>
    <row r="235" spans="3:4" ht="15.75" x14ac:dyDescent="0.25">
      <c r="C235" s="46" t="str">
        <f t="shared" si="7"/>
        <v/>
      </c>
      <c r="D235" s="46" t="str">
        <f t="shared" si="8"/>
        <v/>
      </c>
    </row>
    <row r="236" spans="3:4" ht="15.75" x14ac:dyDescent="0.25">
      <c r="C236" s="46" t="str">
        <f t="shared" si="7"/>
        <v/>
      </c>
      <c r="D236" s="46" t="str">
        <f t="shared" si="8"/>
        <v/>
      </c>
    </row>
    <row r="237" spans="3:4" ht="15.75" x14ac:dyDescent="0.25">
      <c r="C237" s="46" t="str">
        <f t="shared" si="7"/>
        <v/>
      </c>
      <c r="D237" s="46" t="str">
        <f t="shared" si="8"/>
        <v/>
      </c>
    </row>
    <row r="238" spans="3:4" ht="15.75" x14ac:dyDescent="0.25">
      <c r="C238" s="46" t="str">
        <f t="shared" si="7"/>
        <v/>
      </c>
      <c r="D238" s="46" t="str">
        <f t="shared" si="8"/>
        <v/>
      </c>
    </row>
    <row r="239" spans="3:4" ht="15.75" x14ac:dyDescent="0.25">
      <c r="C239" s="46" t="str">
        <f t="shared" si="7"/>
        <v/>
      </c>
      <c r="D239" s="46" t="str">
        <f t="shared" si="8"/>
        <v/>
      </c>
    </row>
    <row r="240" spans="3:4" ht="15.75" x14ac:dyDescent="0.25">
      <c r="C240" s="46" t="str">
        <f t="shared" si="7"/>
        <v/>
      </c>
      <c r="D240" s="46" t="str">
        <f t="shared" si="8"/>
        <v/>
      </c>
    </row>
    <row r="241" spans="3:4" ht="15.75" x14ac:dyDescent="0.25">
      <c r="C241" s="46" t="str">
        <f t="shared" si="7"/>
        <v/>
      </c>
      <c r="D241" s="46" t="str">
        <f t="shared" si="8"/>
        <v/>
      </c>
    </row>
    <row r="242" spans="3:4" ht="15.75" x14ac:dyDescent="0.25">
      <c r="C242" s="46" t="str">
        <f t="shared" si="7"/>
        <v/>
      </c>
      <c r="D242" s="46" t="str">
        <f t="shared" si="8"/>
        <v/>
      </c>
    </row>
    <row r="243" spans="3:4" ht="15.75" x14ac:dyDescent="0.25">
      <c r="C243" s="46" t="str">
        <f t="shared" si="7"/>
        <v/>
      </c>
      <c r="D243" s="46" t="str">
        <f t="shared" si="8"/>
        <v/>
      </c>
    </row>
    <row r="244" spans="3:4" ht="15.75" x14ac:dyDescent="0.25">
      <c r="C244" s="46" t="str">
        <f t="shared" si="7"/>
        <v/>
      </c>
      <c r="D244" s="46" t="str">
        <f t="shared" si="8"/>
        <v/>
      </c>
    </row>
    <row r="245" spans="3:4" ht="15.75" x14ac:dyDescent="0.25">
      <c r="C245" s="46" t="str">
        <f t="shared" si="7"/>
        <v/>
      </c>
      <c r="D245" s="46" t="str">
        <f t="shared" si="8"/>
        <v/>
      </c>
    </row>
    <row r="246" spans="3:4" ht="15.75" x14ac:dyDescent="0.25">
      <c r="C246" s="46" t="str">
        <f t="shared" si="7"/>
        <v/>
      </c>
      <c r="D246" s="46" t="str">
        <f t="shared" si="8"/>
        <v/>
      </c>
    </row>
    <row r="247" spans="3:4" ht="15.75" x14ac:dyDescent="0.25">
      <c r="C247" s="46" t="str">
        <f t="shared" si="7"/>
        <v/>
      </c>
      <c r="D247" s="46" t="str">
        <f t="shared" si="8"/>
        <v/>
      </c>
    </row>
    <row r="248" spans="3:4" ht="15.75" x14ac:dyDescent="0.25">
      <c r="C248" s="46" t="str">
        <f t="shared" si="7"/>
        <v/>
      </c>
      <c r="D248" s="46" t="str">
        <f t="shared" si="8"/>
        <v/>
      </c>
    </row>
    <row r="249" spans="3:4" ht="15.75" x14ac:dyDescent="0.25">
      <c r="C249" s="46" t="str">
        <f t="shared" si="7"/>
        <v/>
      </c>
      <c r="D249" s="46" t="str">
        <f t="shared" si="8"/>
        <v/>
      </c>
    </row>
    <row r="250" spans="3:4" ht="15.75" x14ac:dyDescent="0.25">
      <c r="C250" s="46" t="str">
        <f t="shared" si="7"/>
        <v/>
      </c>
      <c r="D250" s="46" t="str">
        <f t="shared" si="8"/>
        <v/>
      </c>
    </row>
    <row r="251" spans="3:4" ht="15.75" x14ac:dyDescent="0.25">
      <c r="C251" s="46" t="str">
        <f t="shared" si="7"/>
        <v/>
      </c>
      <c r="D251" s="46" t="str">
        <f t="shared" si="8"/>
        <v/>
      </c>
    </row>
    <row r="252" spans="3:4" ht="15.75" x14ac:dyDescent="0.25">
      <c r="C252" s="46" t="str">
        <f t="shared" si="7"/>
        <v/>
      </c>
      <c r="D252" s="46" t="str">
        <f t="shared" si="8"/>
        <v/>
      </c>
    </row>
    <row r="253" spans="3:4" ht="15.75" x14ac:dyDescent="0.25">
      <c r="C253" s="46" t="str">
        <f t="shared" si="7"/>
        <v/>
      </c>
      <c r="D253" s="46" t="str">
        <f t="shared" si="8"/>
        <v/>
      </c>
    </row>
    <row r="254" spans="3:4" ht="15.75" x14ac:dyDescent="0.25">
      <c r="C254" s="46" t="str">
        <f t="shared" si="7"/>
        <v/>
      </c>
      <c r="D254" s="46" t="str">
        <f t="shared" si="8"/>
        <v/>
      </c>
    </row>
    <row r="255" spans="3:4" ht="15.75" x14ac:dyDescent="0.25">
      <c r="C255" s="46" t="str">
        <f t="shared" si="7"/>
        <v/>
      </c>
      <c r="D255" s="46" t="str">
        <f t="shared" si="8"/>
        <v/>
      </c>
    </row>
    <row r="256" spans="3:4" ht="15.75" x14ac:dyDescent="0.25">
      <c r="C256" s="46" t="str">
        <f t="shared" si="7"/>
        <v/>
      </c>
      <c r="D256" s="46" t="str">
        <f t="shared" si="8"/>
        <v/>
      </c>
    </row>
    <row r="257" spans="3:4" ht="15.75" x14ac:dyDescent="0.25">
      <c r="C257" s="46" t="str">
        <f t="shared" si="7"/>
        <v/>
      </c>
      <c r="D257" s="46" t="str">
        <f t="shared" si="8"/>
        <v/>
      </c>
    </row>
    <row r="258" spans="3:4" ht="15.75" x14ac:dyDescent="0.25">
      <c r="C258" s="46" t="str">
        <f t="shared" si="7"/>
        <v/>
      </c>
      <c r="D258" s="46" t="str">
        <f t="shared" si="8"/>
        <v/>
      </c>
    </row>
    <row r="259" spans="3:4" ht="15.75" x14ac:dyDescent="0.25">
      <c r="C259" s="46" t="str">
        <f t="shared" si="7"/>
        <v/>
      </c>
      <c r="D259" s="46" t="str">
        <f t="shared" si="8"/>
        <v/>
      </c>
    </row>
    <row r="260" spans="3:4" ht="15.75" x14ac:dyDescent="0.25">
      <c r="C260" s="46" t="str">
        <f t="shared" si="7"/>
        <v/>
      </c>
      <c r="D260" s="46" t="str">
        <f t="shared" si="8"/>
        <v/>
      </c>
    </row>
    <row r="261" spans="3:4" ht="15.75" x14ac:dyDescent="0.25">
      <c r="C261" s="46" t="str">
        <f t="shared" si="7"/>
        <v/>
      </c>
      <c r="D261" s="46" t="str">
        <f t="shared" si="8"/>
        <v/>
      </c>
    </row>
    <row r="262" spans="3:4" ht="15.75" x14ac:dyDescent="0.25">
      <c r="C262" s="46" t="str">
        <f t="shared" si="7"/>
        <v/>
      </c>
      <c r="D262" s="46" t="str">
        <f t="shared" si="8"/>
        <v/>
      </c>
    </row>
    <row r="263" spans="3:4" ht="15.75" x14ac:dyDescent="0.25">
      <c r="C263" s="46" t="str">
        <f t="shared" si="7"/>
        <v/>
      </c>
      <c r="D263" s="46" t="str">
        <f t="shared" si="8"/>
        <v/>
      </c>
    </row>
    <row r="264" spans="3:4" ht="15.75" x14ac:dyDescent="0.25">
      <c r="C264" s="46" t="str">
        <f t="shared" si="7"/>
        <v/>
      </c>
      <c r="D264" s="46" t="str">
        <f t="shared" si="8"/>
        <v/>
      </c>
    </row>
    <row r="265" spans="3:4" ht="15.75" x14ac:dyDescent="0.25">
      <c r="C265" s="46" t="str">
        <f t="shared" si="7"/>
        <v/>
      </c>
      <c r="D265" s="46" t="str">
        <f t="shared" si="8"/>
        <v/>
      </c>
    </row>
    <row r="266" spans="3:4" ht="15.75" x14ac:dyDescent="0.25">
      <c r="C266" s="46" t="str">
        <f t="shared" si="7"/>
        <v/>
      </c>
      <c r="D266" s="46" t="str">
        <f t="shared" si="8"/>
        <v/>
      </c>
    </row>
    <row r="267" spans="3:4" ht="15.75" x14ac:dyDescent="0.25">
      <c r="C267" s="46" t="str">
        <f t="shared" si="7"/>
        <v/>
      </c>
      <c r="D267" s="46" t="str">
        <f t="shared" si="8"/>
        <v/>
      </c>
    </row>
    <row r="268" spans="3:4" ht="15.75" x14ac:dyDescent="0.25">
      <c r="C268" s="46" t="str">
        <f t="shared" si="7"/>
        <v/>
      </c>
      <c r="D268" s="46" t="str">
        <f t="shared" si="8"/>
        <v/>
      </c>
    </row>
    <row r="269" spans="3:4" ht="15.75" x14ac:dyDescent="0.25">
      <c r="C269" s="46" t="str">
        <f t="shared" si="7"/>
        <v/>
      </c>
      <c r="D269" s="46" t="str">
        <f t="shared" si="8"/>
        <v/>
      </c>
    </row>
    <row r="270" spans="3:4" ht="15.75" x14ac:dyDescent="0.25">
      <c r="C270" s="46" t="str">
        <f t="shared" si="7"/>
        <v/>
      </c>
      <c r="D270" s="46" t="str">
        <f t="shared" si="8"/>
        <v/>
      </c>
    </row>
    <row r="271" spans="3:4" ht="15.75" x14ac:dyDescent="0.25">
      <c r="C271" s="46" t="str">
        <f t="shared" si="7"/>
        <v/>
      </c>
      <c r="D271" s="46" t="str">
        <f t="shared" si="8"/>
        <v/>
      </c>
    </row>
    <row r="272" spans="3:4" ht="15.75" x14ac:dyDescent="0.25">
      <c r="C272" s="46" t="str">
        <f t="shared" si="7"/>
        <v/>
      </c>
      <c r="D272" s="46" t="str">
        <f t="shared" si="8"/>
        <v/>
      </c>
    </row>
    <row r="273" spans="3:4" ht="15.75" x14ac:dyDescent="0.25">
      <c r="C273" s="46" t="str">
        <f t="shared" si="7"/>
        <v/>
      </c>
      <c r="D273" s="46" t="str">
        <f t="shared" si="8"/>
        <v/>
      </c>
    </row>
    <row r="274" spans="3:4" ht="15.75" x14ac:dyDescent="0.25">
      <c r="C274" s="46" t="str">
        <f t="shared" ref="C274:C306" si="9">IF(COUNTIF(E274:BA274,"YES")=0,"",COUNTIF(E274:BA274,"YES"))</f>
        <v/>
      </c>
      <c r="D274" s="46" t="str">
        <f t="shared" ref="D274:D305" si="10">IF(COUNTIF(E274:BA274,"NO")=0,"",COUNTIF(E274:BA274,"NO"))</f>
        <v/>
      </c>
    </row>
    <row r="275" spans="3:4" ht="15.75" x14ac:dyDescent="0.25">
      <c r="C275" s="46" t="str">
        <f t="shared" si="9"/>
        <v/>
      </c>
      <c r="D275" s="46" t="str">
        <f t="shared" si="10"/>
        <v/>
      </c>
    </row>
    <row r="276" spans="3:4" ht="15.75" x14ac:dyDescent="0.25">
      <c r="C276" s="46" t="str">
        <f t="shared" si="9"/>
        <v/>
      </c>
      <c r="D276" s="46" t="str">
        <f t="shared" si="10"/>
        <v/>
      </c>
    </row>
    <row r="277" spans="3:4" ht="15.75" x14ac:dyDescent="0.25">
      <c r="C277" s="46" t="str">
        <f t="shared" si="9"/>
        <v/>
      </c>
      <c r="D277" s="46" t="str">
        <f t="shared" si="10"/>
        <v/>
      </c>
    </row>
    <row r="278" spans="3:4" ht="15.75" x14ac:dyDescent="0.25">
      <c r="C278" s="46" t="str">
        <f t="shared" si="9"/>
        <v/>
      </c>
      <c r="D278" s="46" t="str">
        <f t="shared" si="10"/>
        <v/>
      </c>
    </row>
    <row r="279" spans="3:4" ht="15.75" x14ac:dyDescent="0.25">
      <c r="C279" s="46" t="str">
        <f t="shared" si="9"/>
        <v/>
      </c>
      <c r="D279" s="46" t="str">
        <f t="shared" si="10"/>
        <v/>
      </c>
    </row>
    <row r="280" spans="3:4" ht="15.75" x14ac:dyDescent="0.25">
      <c r="C280" s="46" t="str">
        <f t="shared" si="9"/>
        <v/>
      </c>
      <c r="D280" s="46" t="str">
        <f t="shared" si="10"/>
        <v/>
      </c>
    </row>
    <row r="281" spans="3:4" ht="15.75" x14ac:dyDescent="0.25">
      <c r="C281" s="46" t="str">
        <f t="shared" si="9"/>
        <v/>
      </c>
      <c r="D281" s="46" t="str">
        <f t="shared" si="10"/>
        <v/>
      </c>
    </row>
    <row r="282" spans="3:4" ht="15.75" x14ac:dyDescent="0.25">
      <c r="C282" s="46" t="str">
        <f t="shared" si="9"/>
        <v/>
      </c>
      <c r="D282" s="46" t="str">
        <f t="shared" si="10"/>
        <v/>
      </c>
    </row>
    <row r="283" spans="3:4" ht="15.75" x14ac:dyDescent="0.25">
      <c r="C283" s="46" t="str">
        <f t="shared" si="9"/>
        <v/>
      </c>
      <c r="D283" s="46" t="str">
        <f t="shared" si="10"/>
        <v/>
      </c>
    </row>
    <row r="284" spans="3:4" ht="15.75" x14ac:dyDescent="0.25">
      <c r="C284" s="46" t="str">
        <f t="shared" si="9"/>
        <v/>
      </c>
      <c r="D284" s="46" t="str">
        <f t="shared" si="10"/>
        <v/>
      </c>
    </row>
    <row r="285" spans="3:4" ht="15.75" x14ac:dyDescent="0.25">
      <c r="C285" s="46" t="str">
        <f t="shared" si="9"/>
        <v/>
      </c>
      <c r="D285" s="46" t="str">
        <f t="shared" si="10"/>
        <v/>
      </c>
    </row>
    <row r="286" spans="3:4" ht="15.75" x14ac:dyDescent="0.25">
      <c r="C286" s="46" t="str">
        <f t="shared" si="9"/>
        <v/>
      </c>
      <c r="D286" s="46" t="str">
        <f t="shared" si="10"/>
        <v/>
      </c>
    </row>
    <row r="287" spans="3:4" ht="15.75" x14ac:dyDescent="0.25">
      <c r="C287" s="46" t="str">
        <f t="shared" si="9"/>
        <v/>
      </c>
      <c r="D287" s="46" t="str">
        <f t="shared" si="10"/>
        <v/>
      </c>
    </row>
    <row r="288" spans="3:4" ht="15.75" x14ac:dyDescent="0.25">
      <c r="C288" s="46" t="str">
        <f t="shared" si="9"/>
        <v/>
      </c>
      <c r="D288" s="46" t="str">
        <f t="shared" si="10"/>
        <v/>
      </c>
    </row>
    <row r="289" spans="3:4" ht="15.75" x14ac:dyDescent="0.25">
      <c r="C289" s="46" t="str">
        <f t="shared" si="9"/>
        <v/>
      </c>
      <c r="D289" s="46" t="str">
        <f t="shared" si="10"/>
        <v/>
      </c>
    </row>
    <row r="290" spans="3:4" ht="15.75" x14ac:dyDescent="0.25">
      <c r="C290" s="46" t="str">
        <f t="shared" si="9"/>
        <v/>
      </c>
      <c r="D290" s="46" t="str">
        <f t="shared" si="10"/>
        <v/>
      </c>
    </row>
    <row r="291" spans="3:4" ht="15.75" x14ac:dyDescent="0.25">
      <c r="C291" s="46" t="str">
        <f t="shared" si="9"/>
        <v/>
      </c>
      <c r="D291" s="46" t="str">
        <f t="shared" si="10"/>
        <v/>
      </c>
    </row>
    <row r="292" spans="3:4" ht="15.75" x14ac:dyDescent="0.25">
      <c r="C292" s="46" t="str">
        <f t="shared" si="9"/>
        <v/>
      </c>
      <c r="D292" s="46" t="str">
        <f t="shared" si="10"/>
        <v/>
      </c>
    </row>
    <row r="293" spans="3:4" ht="15.75" x14ac:dyDescent="0.25">
      <c r="C293" s="46" t="str">
        <f t="shared" si="9"/>
        <v/>
      </c>
      <c r="D293" s="46" t="str">
        <f t="shared" si="10"/>
        <v/>
      </c>
    </row>
    <row r="294" spans="3:4" ht="15.75" x14ac:dyDescent="0.25">
      <c r="C294" s="46" t="str">
        <f t="shared" si="9"/>
        <v/>
      </c>
      <c r="D294" s="46" t="str">
        <f t="shared" si="10"/>
        <v/>
      </c>
    </row>
    <row r="295" spans="3:4" ht="15.75" x14ac:dyDescent="0.25">
      <c r="C295" s="46" t="str">
        <f t="shared" si="9"/>
        <v/>
      </c>
      <c r="D295" s="46" t="str">
        <f t="shared" si="10"/>
        <v/>
      </c>
    </row>
    <row r="296" spans="3:4" ht="15.75" x14ac:dyDescent="0.25">
      <c r="C296" s="46" t="str">
        <f t="shared" si="9"/>
        <v/>
      </c>
      <c r="D296" s="46" t="str">
        <f t="shared" si="10"/>
        <v/>
      </c>
    </row>
    <row r="297" spans="3:4" ht="15.75" x14ac:dyDescent="0.25">
      <c r="C297" s="46" t="str">
        <f t="shared" si="9"/>
        <v/>
      </c>
      <c r="D297" s="46" t="str">
        <f t="shared" si="10"/>
        <v/>
      </c>
    </row>
    <row r="298" spans="3:4" ht="15.75" x14ac:dyDescent="0.25">
      <c r="C298" s="46" t="str">
        <f t="shared" si="9"/>
        <v/>
      </c>
      <c r="D298" s="46" t="str">
        <f t="shared" si="10"/>
        <v/>
      </c>
    </row>
    <row r="299" spans="3:4" ht="15.75" x14ac:dyDescent="0.25">
      <c r="C299" s="46" t="str">
        <f t="shared" si="9"/>
        <v/>
      </c>
      <c r="D299" s="46" t="str">
        <f t="shared" si="10"/>
        <v/>
      </c>
    </row>
    <row r="300" spans="3:4" ht="15.75" x14ac:dyDescent="0.25">
      <c r="C300" s="46" t="str">
        <f t="shared" si="9"/>
        <v/>
      </c>
      <c r="D300" s="46" t="str">
        <f t="shared" si="10"/>
        <v/>
      </c>
    </row>
    <row r="301" spans="3:4" ht="15.75" x14ac:dyDescent="0.25">
      <c r="C301" s="46" t="str">
        <f t="shared" si="9"/>
        <v/>
      </c>
      <c r="D301" s="46" t="str">
        <f t="shared" si="10"/>
        <v/>
      </c>
    </row>
    <row r="302" spans="3:4" ht="15.75" x14ac:dyDescent="0.25">
      <c r="C302" s="46" t="str">
        <f t="shared" si="9"/>
        <v/>
      </c>
      <c r="D302" s="46" t="str">
        <f t="shared" si="10"/>
        <v/>
      </c>
    </row>
    <row r="303" spans="3:4" ht="15.75" x14ac:dyDescent="0.25">
      <c r="C303" s="46" t="str">
        <f t="shared" si="9"/>
        <v/>
      </c>
      <c r="D303" s="46" t="str">
        <f t="shared" si="10"/>
        <v/>
      </c>
    </row>
    <row r="304" spans="3:4" ht="15.75" x14ac:dyDescent="0.25">
      <c r="C304" s="46" t="str">
        <f t="shared" si="9"/>
        <v/>
      </c>
      <c r="D304" s="46" t="str">
        <f t="shared" si="10"/>
        <v/>
      </c>
    </row>
    <row r="305" spans="3:4" ht="15.75" x14ac:dyDescent="0.25">
      <c r="C305" s="46" t="str">
        <f t="shared" si="9"/>
        <v/>
      </c>
      <c r="D305" s="46" t="str">
        <f t="shared" si="10"/>
        <v/>
      </c>
    </row>
    <row r="306" spans="3:4" ht="15.75" x14ac:dyDescent="0.25">
      <c r="C306" s="46" t="str">
        <f t="shared" si="9"/>
        <v/>
      </c>
      <c r="D306" s="46" t="str">
        <f>IF(COUNTIF(E306:BA306,"NO")=0,"",COUNTIF(E306:BA306,"NO"))</f>
        <v/>
      </c>
    </row>
  </sheetData>
  <conditionalFormatting sqref="E7:Z13 E17:Z17 E15:H16">
    <cfRule type="cellIs" dxfId="33" priority="3" stopIfTrue="1" operator="equal">
      <formula>"YES"</formula>
    </cfRule>
    <cfRule type="cellIs" dxfId="32" priority="4" stopIfTrue="1" operator="equal">
      <formula>"NO"</formula>
    </cfRule>
  </conditionalFormatting>
  <conditionalFormatting sqref="E14:H14">
    <cfRule type="cellIs" dxfId="31" priority="1" stopIfTrue="1" operator="equal">
      <formula>"YES"</formula>
    </cfRule>
    <cfRule type="cellIs" dxfId="30" priority="2" stopIfTrue="1" operator="equal">
      <formula>"NO"</formula>
    </cfRule>
  </conditionalFormatting>
  <dataValidations count="1">
    <dataValidation type="list" allowBlank="1" showInputMessage="1" showErrorMessage="1" sqref="E7:Z13 E14:H16 E17:Z17" xr:uid="{00000000-0002-0000-1000-000000000000}">
      <formula1>$D$1:$D$3</formula1>
    </dataValidation>
  </dataValidations>
  <hyperlinks>
    <hyperlink ref="B5" r:id="rId1" display="ALE_2.10n" xr:uid="{00000000-0004-0000-1000-000000000000}"/>
  </hyperlinks>
  <pageMargins left="0.75" right="0.75" top="1" bottom="1" header="0.4921259845" footer="0.4921259845"/>
  <pageSetup paperSize="9" scale="32" fitToHeight="0" orientation="portrait" r:id="rId2"/>
  <headerFooter alignWithMargins="0"/>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2">
    <tabColor theme="7"/>
    <pageSetUpPr fitToPage="1"/>
  </sheetPr>
  <dimension ref="A1:Z307"/>
  <sheetViews>
    <sheetView zoomScale="90" zoomScaleNormal="90" workbookViewId="0">
      <pane xSplit="2" ySplit="4" topLeftCell="C20"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9.140625" style="194" customWidth="1"/>
    <col min="2" max="2" width="95.7109375" style="57" customWidth="1"/>
    <col min="3" max="4" width="4.42578125" style="40" bestFit="1" customWidth="1"/>
    <col min="5" max="32" width="6.5703125" style="40" customWidth="1"/>
    <col min="33" max="16384" width="9.140625" style="40"/>
  </cols>
  <sheetData>
    <row r="1" spans="1:26" ht="0.75" customHeight="1" thickBot="1" x14ac:dyDescent="0.25">
      <c r="D1" s="40" t="s">
        <v>43</v>
      </c>
    </row>
    <row r="2" spans="1:26" hidden="1" x14ac:dyDescent="0.2">
      <c r="D2" s="40" t="s">
        <v>44</v>
      </c>
    </row>
    <row r="3" spans="1:26" ht="13.5" hidden="1" thickBot="1" x14ac:dyDescent="0.25">
      <c r="D3" s="40" t="s">
        <v>13</v>
      </c>
    </row>
    <row r="4" spans="1:26" ht="88.5" thickTop="1" thickBot="1" x14ac:dyDescent="0.25">
      <c r="A4" s="195"/>
      <c r="B4" s="47" t="s">
        <v>382</v>
      </c>
      <c r="C4" s="43" t="s">
        <v>46</v>
      </c>
      <c r="D4" s="43" t="s">
        <v>47</v>
      </c>
      <c r="E4" s="43" t="s">
        <v>323</v>
      </c>
      <c r="F4" s="43" t="s">
        <v>323</v>
      </c>
      <c r="G4" s="43" t="s">
        <v>323</v>
      </c>
      <c r="H4" s="43" t="s">
        <v>323</v>
      </c>
      <c r="I4" s="43" t="s">
        <v>323</v>
      </c>
      <c r="J4" s="43" t="s">
        <v>323</v>
      </c>
      <c r="K4" s="43" t="s">
        <v>323</v>
      </c>
      <c r="L4" s="43" t="s">
        <v>323</v>
      </c>
      <c r="M4" s="43" t="s">
        <v>323</v>
      </c>
      <c r="N4" s="43" t="s">
        <v>323</v>
      </c>
      <c r="O4" s="43" t="s">
        <v>323</v>
      </c>
      <c r="P4" s="43" t="s">
        <v>323</v>
      </c>
      <c r="Q4" s="43" t="s">
        <v>323</v>
      </c>
      <c r="R4" s="43" t="s">
        <v>323</v>
      </c>
      <c r="S4" s="43" t="s">
        <v>323</v>
      </c>
      <c r="T4" s="43" t="s">
        <v>323</v>
      </c>
      <c r="U4" s="43" t="s">
        <v>323</v>
      </c>
      <c r="V4" s="43" t="s">
        <v>323</v>
      </c>
      <c r="W4" s="43" t="s">
        <v>323</v>
      </c>
      <c r="X4" s="43" t="s">
        <v>323</v>
      </c>
      <c r="Y4" s="43" t="s">
        <v>323</v>
      </c>
      <c r="Z4" s="43" t="s">
        <v>323</v>
      </c>
    </row>
    <row r="5" spans="1:26" s="80" customFormat="1" ht="26.25" customHeight="1" thickTop="1" x14ac:dyDescent="0.2">
      <c r="A5" s="196"/>
      <c r="B5" s="217" t="s">
        <v>309</v>
      </c>
      <c r="C5" s="79"/>
      <c r="D5" s="79"/>
      <c r="E5" s="79"/>
      <c r="F5" s="79"/>
      <c r="G5" s="79"/>
      <c r="H5" s="79"/>
      <c r="I5" s="79"/>
      <c r="J5" s="79"/>
      <c r="K5" s="79"/>
      <c r="L5" s="79"/>
      <c r="M5" s="79"/>
      <c r="N5" s="79"/>
      <c r="O5" s="79"/>
      <c r="P5" s="79"/>
      <c r="Q5" s="79"/>
      <c r="R5" s="79"/>
      <c r="S5" s="79"/>
      <c r="T5" s="79"/>
      <c r="U5" s="79"/>
      <c r="V5" s="79"/>
      <c r="W5" s="79"/>
      <c r="X5" s="79"/>
      <c r="Y5" s="79"/>
      <c r="Z5" s="79"/>
    </row>
    <row r="6" spans="1:26" s="80" customFormat="1" ht="16.5" thickBot="1" x14ac:dyDescent="0.3">
      <c r="A6" s="215"/>
      <c r="B6" s="222" t="s">
        <v>322</v>
      </c>
      <c r="C6" s="71" t="str">
        <f>IF(COUNTIF(E6:BA6,"YES")=0,"",COUNTIF(E6:BA6,"YES"))</f>
        <v/>
      </c>
      <c r="D6" s="71" t="str">
        <f>IF(COUNTIF(E6:BA6,"NO")=0,"",COUNTIF(E6:BA6,"NO"))</f>
        <v/>
      </c>
      <c r="E6" s="72"/>
      <c r="F6" s="72"/>
      <c r="G6" s="72"/>
      <c r="H6" s="72"/>
      <c r="I6" s="72"/>
      <c r="J6" s="72"/>
      <c r="K6" s="72"/>
      <c r="L6" s="72"/>
      <c r="M6" s="72"/>
      <c r="N6" s="72"/>
      <c r="O6" s="72"/>
      <c r="P6" s="72"/>
      <c r="Q6" s="72"/>
      <c r="R6" s="72"/>
      <c r="S6" s="72"/>
      <c r="T6" s="72"/>
      <c r="U6" s="72"/>
      <c r="V6" s="72"/>
      <c r="W6" s="72"/>
      <c r="X6" s="72"/>
      <c r="Y6" s="72"/>
      <c r="Z6" s="72"/>
    </row>
    <row r="7" spans="1:26" s="80" customFormat="1" ht="16.5" thickBot="1" x14ac:dyDescent="0.3">
      <c r="A7" s="216" t="s">
        <v>48</v>
      </c>
      <c r="B7" s="202" t="s">
        <v>303</v>
      </c>
      <c r="C7" s="71" t="str">
        <f>IF(COUNTIF(E7:BA7,"YES")=0,"",COUNTIF(E7:BA7,"YES"))</f>
        <v/>
      </c>
      <c r="D7" s="71" t="str">
        <f>IF(COUNTIF(E7:BA7,"NO")=0,"",COUNTIF(E7:BA7,"NO"))</f>
        <v/>
      </c>
      <c r="E7" s="72"/>
      <c r="F7" s="72"/>
      <c r="G7" s="72"/>
      <c r="H7" s="72"/>
      <c r="I7" s="72"/>
      <c r="J7" s="72"/>
      <c r="K7" s="72"/>
      <c r="L7" s="72"/>
      <c r="M7" s="72"/>
      <c r="N7" s="72"/>
      <c r="O7" s="72"/>
      <c r="P7" s="72"/>
      <c r="Q7" s="72"/>
      <c r="R7" s="72"/>
      <c r="S7" s="72"/>
      <c r="T7" s="72"/>
      <c r="U7" s="72"/>
      <c r="V7" s="72"/>
      <c r="W7" s="72"/>
      <c r="X7" s="72"/>
      <c r="Y7" s="72"/>
      <c r="Z7" s="72"/>
    </row>
    <row r="8" spans="1:26" ht="25.5" x14ac:dyDescent="0.25">
      <c r="A8" s="197">
        <v>1</v>
      </c>
      <c r="B8" s="293" t="s">
        <v>494</v>
      </c>
      <c r="C8" s="44" t="str">
        <f>IF(COUNTIF(E8:BA8,"YES")=0,"",COUNTIF(E8:BA8,"YES"))</f>
        <v/>
      </c>
      <c r="D8" s="44" t="str">
        <f>IF(COUNTIF(E8:BA8,"NO")=0,"",COUNTIF(E8:BA8,"NO"))</f>
        <v/>
      </c>
      <c r="E8" s="41"/>
      <c r="F8" s="41"/>
      <c r="G8" s="41"/>
      <c r="H8" s="41"/>
      <c r="I8" s="41"/>
      <c r="J8" s="41"/>
      <c r="K8" s="41"/>
      <c r="L8" s="41"/>
      <c r="M8" s="41"/>
      <c r="N8" s="41"/>
      <c r="O8" s="41"/>
      <c r="P8" s="41"/>
      <c r="Q8" s="41"/>
      <c r="R8" s="41"/>
      <c r="S8" s="41"/>
      <c r="T8" s="41"/>
      <c r="U8" s="41"/>
      <c r="V8" s="41"/>
      <c r="W8" s="41"/>
      <c r="X8" s="41"/>
      <c r="Y8" s="41"/>
      <c r="Z8" s="41"/>
    </row>
    <row r="9" spans="1:26" ht="51.75" x14ac:dyDescent="0.25">
      <c r="A9" s="198">
        <v>2</v>
      </c>
      <c r="B9" s="291" t="s">
        <v>532</v>
      </c>
      <c r="C9" s="44" t="str">
        <f t="shared" ref="C9:C16" si="0">IF(COUNTIF(E9:BA9,"YES")=0,"",COUNTIF(E9:BA9,"YES"))</f>
        <v/>
      </c>
      <c r="D9" s="44" t="str">
        <f t="shared" ref="D9:D16" si="1">IF(COUNTIF(E9:BA9,"NO")=0,"",COUNTIF(E9:BA9,"NO"))</f>
        <v/>
      </c>
      <c r="E9" s="41"/>
      <c r="F9" s="41"/>
      <c r="G9" s="41"/>
      <c r="H9" s="41"/>
      <c r="I9" s="41"/>
      <c r="J9" s="41"/>
      <c r="K9" s="41"/>
      <c r="L9" s="41"/>
      <c r="M9" s="41"/>
      <c r="N9" s="41"/>
      <c r="O9" s="41"/>
      <c r="P9" s="41"/>
      <c r="Q9" s="41"/>
      <c r="R9" s="41"/>
      <c r="S9" s="41"/>
      <c r="T9" s="41"/>
      <c r="U9" s="41"/>
      <c r="V9" s="41"/>
      <c r="W9" s="41"/>
      <c r="X9" s="41"/>
      <c r="Y9" s="41"/>
      <c r="Z9" s="41"/>
    </row>
    <row r="10" spans="1:26" ht="38.25" x14ac:dyDescent="0.25">
      <c r="A10" s="198">
        <v>3</v>
      </c>
      <c r="B10" s="279" t="s">
        <v>533</v>
      </c>
      <c r="C10" s="44" t="str">
        <f t="shared" si="0"/>
        <v/>
      </c>
      <c r="D10" s="44" t="str">
        <f t="shared" si="1"/>
        <v/>
      </c>
      <c r="E10" s="41"/>
      <c r="F10" s="41"/>
      <c r="G10" s="41"/>
      <c r="H10" s="41"/>
      <c r="I10" s="41"/>
      <c r="J10" s="41"/>
      <c r="K10" s="41"/>
      <c r="L10" s="41"/>
      <c r="M10" s="41"/>
      <c r="N10" s="41"/>
      <c r="O10" s="41"/>
      <c r="P10" s="41"/>
      <c r="Q10" s="41"/>
      <c r="R10" s="41"/>
      <c r="S10" s="41"/>
      <c r="T10" s="41"/>
      <c r="U10" s="41"/>
      <c r="V10" s="41"/>
      <c r="W10" s="41"/>
      <c r="X10" s="41"/>
      <c r="Y10" s="41"/>
      <c r="Z10" s="41"/>
    </row>
    <row r="11" spans="1:26" ht="38.25" x14ac:dyDescent="0.25">
      <c r="A11" s="198">
        <v>4</v>
      </c>
      <c r="B11" s="279" t="s">
        <v>534</v>
      </c>
      <c r="C11" s="44" t="str">
        <f t="shared" si="0"/>
        <v/>
      </c>
      <c r="D11" s="44" t="str">
        <f t="shared" si="1"/>
        <v/>
      </c>
      <c r="E11" s="41"/>
      <c r="F11" s="41"/>
      <c r="G11" s="41"/>
      <c r="H11" s="41"/>
      <c r="I11" s="41"/>
      <c r="J11" s="41"/>
      <c r="K11" s="41"/>
      <c r="L11" s="41"/>
      <c r="M11" s="41"/>
      <c r="N11" s="41"/>
      <c r="O11" s="41"/>
      <c r="P11" s="41"/>
      <c r="Q11" s="41"/>
      <c r="R11" s="41"/>
      <c r="S11" s="41"/>
      <c r="T11" s="41"/>
      <c r="U11" s="41"/>
      <c r="V11" s="41"/>
      <c r="W11" s="41"/>
      <c r="X11" s="41"/>
      <c r="Y11" s="41"/>
      <c r="Z11" s="41"/>
    </row>
    <row r="12" spans="1:26" ht="38.25" x14ac:dyDescent="0.25">
      <c r="A12" s="198">
        <v>5</v>
      </c>
      <c r="B12" s="279" t="s">
        <v>535</v>
      </c>
      <c r="C12" s="44" t="str">
        <f t="shared" si="0"/>
        <v/>
      </c>
      <c r="D12" s="44" t="str">
        <f t="shared" si="1"/>
        <v/>
      </c>
      <c r="E12" s="41"/>
      <c r="F12" s="41"/>
      <c r="G12" s="41"/>
      <c r="H12" s="41"/>
      <c r="I12" s="41"/>
      <c r="J12" s="41"/>
      <c r="K12" s="41"/>
      <c r="L12" s="41"/>
      <c r="M12" s="41"/>
      <c r="N12" s="41"/>
      <c r="O12" s="41"/>
      <c r="P12" s="41"/>
      <c r="Q12" s="41"/>
      <c r="R12" s="41"/>
      <c r="S12" s="41"/>
      <c r="T12" s="41"/>
      <c r="U12" s="41"/>
      <c r="V12" s="41"/>
      <c r="W12" s="41"/>
      <c r="X12" s="41"/>
      <c r="Y12" s="41"/>
      <c r="Z12" s="41"/>
    </row>
    <row r="13" spans="1:26" ht="39" x14ac:dyDescent="0.25">
      <c r="A13" s="199">
        <v>6</v>
      </c>
      <c r="B13" s="292" t="s">
        <v>536</v>
      </c>
      <c r="C13" s="44"/>
      <c r="D13" s="44"/>
      <c r="E13" s="41"/>
      <c r="F13" s="41"/>
      <c r="G13" s="41"/>
      <c r="H13" s="41"/>
      <c r="I13" s="41"/>
      <c r="J13" s="41"/>
      <c r="K13" s="41"/>
      <c r="L13" s="41"/>
      <c r="M13" s="41"/>
      <c r="N13" s="41"/>
      <c r="O13" s="41"/>
      <c r="P13" s="41"/>
      <c r="Q13" s="41"/>
      <c r="R13" s="41"/>
      <c r="S13" s="41"/>
      <c r="T13" s="41"/>
      <c r="U13" s="41"/>
      <c r="V13" s="41"/>
      <c r="W13" s="41"/>
      <c r="X13" s="41"/>
      <c r="Y13" s="41"/>
      <c r="Z13" s="41"/>
    </row>
    <row r="14" spans="1:26" ht="16.5" thickBot="1" x14ac:dyDescent="0.3">
      <c r="A14" s="240" t="s">
        <v>384</v>
      </c>
      <c r="B14" s="292" t="s">
        <v>383</v>
      </c>
      <c r="C14" s="44" t="str">
        <f t="shared" si="0"/>
        <v/>
      </c>
      <c r="D14" s="44" t="str">
        <f t="shared" si="1"/>
        <v/>
      </c>
      <c r="E14" s="41"/>
      <c r="F14" s="41"/>
      <c r="G14" s="41"/>
      <c r="H14" s="41"/>
      <c r="I14" s="41"/>
      <c r="J14" s="41"/>
      <c r="K14" s="41"/>
      <c r="L14" s="41"/>
      <c r="M14" s="41"/>
      <c r="N14" s="41"/>
      <c r="O14" s="41"/>
      <c r="P14" s="41"/>
      <c r="Q14" s="41"/>
      <c r="R14" s="41"/>
      <c r="S14" s="41"/>
      <c r="T14" s="41"/>
      <c r="U14" s="41"/>
      <c r="V14" s="41"/>
      <c r="W14" s="41"/>
      <c r="X14" s="41"/>
      <c r="Y14" s="41"/>
      <c r="Z14" s="41"/>
    </row>
    <row r="15" spans="1:26" s="80" customFormat="1" ht="16.5" thickBot="1" x14ac:dyDescent="0.3">
      <c r="A15" s="203"/>
      <c r="B15" s="204" t="s">
        <v>297</v>
      </c>
      <c r="C15" s="71" t="str">
        <f t="shared" si="0"/>
        <v/>
      </c>
      <c r="D15" s="71" t="str">
        <f t="shared" si="1"/>
        <v/>
      </c>
      <c r="E15" s="72"/>
      <c r="F15" s="72"/>
      <c r="G15" s="72"/>
      <c r="H15" s="72"/>
      <c r="I15" s="72"/>
      <c r="J15" s="72"/>
      <c r="K15" s="72"/>
      <c r="L15" s="72"/>
      <c r="M15" s="72"/>
      <c r="N15" s="72"/>
      <c r="O15" s="72"/>
      <c r="P15" s="72"/>
      <c r="Q15" s="72"/>
      <c r="R15" s="72"/>
      <c r="S15" s="72"/>
      <c r="T15" s="72"/>
      <c r="U15" s="72"/>
      <c r="V15" s="72"/>
      <c r="W15" s="72"/>
      <c r="X15" s="72"/>
      <c r="Y15" s="72"/>
      <c r="Z15" s="72"/>
    </row>
    <row r="16" spans="1:26" ht="15.75" x14ac:dyDescent="0.25">
      <c r="A16" s="200">
        <v>7</v>
      </c>
      <c r="B16" s="294" t="s">
        <v>381</v>
      </c>
      <c r="C16" s="44" t="str">
        <f t="shared" si="0"/>
        <v/>
      </c>
      <c r="D16" s="44" t="str">
        <f t="shared" si="1"/>
        <v/>
      </c>
      <c r="E16" s="41"/>
      <c r="F16" s="41"/>
      <c r="G16" s="41"/>
      <c r="H16" s="41"/>
      <c r="I16" s="41"/>
      <c r="J16" s="41"/>
      <c r="K16" s="41"/>
      <c r="L16" s="41"/>
      <c r="M16" s="41"/>
      <c r="N16" s="41"/>
      <c r="O16" s="41"/>
      <c r="P16" s="41"/>
      <c r="Q16" s="41"/>
      <c r="R16" s="41"/>
      <c r="S16" s="41"/>
      <c r="T16" s="41"/>
      <c r="U16" s="41"/>
      <c r="V16" s="41"/>
      <c r="W16" s="41"/>
      <c r="X16" s="41"/>
      <c r="Y16" s="41"/>
      <c r="Z16" s="41"/>
    </row>
    <row r="17" spans="1:26" ht="15.75" x14ac:dyDescent="0.25">
      <c r="A17" s="198">
        <v>8</v>
      </c>
      <c r="B17" s="295" t="s">
        <v>310</v>
      </c>
      <c r="C17" s="44" t="str">
        <f t="shared" ref="C17:C32" si="2">IF(COUNTIF(E17:BA17,"YES")=0,"",COUNTIF(E17:BA17,"YES"))</f>
        <v/>
      </c>
      <c r="D17" s="44" t="str">
        <f t="shared" ref="D17:D32" si="3">IF(COUNTIF(E17:BA17,"NO")=0,"",COUNTIF(E17:BA17,"NO"))</f>
        <v/>
      </c>
      <c r="E17" s="41"/>
      <c r="F17" s="41"/>
      <c r="G17" s="41"/>
      <c r="H17" s="41"/>
      <c r="I17" s="41"/>
      <c r="J17" s="41"/>
      <c r="K17" s="41"/>
      <c r="L17" s="41"/>
      <c r="M17" s="41"/>
      <c r="N17" s="41"/>
      <c r="O17" s="41"/>
      <c r="P17" s="41"/>
      <c r="Q17" s="41"/>
      <c r="R17" s="41"/>
      <c r="S17" s="41"/>
      <c r="T17" s="41"/>
      <c r="U17" s="41"/>
      <c r="V17" s="41"/>
      <c r="W17" s="41"/>
      <c r="X17" s="41"/>
      <c r="Y17" s="41"/>
      <c r="Z17" s="41"/>
    </row>
    <row r="18" spans="1:26" ht="39" x14ac:dyDescent="0.25">
      <c r="A18" s="198">
        <v>9</v>
      </c>
      <c r="B18" s="296" t="s">
        <v>537</v>
      </c>
      <c r="C18" s="44" t="str">
        <f t="shared" si="2"/>
        <v/>
      </c>
      <c r="D18" s="44" t="str">
        <f t="shared" si="3"/>
        <v/>
      </c>
      <c r="E18" s="41"/>
      <c r="F18" s="41"/>
      <c r="G18" s="41"/>
      <c r="H18" s="41"/>
      <c r="I18" s="41"/>
      <c r="J18" s="41"/>
      <c r="K18" s="41"/>
      <c r="L18" s="41"/>
      <c r="M18" s="41"/>
      <c r="N18" s="41"/>
      <c r="O18" s="41"/>
      <c r="P18" s="41"/>
      <c r="Q18" s="41"/>
      <c r="R18" s="41"/>
      <c r="S18" s="41"/>
      <c r="T18" s="41"/>
      <c r="U18" s="41"/>
      <c r="V18" s="41"/>
      <c r="W18" s="41"/>
      <c r="X18" s="41"/>
      <c r="Y18" s="41"/>
      <c r="Z18" s="41"/>
    </row>
    <row r="19" spans="1:26" ht="26.25" x14ac:dyDescent="0.25">
      <c r="A19" s="198">
        <v>10</v>
      </c>
      <c r="B19" s="296" t="s">
        <v>538</v>
      </c>
      <c r="C19" s="44" t="str">
        <f t="shared" si="2"/>
        <v/>
      </c>
      <c r="D19" s="44" t="str">
        <f t="shared" si="3"/>
        <v/>
      </c>
      <c r="E19" s="41"/>
      <c r="F19" s="41"/>
      <c r="G19" s="41"/>
      <c r="H19" s="41"/>
      <c r="I19" s="41"/>
      <c r="J19" s="41"/>
      <c r="K19" s="41"/>
      <c r="L19" s="41"/>
      <c r="M19" s="41"/>
      <c r="N19" s="41"/>
      <c r="O19" s="41"/>
      <c r="P19" s="41"/>
      <c r="Q19" s="41"/>
      <c r="R19" s="41"/>
      <c r="S19" s="41"/>
      <c r="T19" s="41"/>
      <c r="U19" s="41"/>
      <c r="V19" s="41"/>
      <c r="W19" s="41"/>
      <c r="X19" s="41"/>
      <c r="Y19" s="41"/>
      <c r="Z19" s="41"/>
    </row>
    <row r="20" spans="1:26" ht="15.75" x14ac:dyDescent="0.25">
      <c r="A20" s="198">
        <v>11</v>
      </c>
      <c r="B20" s="295" t="s">
        <v>311</v>
      </c>
      <c r="C20" s="44" t="str">
        <f t="shared" si="2"/>
        <v/>
      </c>
      <c r="D20" s="44" t="str">
        <f t="shared" si="3"/>
        <v/>
      </c>
      <c r="E20" s="41"/>
      <c r="F20" s="41"/>
      <c r="G20" s="41"/>
      <c r="H20" s="41"/>
      <c r="I20" s="41"/>
      <c r="J20" s="41"/>
      <c r="K20" s="41"/>
      <c r="L20" s="41"/>
      <c r="M20" s="41"/>
      <c r="N20" s="41"/>
      <c r="O20" s="41"/>
      <c r="P20" s="41"/>
      <c r="Q20" s="41"/>
      <c r="R20" s="41"/>
      <c r="S20" s="41"/>
      <c r="T20" s="41"/>
      <c r="U20" s="41"/>
      <c r="V20" s="41"/>
      <c r="W20" s="41"/>
      <c r="X20" s="41"/>
      <c r="Y20" s="41"/>
      <c r="Z20" s="41"/>
    </row>
    <row r="21" spans="1:26" ht="15.75" x14ac:dyDescent="0.25">
      <c r="A21" s="198">
        <v>12</v>
      </c>
      <c r="B21" s="295" t="s">
        <v>312</v>
      </c>
      <c r="C21" s="44" t="str">
        <f t="shared" si="2"/>
        <v/>
      </c>
      <c r="D21" s="44" t="str">
        <f t="shared" si="3"/>
        <v/>
      </c>
      <c r="E21" s="41"/>
      <c r="F21" s="41"/>
      <c r="G21" s="41"/>
      <c r="H21" s="41"/>
      <c r="I21" s="41"/>
      <c r="J21" s="41"/>
      <c r="K21" s="41"/>
      <c r="L21" s="41"/>
      <c r="M21" s="41"/>
      <c r="N21" s="41"/>
      <c r="O21" s="41"/>
      <c r="P21" s="41"/>
      <c r="Q21" s="41"/>
      <c r="R21" s="41"/>
      <c r="S21" s="41"/>
      <c r="T21" s="41"/>
      <c r="U21" s="41"/>
      <c r="V21" s="41"/>
      <c r="W21" s="41"/>
      <c r="X21" s="41"/>
      <c r="Y21" s="41"/>
      <c r="Z21" s="41"/>
    </row>
    <row r="22" spans="1:26" ht="15.75" x14ac:dyDescent="0.25">
      <c r="A22" s="198">
        <v>13</v>
      </c>
      <c r="B22" s="296" t="s">
        <v>376</v>
      </c>
      <c r="C22" s="44" t="str">
        <f t="shared" si="2"/>
        <v/>
      </c>
      <c r="D22" s="44" t="str">
        <f t="shared" si="3"/>
        <v/>
      </c>
      <c r="E22" s="41"/>
      <c r="F22" s="41"/>
      <c r="G22" s="41"/>
      <c r="H22" s="41"/>
      <c r="I22" s="41"/>
      <c r="J22" s="41"/>
      <c r="K22" s="41"/>
      <c r="L22" s="41"/>
      <c r="M22" s="41"/>
      <c r="N22" s="41"/>
      <c r="O22" s="41"/>
      <c r="P22" s="41"/>
      <c r="Q22" s="41"/>
      <c r="R22" s="41"/>
      <c r="S22" s="41"/>
      <c r="T22" s="41"/>
      <c r="U22" s="41"/>
      <c r="V22" s="41"/>
      <c r="W22" s="41"/>
      <c r="X22" s="41"/>
      <c r="Y22" s="41"/>
      <c r="Z22" s="41"/>
    </row>
    <row r="23" spans="1:26" ht="15.75" x14ac:dyDescent="0.25">
      <c r="A23" s="198">
        <v>14</v>
      </c>
      <c r="B23" s="295" t="s">
        <v>313</v>
      </c>
      <c r="C23" s="44" t="str">
        <f t="shared" si="2"/>
        <v/>
      </c>
      <c r="D23" s="44" t="str">
        <f t="shared" si="3"/>
        <v/>
      </c>
      <c r="E23" s="41"/>
      <c r="F23" s="41"/>
      <c r="G23" s="41"/>
      <c r="H23" s="41"/>
      <c r="I23" s="41"/>
      <c r="J23" s="41"/>
      <c r="K23" s="41"/>
      <c r="L23" s="41"/>
      <c r="M23" s="41"/>
      <c r="N23" s="41"/>
      <c r="O23" s="41"/>
      <c r="P23" s="41"/>
      <c r="Q23" s="41"/>
      <c r="R23" s="41"/>
      <c r="S23" s="41"/>
      <c r="T23" s="41"/>
      <c r="U23" s="41"/>
      <c r="V23" s="41"/>
      <c r="W23" s="41"/>
      <c r="X23" s="41"/>
      <c r="Y23" s="41"/>
      <c r="Z23" s="41"/>
    </row>
    <row r="24" spans="1:26" ht="15.75" x14ac:dyDescent="0.25">
      <c r="A24" s="198">
        <v>15</v>
      </c>
      <c r="B24" s="295" t="s">
        <v>314</v>
      </c>
      <c r="C24" s="44" t="str">
        <f t="shared" si="2"/>
        <v/>
      </c>
      <c r="D24" s="44" t="str">
        <f t="shared" si="3"/>
        <v/>
      </c>
      <c r="E24" s="41"/>
      <c r="F24" s="41"/>
      <c r="G24" s="41"/>
      <c r="H24" s="41"/>
      <c r="I24" s="41"/>
      <c r="J24" s="41"/>
      <c r="K24" s="41"/>
      <c r="L24" s="41"/>
      <c r="M24" s="41"/>
      <c r="N24" s="41"/>
      <c r="O24" s="41"/>
      <c r="P24" s="41"/>
      <c r="Q24" s="41"/>
      <c r="R24" s="41"/>
      <c r="S24" s="41"/>
      <c r="T24" s="41"/>
      <c r="U24" s="41"/>
      <c r="V24" s="41"/>
      <c r="W24" s="41"/>
      <c r="X24" s="41"/>
      <c r="Y24" s="41"/>
      <c r="Z24" s="41"/>
    </row>
    <row r="25" spans="1:26" ht="15.75" x14ac:dyDescent="0.25">
      <c r="A25" s="198">
        <v>16</v>
      </c>
      <c r="B25" s="296" t="s">
        <v>315</v>
      </c>
      <c r="C25" s="44" t="str">
        <f t="shared" si="2"/>
        <v/>
      </c>
      <c r="D25" s="44" t="str">
        <f t="shared" si="3"/>
        <v/>
      </c>
      <c r="E25" s="41"/>
      <c r="F25" s="41"/>
      <c r="G25" s="41"/>
      <c r="H25" s="41"/>
      <c r="I25" s="41"/>
      <c r="J25" s="41"/>
      <c r="K25" s="41"/>
      <c r="L25" s="41"/>
      <c r="M25" s="41"/>
      <c r="N25" s="41"/>
      <c r="O25" s="41"/>
      <c r="P25" s="41"/>
      <c r="Q25" s="41"/>
      <c r="R25" s="41"/>
      <c r="S25" s="41"/>
      <c r="T25" s="41"/>
      <c r="U25" s="41"/>
      <c r="V25" s="41"/>
      <c r="W25" s="41"/>
      <c r="X25" s="41"/>
      <c r="Y25" s="41"/>
      <c r="Z25" s="41"/>
    </row>
    <row r="26" spans="1:26" ht="15.75" x14ac:dyDescent="0.25">
      <c r="A26" s="198">
        <v>17</v>
      </c>
      <c r="B26" s="296" t="s">
        <v>316</v>
      </c>
      <c r="C26" s="44" t="str">
        <f t="shared" si="2"/>
        <v/>
      </c>
      <c r="D26" s="44" t="str">
        <f t="shared" si="3"/>
        <v/>
      </c>
      <c r="E26" s="41"/>
      <c r="F26" s="41"/>
      <c r="G26" s="41"/>
      <c r="H26" s="41"/>
      <c r="I26" s="41"/>
      <c r="J26" s="41"/>
      <c r="K26" s="41"/>
      <c r="L26" s="41"/>
      <c r="M26" s="41"/>
      <c r="N26" s="41"/>
      <c r="O26" s="41"/>
      <c r="P26" s="41"/>
      <c r="Q26" s="41"/>
      <c r="R26" s="41"/>
      <c r="S26" s="41"/>
      <c r="T26" s="41"/>
      <c r="U26" s="41"/>
      <c r="V26" s="41"/>
      <c r="W26" s="41"/>
      <c r="X26" s="41"/>
      <c r="Y26" s="41"/>
      <c r="Z26" s="41"/>
    </row>
    <row r="27" spans="1:26" ht="15.75" x14ac:dyDescent="0.25">
      <c r="A27" s="198">
        <v>18</v>
      </c>
      <c r="B27" s="297" t="s">
        <v>317</v>
      </c>
      <c r="C27" s="44" t="str">
        <f t="shared" si="2"/>
        <v/>
      </c>
      <c r="D27" s="44" t="str">
        <f t="shared" si="3"/>
        <v/>
      </c>
      <c r="E27" s="41"/>
      <c r="F27" s="41"/>
      <c r="G27" s="41"/>
      <c r="H27" s="41"/>
      <c r="I27" s="41"/>
      <c r="J27" s="41"/>
      <c r="K27" s="41"/>
      <c r="L27" s="41"/>
      <c r="M27" s="41"/>
      <c r="N27" s="41"/>
      <c r="O27" s="41"/>
      <c r="P27" s="41"/>
      <c r="Q27" s="41"/>
      <c r="R27" s="41"/>
      <c r="S27" s="41"/>
      <c r="T27" s="41"/>
      <c r="U27" s="41"/>
      <c r="V27" s="41"/>
      <c r="W27" s="41"/>
      <c r="X27" s="41"/>
      <c r="Y27" s="41"/>
      <c r="Z27" s="41"/>
    </row>
    <row r="28" spans="1:26" ht="15.75" x14ac:dyDescent="0.25">
      <c r="A28" s="198">
        <v>19</v>
      </c>
      <c r="B28" s="295" t="s">
        <v>318</v>
      </c>
      <c r="C28" s="44" t="str">
        <f t="shared" si="2"/>
        <v/>
      </c>
      <c r="D28" s="44" t="str">
        <f t="shared" si="3"/>
        <v/>
      </c>
      <c r="E28" s="41"/>
      <c r="F28" s="41"/>
      <c r="G28" s="41"/>
      <c r="H28" s="41"/>
      <c r="I28" s="41"/>
      <c r="J28" s="41"/>
      <c r="K28" s="41"/>
      <c r="L28" s="41"/>
      <c r="M28" s="41"/>
      <c r="N28" s="41"/>
      <c r="O28" s="41"/>
      <c r="P28" s="41"/>
      <c r="Q28" s="41"/>
      <c r="R28" s="41"/>
      <c r="S28" s="41"/>
      <c r="T28" s="41"/>
      <c r="U28" s="41"/>
      <c r="V28" s="41"/>
      <c r="W28" s="41"/>
      <c r="X28" s="41"/>
      <c r="Y28" s="41"/>
      <c r="Z28" s="41"/>
    </row>
    <row r="29" spans="1:26" ht="15.75" x14ac:dyDescent="0.25">
      <c r="A29" s="198">
        <v>20</v>
      </c>
      <c r="B29" s="298" t="s">
        <v>319</v>
      </c>
      <c r="C29" s="44" t="str">
        <f t="shared" si="2"/>
        <v/>
      </c>
      <c r="D29" s="44" t="str">
        <f t="shared" si="3"/>
        <v/>
      </c>
      <c r="E29" s="41"/>
      <c r="F29" s="41"/>
      <c r="G29" s="41"/>
      <c r="H29" s="41"/>
      <c r="I29" s="41"/>
      <c r="J29" s="41"/>
      <c r="K29" s="41"/>
      <c r="L29" s="41"/>
      <c r="M29" s="41"/>
      <c r="N29" s="41"/>
      <c r="O29" s="41"/>
      <c r="P29" s="41"/>
      <c r="Q29" s="41"/>
      <c r="R29" s="41"/>
      <c r="S29" s="41"/>
      <c r="T29" s="41"/>
      <c r="U29" s="41"/>
      <c r="V29" s="41"/>
      <c r="W29" s="41"/>
      <c r="X29" s="41"/>
      <c r="Y29" s="41"/>
      <c r="Z29" s="41"/>
    </row>
    <row r="30" spans="1:26" ht="15.75" x14ac:dyDescent="0.25">
      <c r="A30" s="198">
        <v>21</v>
      </c>
      <c r="B30" s="296" t="s">
        <v>320</v>
      </c>
      <c r="C30" s="44" t="str">
        <f t="shared" si="2"/>
        <v/>
      </c>
      <c r="D30" s="44" t="str">
        <f t="shared" si="3"/>
        <v/>
      </c>
      <c r="E30" s="41"/>
      <c r="F30" s="41"/>
      <c r="G30" s="41"/>
      <c r="H30" s="41"/>
      <c r="I30" s="41"/>
      <c r="J30" s="41"/>
      <c r="K30" s="41"/>
      <c r="L30" s="41"/>
      <c r="M30" s="41"/>
      <c r="N30" s="41"/>
      <c r="O30" s="41"/>
      <c r="P30" s="41"/>
      <c r="Q30" s="41"/>
      <c r="R30" s="41"/>
      <c r="S30" s="41"/>
      <c r="T30" s="41"/>
      <c r="U30" s="41"/>
      <c r="V30" s="41"/>
      <c r="W30" s="41"/>
      <c r="X30" s="41"/>
      <c r="Y30" s="41"/>
      <c r="Z30" s="41"/>
    </row>
    <row r="31" spans="1:26" ht="26.25" x14ac:dyDescent="0.25">
      <c r="A31" s="198">
        <v>22</v>
      </c>
      <c r="B31" s="296" t="s">
        <v>321</v>
      </c>
      <c r="C31" s="44" t="str">
        <f t="shared" si="2"/>
        <v/>
      </c>
      <c r="D31" s="44" t="str">
        <f t="shared" si="3"/>
        <v/>
      </c>
      <c r="E31" s="41"/>
      <c r="F31" s="41"/>
      <c r="G31" s="41"/>
      <c r="H31" s="41"/>
      <c r="I31" s="41"/>
      <c r="J31" s="41"/>
      <c r="K31" s="41"/>
      <c r="L31" s="41"/>
      <c r="M31" s="41"/>
      <c r="N31" s="41"/>
      <c r="O31" s="41"/>
      <c r="P31" s="41"/>
      <c r="Q31" s="41"/>
      <c r="R31" s="41"/>
      <c r="S31" s="41"/>
      <c r="T31" s="41"/>
      <c r="U31" s="41"/>
      <c r="V31" s="41"/>
      <c r="W31" s="41"/>
      <c r="X31" s="41"/>
      <c r="Y31" s="41"/>
      <c r="Z31" s="41"/>
    </row>
    <row r="32" spans="1:26" ht="39.75" thickBot="1" x14ac:dyDescent="0.3">
      <c r="A32" s="201">
        <v>23</v>
      </c>
      <c r="B32" s="299" t="s">
        <v>539</v>
      </c>
      <c r="C32" s="44" t="str">
        <f t="shared" si="2"/>
        <v/>
      </c>
      <c r="D32" s="44" t="str">
        <f t="shared" si="3"/>
        <v/>
      </c>
      <c r="E32" s="41"/>
      <c r="F32" s="41"/>
      <c r="G32" s="41"/>
      <c r="H32" s="41"/>
      <c r="I32" s="41"/>
      <c r="J32" s="41"/>
      <c r="K32" s="41"/>
      <c r="L32" s="41"/>
      <c r="M32" s="41"/>
      <c r="N32" s="41"/>
      <c r="O32" s="41"/>
      <c r="P32" s="41"/>
      <c r="Q32" s="41"/>
      <c r="R32" s="41"/>
      <c r="S32" s="41"/>
      <c r="T32" s="41"/>
      <c r="U32" s="41"/>
      <c r="V32" s="41"/>
      <c r="W32" s="41"/>
      <c r="X32" s="41"/>
      <c r="Y32" s="41"/>
      <c r="Z32" s="41"/>
    </row>
    <row r="33" spans="3:4" ht="15.75" x14ac:dyDescent="0.25">
      <c r="C33" s="46" t="str">
        <f t="shared" ref="C33:C47" si="4">IF(COUNTIF(E33:BA33,"YES")=0,"",COUNTIF(E33:BA33,"YES"))</f>
        <v/>
      </c>
      <c r="D33" s="46" t="str">
        <f t="shared" ref="D33:D50" si="5">IF(COUNTIF(E33:BA33,"NO")=0,"",COUNTIF(E33:BA33,"NO"))</f>
        <v/>
      </c>
    </row>
    <row r="34" spans="3:4" ht="15.75" x14ac:dyDescent="0.25">
      <c r="C34" s="46" t="str">
        <f t="shared" si="4"/>
        <v/>
      </c>
      <c r="D34" s="46" t="str">
        <f t="shared" si="5"/>
        <v/>
      </c>
    </row>
    <row r="35" spans="3:4" ht="15.75" x14ac:dyDescent="0.25">
      <c r="C35" s="46" t="str">
        <f t="shared" si="4"/>
        <v/>
      </c>
      <c r="D35" s="46" t="str">
        <f t="shared" si="5"/>
        <v/>
      </c>
    </row>
    <row r="36" spans="3:4" ht="15.75" x14ac:dyDescent="0.25">
      <c r="C36" s="46" t="str">
        <f t="shared" si="4"/>
        <v/>
      </c>
      <c r="D36" s="46" t="str">
        <f t="shared" si="5"/>
        <v/>
      </c>
    </row>
    <row r="37" spans="3:4" ht="15.75" x14ac:dyDescent="0.25">
      <c r="C37" s="46" t="str">
        <f t="shared" si="4"/>
        <v/>
      </c>
      <c r="D37" s="46" t="str">
        <f t="shared" si="5"/>
        <v/>
      </c>
    </row>
    <row r="38" spans="3:4" ht="15.75" x14ac:dyDescent="0.25">
      <c r="C38" s="46" t="str">
        <f t="shared" si="4"/>
        <v/>
      </c>
      <c r="D38" s="46" t="str">
        <f t="shared" si="5"/>
        <v/>
      </c>
    </row>
    <row r="39" spans="3:4" ht="15.75" x14ac:dyDescent="0.25">
      <c r="C39" s="46" t="str">
        <f t="shared" si="4"/>
        <v/>
      </c>
      <c r="D39" s="46" t="str">
        <f t="shared" si="5"/>
        <v/>
      </c>
    </row>
    <row r="40" spans="3:4" ht="15.75" x14ac:dyDescent="0.25">
      <c r="C40" s="46" t="str">
        <f t="shared" si="4"/>
        <v/>
      </c>
      <c r="D40" s="46" t="str">
        <f t="shared" si="5"/>
        <v/>
      </c>
    </row>
    <row r="41" spans="3:4" ht="15.75" x14ac:dyDescent="0.25">
      <c r="C41" s="46" t="str">
        <f t="shared" si="4"/>
        <v/>
      </c>
      <c r="D41" s="46" t="str">
        <f t="shared" si="5"/>
        <v/>
      </c>
    </row>
    <row r="42" spans="3:4" ht="15.75" x14ac:dyDescent="0.25">
      <c r="C42" s="46" t="str">
        <f t="shared" si="4"/>
        <v/>
      </c>
      <c r="D42" s="46" t="str">
        <f t="shared" si="5"/>
        <v/>
      </c>
    </row>
    <row r="43" spans="3:4" ht="15.75" x14ac:dyDescent="0.25">
      <c r="C43" s="46" t="str">
        <f t="shared" si="4"/>
        <v/>
      </c>
      <c r="D43" s="46" t="str">
        <f t="shared" si="5"/>
        <v/>
      </c>
    </row>
    <row r="44" spans="3:4" ht="15.75" x14ac:dyDescent="0.25">
      <c r="C44" s="46" t="str">
        <f t="shared" si="4"/>
        <v/>
      </c>
      <c r="D44" s="46" t="str">
        <f t="shared" si="5"/>
        <v/>
      </c>
    </row>
    <row r="45" spans="3:4" ht="15.75" x14ac:dyDescent="0.25">
      <c r="C45" s="46" t="str">
        <f t="shared" si="4"/>
        <v/>
      </c>
      <c r="D45" s="46" t="str">
        <f t="shared" si="5"/>
        <v/>
      </c>
    </row>
    <row r="46" spans="3:4" ht="15.75" x14ac:dyDescent="0.25">
      <c r="C46" s="46" t="str">
        <f t="shared" si="4"/>
        <v/>
      </c>
      <c r="D46" s="46" t="str">
        <f t="shared" si="5"/>
        <v/>
      </c>
    </row>
    <row r="47" spans="3:4" ht="15.75" x14ac:dyDescent="0.25">
      <c r="C47" s="46" t="str">
        <f t="shared" si="4"/>
        <v/>
      </c>
      <c r="D47" s="46" t="str">
        <f t="shared" si="5"/>
        <v/>
      </c>
    </row>
    <row r="48" spans="3:4" ht="15.75" x14ac:dyDescent="0.25">
      <c r="C48" s="46" t="str">
        <f t="shared" ref="C48:C111" si="6">IF(COUNTIF(E48:BA48,"YES")=0,"",COUNTIF(E48:BA48,"YES"))</f>
        <v/>
      </c>
      <c r="D48" s="46" t="str">
        <f t="shared" si="5"/>
        <v/>
      </c>
    </row>
    <row r="49" spans="3:4" ht="15.75" x14ac:dyDescent="0.25">
      <c r="C49" s="46" t="str">
        <f t="shared" si="6"/>
        <v/>
      </c>
      <c r="D49" s="46" t="str">
        <f t="shared" si="5"/>
        <v/>
      </c>
    </row>
    <row r="50" spans="3:4" ht="15.75" x14ac:dyDescent="0.25">
      <c r="C50" s="46" t="str">
        <f t="shared" si="6"/>
        <v/>
      </c>
      <c r="D50" s="46" t="str">
        <f t="shared" si="5"/>
        <v/>
      </c>
    </row>
    <row r="51" spans="3:4" ht="15.75" x14ac:dyDescent="0.25">
      <c r="C51" s="46" t="str">
        <f t="shared" si="6"/>
        <v/>
      </c>
      <c r="D51" s="46" t="str">
        <f t="shared" ref="D51:D114" si="7">IF(COUNTIF(E51:BA51,"NO")=0,"",COUNTIF(E51:BA51,"NO"))</f>
        <v/>
      </c>
    </row>
    <row r="52" spans="3:4" ht="15.75" x14ac:dyDescent="0.25">
      <c r="C52" s="46" t="str">
        <f t="shared" si="6"/>
        <v/>
      </c>
      <c r="D52" s="46" t="str">
        <f t="shared" si="7"/>
        <v/>
      </c>
    </row>
    <row r="53" spans="3:4" ht="15.75" x14ac:dyDescent="0.25">
      <c r="C53" s="46" t="str">
        <f t="shared" si="6"/>
        <v/>
      </c>
      <c r="D53" s="46" t="str">
        <f t="shared" si="7"/>
        <v/>
      </c>
    </row>
    <row r="54" spans="3:4" ht="15.75" x14ac:dyDescent="0.25">
      <c r="C54" s="46" t="str">
        <f t="shared" si="6"/>
        <v/>
      </c>
      <c r="D54" s="46" t="str">
        <f t="shared" si="7"/>
        <v/>
      </c>
    </row>
    <row r="55" spans="3:4" ht="15.75" x14ac:dyDescent="0.25">
      <c r="C55" s="46" t="str">
        <f t="shared" si="6"/>
        <v/>
      </c>
      <c r="D55" s="46" t="str">
        <f t="shared" si="7"/>
        <v/>
      </c>
    </row>
    <row r="56" spans="3:4" ht="15.75" x14ac:dyDescent="0.25">
      <c r="C56" s="46" t="str">
        <f t="shared" si="6"/>
        <v/>
      </c>
      <c r="D56" s="46" t="str">
        <f t="shared" si="7"/>
        <v/>
      </c>
    </row>
    <row r="57" spans="3:4" ht="15.75" x14ac:dyDescent="0.25">
      <c r="C57" s="46" t="str">
        <f t="shared" si="6"/>
        <v/>
      </c>
      <c r="D57" s="46" t="str">
        <f t="shared" si="7"/>
        <v/>
      </c>
    </row>
    <row r="58" spans="3:4" ht="15.75" x14ac:dyDescent="0.25">
      <c r="C58" s="46" t="str">
        <f t="shared" si="6"/>
        <v/>
      </c>
      <c r="D58" s="46" t="str">
        <f t="shared" si="7"/>
        <v/>
      </c>
    </row>
    <row r="59" spans="3:4" ht="15.75" x14ac:dyDescent="0.25">
      <c r="C59" s="46" t="str">
        <f t="shared" si="6"/>
        <v/>
      </c>
      <c r="D59" s="46" t="str">
        <f t="shared" si="7"/>
        <v/>
      </c>
    </row>
    <row r="60" spans="3:4" ht="15.75" x14ac:dyDescent="0.25">
      <c r="C60" s="46" t="str">
        <f t="shared" si="6"/>
        <v/>
      </c>
      <c r="D60" s="46" t="str">
        <f t="shared" si="7"/>
        <v/>
      </c>
    </row>
    <row r="61" spans="3:4" ht="15.75" x14ac:dyDescent="0.25">
      <c r="C61" s="46" t="str">
        <f t="shared" si="6"/>
        <v/>
      </c>
      <c r="D61" s="46" t="str">
        <f t="shared" si="7"/>
        <v/>
      </c>
    </row>
    <row r="62" spans="3:4" ht="15.75" x14ac:dyDescent="0.25">
      <c r="C62" s="46" t="str">
        <f t="shared" si="6"/>
        <v/>
      </c>
      <c r="D62" s="46" t="str">
        <f t="shared" si="7"/>
        <v/>
      </c>
    </row>
    <row r="63" spans="3:4" ht="15.75" x14ac:dyDescent="0.25">
      <c r="C63" s="46" t="str">
        <f t="shared" si="6"/>
        <v/>
      </c>
      <c r="D63" s="46" t="str">
        <f t="shared" si="7"/>
        <v/>
      </c>
    </row>
    <row r="64" spans="3:4" ht="15.75" x14ac:dyDescent="0.25">
      <c r="C64" s="46" t="str">
        <f t="shared" si="6"/>
        <v/>
      </c>
      <c r="D64" s="46" t="str">
        <f t="shared" si="7"/>
        <v/>
      </c>
    </row>
    <row r="65" spans="3:4" ht="15.75" x14ac:dyDescent="0.25">
      <c r="C65" s="46" t="str">
        <f t="shared" si="6"/>
        <v/>
      </c>
      <c r="D65" s="46" t="str">
        <f t="shared" si="7"/>
        <v/>
      </c>
    </row>
    <row r="66" spans="3:4" ht="15.75" x14ac:dyDescent="0.25">
      <c r="C66" s="46" t="str">
        <f t="shared" si="6"/>
        <v/>
      </c>
      <c r="D66" s="46" t="str">
        <f t="shared" si="7"/>
        <v/>
      </c>
    </row>
    <row r="67" spans="3:4" ht="15.75" x14ac:dyDescent="0.25">
      <c r="C67" s="46" t="str">
        <f t="shared" si="6"/>
        <v/>
      </c>
      <c r="D67" s="46" t="str">
        <f t="shared" si="7"/>
        <v/>
      </c>
    </row>
    <row r="68" spans="3:4" ht="15.75" x14ac:dyDescent="0.25">
      <c r="C68" s="46" t="str">
        <f t="shared" si="6"/>
        <v/>
      </c>
      <c r="D68" s="46" t="str">
        <f t="shared" si="7"/>
        <v/>
      </c>
    </row>
    <row r="69" spans="3:4" ht="15.75" x14ac:dyDescent="0.25">
      <c r="C69" s="46" t="str">
        <f t="shared" si="6"/>
        <v/>
      </c>
      <c r="D69" s="46" t="str">
        <f t="shared" si="7"/>
        <v/>
      </c>
    </row>
    <row r="70" spans="3:4" ht="15.75" x14ac:dyDescent="0.25">
      <c r="C70" s="46" t="str">
        <f t="shared" si="6"/>
        <v/>
      </c>
      <c r="D70" s="46" t="str">
        <f t="shared" si="7"/>
        <v/>
      </c>
    </row>
    <row r="71" spans="3:4" ht="15.75" x14ac:dyDescent="0.25">
      <c r="C71" s="46" t="str">
        <f t="shared" si="6"/>
        <v/>
      </c>
      <c r="D71" s="46" t="str">
        <f t="shared" si="7"/>
        <v/>
      </c>
    </row>
    <row r="72" spans="3:4" ht="15.75" x14ac:dyDescent="0.25">
      <c r="C72" s="46" t="str">
        <f t="shared" si="6"/>
        <v/>
      </c>
      <c r="D72" s="46" t="str">
        <f t="shared" si="7"/>
        <v/>
      </c>
    </row>
    <row r="73" spans="3:4" ht="15.75" x14ac:dyDescent="0.25">
      <c r="C73" s="46" t="str">
        <f t="shared" si="6"/>
        <v/>
      </c>
      <c r="D73" s="46" t="str">
        <f t="shared" si="7"/>
        <v/>
      </c>
    </row>
    <row r="74" spans="3:4" ht="15.75" x14ac:dyDescent="0.25">
      <c r="C74" s="46" t="str">
        <f t="shared" si="6"/>
        <v/>
      </c>
      <c r="D74" s="46" t="str">
        <f t="shared" si="7"/>
        <v/>
      </c>
    </row>
    <row r="75" spans="3:4" ht="15.75" x14ac:dyDescent="0.25">
      <c r="C75" s="46" t="str">
        <f t="shared" si="6"/>
        <v/>
      </c>
      <c r="D75" s="46" t="str">
        <f t="shared" si="7"/>
        <v/>
      </c>
    </row>
    <row r="76" spans="3:4" ht="15.75" x14ac:dyDescent="0.25">
      <c r="C76" s="46" t="str">
        <f t="shared" si="6"/>
        <v/>
      </c>
      <c r="D76" s="46" t="str">
        <f t="shared" si="7"/>
        <v/>
      </c>
    </row>
    <row r="77" spans="3:4" ht="15.75" x14ac:dyDescent="0.25">
      <c r="C77" s="46" t="str">
        <f t="shared" si="6"/>
        <v/>
      </c>
      <c r="D77" s="46" t="str">
        <f t="shared" si="7"/>
        <v/>
      </c>
    </row>
    <row r="78" spans="3:4" ht="15.75" x14ac:dyDescent="0.25">
      <c r="C78" s="46" t="str">
        <f t="shared" si="6"/>
        <v/>
      </c>
      <c r="D78" s="46" t="str">
        <f t="shared" si="7"/>
        <v/>
      </c>
    </row>
    <row r="79" spans="3:4" ht="15.75" x14ac:dyDescent="0.25">
      <c r="C79" s="46" t="str">
        <f t="shared" si="6"/>
        <v/>
      </c>
      <c r="D79" s="46" t="str">
        <f t="shared" si="7"/>
        <v/>
      </c>
    </row>
    <row r="80" spans="3:4" ht="15.75" x14ac:dyDescent="0.25">
      <c r="C80" s="46" t="str">
        <f t="shared" si="6"/>
        <v/>
      </c>
      <c r="D80" s="46" t="str">
        <f t="shared" si="7"/>
        <v/>
      </c>
    </row>
    <row r="81" spans="3:4" ht="15.75" x14ac:dyDescent="0.25">
      <c r="C81" s="46" t="str">
        <f t="shared" si="6"/>
        <v/>
      </c>
      <c r="D81" s="46" t="str">
        <f t="shared" si="7"/>
        <v/>
      </c>
    </row>
    <row r="82" spans="3:4" ht="15.75" x14ac:dyDescent="0.25">
      <c r="C82" s="46" t="str">
        <f t="shared" si="6"/>
        <v/>
      </c>
      <c r="D82" s="46" t="str">
        <f t="shared" si="7"/>
        <v/>
      </c>
    </row>
    <row r="83" spans="3:4" ht="15.75" x14ac:dyDescent="0.25">
      <c r="C83" s="46" t="str">
        <f t="shared" si="6"/>
        <v/>
      </c>
      <c r="D83" s="46" t="str">
        <f t="shared" si="7"/>
        <v/>
      </c>
    </row>
    <row r="84" spans="3:4" ht="15.75" x14ac:dyDescent="0.25">
      <c r="C84" s="46" t="str">
        <f t="shared" si="6"/>
        <v/>
      </c>
      <c r="D84" s="46" t="str">
        <f t="shared" si="7"/>
        <v/>
      </c>
    </row>
    <row r="85" spans="3:4" ht="15.75" x14ac:dyDescent="0.25">
      <c r="C85" s="46" t="str">
        <f t="shared" si="6"/>
        <v/>
      </c>
      <c r="D85" s="46" t="str">
        <f t="shared" si="7"/>
        <v/>
      </c>
    </row>
    <row r="86" spans="3:4" ht="15.75" x14ac:dyDescent="0.25">
      <c r="C86" s="46" t="str">
        <f t="shared" si="6"/>
        <v/>
      </c>
      <c r="D86" s="46" t="str">
        <f t="shared" si="7"/>
        <v/>
      </c>
    </row>
    <row r="87" spans="3:4" ht="15.75" x14ac:dyDescent="0.25">
      <c r="C87" s="46" t="str">
        <f t="shared" si="6"/>
        <v/>
      </c>
      <c r="D87" s="46" t="str">
        <f t="shared" si="7"/>
        <v/>
      </c>
    </row>
    <row r="88" spans="3:4" ht="15.75" x14ac:dyDescent="0.25">
      <c r="C88" s="46" t="str">
        <f t="shared" si="6"/>
        <v/>
      </c>
      <c r="D88" s="46" t="str">
        <f t="shared" si="7"/>
        <v/>
      </c>
    </row>
    <row r="89" spans="3:4" ht="15.75" x14ac:dyDescent="0.25">
      <c r="C89" s="46" t="str">
        <f t="shared" si="6"/>
        <v/>
      </c>
      <c r="D89" s="46" t="str">
        <f t="shared" si="7"/>
        <v/>
      </c>
    </row>
    <row r="90" spans="3:4" ht="15.75" x14ac:dyDescent="0.25">
      <c r="C90" s="46" t="str">
        <f t="shared" si="6"/>
        <v/>
      </c>
      <c r="D90" s="46" t="str">
        <f t="shared" si="7"/>
        <v/>
      </c>
    </row>
    <row r="91" spans="3:4" ht="15.75" x14ac:dyDescent="0.25">
      <c r="C91" s="46" t="str">
        <f t="shared" si="6"/>
        <v/>
      </c>
      <c r="D91" s="46" t="str">
        <f t="shared" si="7"/>
        <v/>
      </c>
    </row>
    <row r="92" spans="3:4" ht="15.75" x14ac:dyDescent="0.25">
      <c r="C92" s="46" t="str">
        <f t="shared" si="6"/>
        <v/>
      </c>
      <c r="D92" s="46" t="str">
        <f t="shared" si="7"/>
        <v/>
      </c>
    </row>
    <row r="93" spans="3:4" ht="15.75" x14ac:dyDescent="0.25">
      <c r="C93" s="46" t="str">
        <f t="shared" si="6"/>
        <v/>
      </c>
      <c r="D93" s="46" t="str">
        <f t="shared" si="7"/>
        <v/>
      </c>
    </row>
    <row r="94" spans="3:4" ht="15.75" x14ac:dyDescent="0.25">
      <c r="C94" s="46" t="str">
        <f t="shared" si="6"/>
        <v/>
      </c>
      <c r="D94" s="46" t="str">
        <f t="shared" si="7"/>
        <v/>
      </c>
    </row>
    <row r="95" spans="3:4" ht="15.75" x14ac:dyDescent="0.25">
      <c r="C95" s="46" t="str">
        <f t="shared" si="6"/>
        <v/>
      </c>
      <c r="D95" s="46" t="str">
        <f t="shared" si="7"/>
        <v/>
      </c>
    </row>
    <row r="96" spans="3:4" ht="15.75" x14ac:dyDescent="0.25">
      <c r="C96" s="46" t="str">
        <f t="shared" si="6"/>
        <v/>
      </c>
      <c r="D96" s="46" t="str">
        <f t="shared" si="7"/>
        <v/>
      </c>
    </row>
    <row r="97" spans="3:4" ht="15.75" x14ac:dyDescent="0.25">
      <c r="C97" s="46" t="str">
        <f t="shared" si="6"/>
        <v/>
      </c>
      <c r="D97" s="46" t="str">
        <f t="shared" si="7"/>
        <v/>
      </c>
    </row>
    <row r="98" spans="3:4" ht="15.75" x14ac:dyDescent="0.25">
      <c r="C98" s="46" t="str">
        <f t="shared" si="6"/>
        <v/>
      </c>
      <c r="D98" s="46" t="str">
        <f t="shared" si="7"/>
        <v/>
      </c>
    </row>
    <row r="99" spans="3:4" ht="15.75" x14ac:dyDescent="0.25">
      <c r="C99" s="46" t="str">
        <f t="shared" si="6"/>
        <v/>
      </c>
      <c r="D99" s="46" t="str">
        <f t="shared" si="7"/>
        <v/>
      </c>
    </row>
    <row r="100" spans="3:4" ht="15.75" x14ac:dyDescent="0.25">
      <c r="C100" s="46" t="str">
        <f t="shared" si="6"/>
        <v/>
      </c>
      <c r="D100" s="46" t="str">
        <f t="shared" si="7"/>
        <v/>
      </c>
    </row>
    <row r="101" spans="3:4" ht="15.75" x14ac:dyDescent="0.25">
      <c r="C101" s="46" t="str">
        <f t="shared" si="6"/>
        <v/>
      </c>
      <c r="D101" s="46" t="str">
        <f t="shared" si="7"/>
        <v/>
      </c>
    </row>
    <row r="102" spans="3:4" ht="15.75" x14ac:dyDescent="0.25">
      <c r="C102" s="46" t="str">
        <f t="shared" si="6"/>
        <v/>
      </c>
      <c r="D102" s="46" t="str">
        <f t="shared" si="7"/>
        <v/>
      </c>
    </row>
    <row r="103" spans="3:4" ht="15.75" x14ac:dyDescent="0.25">
      <c r="C103" s="46" t="str">
        <f t="shared" si="6"/>
        <v/>
      </c>
      <c r="D103" s="46" t="str">
        <f t="shared" si="7"/>
        <v/>
      </c>
    </row>
    <row r="104" spans="3:4" ht="15.75" x14ac:dyDescent="0.25">
      <c r="C104" s="46" t="str">
        <f t="shared" si="6"/>
        <v/>
      </c>
      <c r="D104" s="46" t="str">
        <f t="shared" si="7"/>
        <v/>
      </c>
    </row>
    <row r="105" spans="3:4" ht="15.75" x14ac:dyDescent="0.25">
      <c r="C105" s="46" t="str">
        <f t="shared" si="6"/>
        <v/>
      </c>
      <c r="D105" s="46" t="str">
        <f t="shared" si="7"/>
        <v/>
      </c>
    </row>
    <row r="106" spans="3:4" ht="15.75" x14ac:dyDescent="0.25">
      <c r="C106" s="46" t="str">
        <f t="shared" si="6"/>
        <v/>
      </c>
      <c r="D106" s="46" t="str">
        <f t="shared" si="7"/>
        <v/>
      </c>
    </row>
    <row r="107" spans="3:4" ht="15.75" x14ac:dyDescent="0.25">
      <c r="C107" s="46" t="str">
        <f t="shared" si="6"/>
        <v/>
      </c>
      <c r="D107" s="46" t="str">
        <f t="shared" si="7"/>
        <v/>
      </c>
    </row>
    <row r="108" spans="3:4" ht="15.75" x14ac:dyDescent="0.25">
      <c r="C108" s="46" t="str">
        <f t="shared" si="6"/>
        <v/>
      </c>
      <c r="D108" s="46" t="str">
        <f t="shared" si="7"/>
        <v/>
      </c>
    </row>
    <row r="109" spans="3:4" ht="15.75" x14ac:dyDescent="0.25">
      <c r="C109" s="46" t="str">
        <f t="shared" si="6"/>
        <v/>
      </c>
      <c r="D109" s="46" t="str">
        <f t="shared" si="7"/>
        <v/>
      </c>
    </row>
    <row r="110" spans="3:4" ht="15.75" x14ac:dyDescent="0.25">
      <c r="C110" s="46" t="str">
        <f t="shared" si="6"/>
        <v/>
      </c>
      <c r="D110" s="46" t="str">
        <f t="shared" si="7"/>
        <v/>
      </c>
    </row>
    <row r="111" spans="3:4" ht="15.75" x14ac:dyDescent="0.25">
      <c r="C111" s="46" t="str">
        <f t="shared" si="6"/>
        <v/>
      </c>
      <c r="D111" s="46" t="str">
        <f t="shared" si="7"/>
        <v/>
      </c>
    </row>
    <row r="112" spans="3:4" ht="15.75" x14ac:dyDescent="0.25">
      <c r="C112" s="46" t="str">
        <f t="shared" ref="C112:C175" si="8">IF(COUNTIF(E112:BA112,"YES")=0,"",COUNTIF(E112:BA112,"YES"))</f>
        <v/>
      </c>
      <c r="D112" s="46" t="str">
        <f t="shared" si="7"/>
        <v/>
      </c>
    </row>
    <row r="113" spans="3:4" ht="15.75" x14ac:dyDescent="0.25">
      <c r="C113" s="46" t="str">
        <f t="shared" si="8"/>
        <v/>
      </c>
      <c r="D113" s="46" t="str">
        <f t="shared" si="7"/>
        <v/>
      </c>
    </row>
    <row r="114" spans="3:4" ht="15.75" x14ac:dyDescent="0.25">
      <c r="C114" s="46" t="str">
        <f t="shared" si="8"/>
        <v/>
      </c>
      <c r="D114" s="46" t="str">
        <f t="shared" si="7"/>
        <v/>
      </c>
    </row>
    <row r="115" spans="3:4" ht="15.75" x14ac:dyDescent="0.25">
      <c r="C115" s="46" t="str">
        <f t="shared" si="8"/>
        <v/>
      </c>
      <c r="D115" s="46" t="str">
        <f t="shared" ref="D115:D178" si="9">IF(COUNTIF(E115:BA115,"NO")=0,"",COUNTIF(E115:BA115,"NO"))</f>
        <v/>
      </c>
    </row>
    <row r="116" spans="3:4" ht="15.75" x14ac:dyDescent="0.25">
      <c r="C116" s="46" t="str">
        <f t="shared" si="8"/>
        <v/>
      </c>
      <c r="D116" s="46" t="str">
        <f t="shared" si="9"/>
        <v/>
      </c>
    </row>
    <row r="117" spans="3:4" ht="15.75" x14ac:dyDescent="0.25">
      <c r="C117" s="46" t="str">
        <f t="shared" si="8"/>
        <v/>
      </c>
      <c r="D117" s="46" t="str">
        <f t="shared" si="9"/>
        <v/>
      </c>
    </row>
    <row r="118" spans="3:4" ht="15.75" x14ac:dyDescent="0.25">
      <c r="C118" s="46" t="str">
        <f t="shared" si="8"/>
        <v/>
      </c>
      <c r="D118" s="46" t="str">
        <f t="shared" si="9"/>
        <v/>
      </c>
    </row>
    <row r="119" spans="3:4" ht="15.75" x14ac:dyDescent="0.25">
      <c r="C119" s="46" t="str">
        <f t="shared" si="8"/>
        <v/>
      </c>
      <c r="D119" s="46" t="str">
        <f t="shared" si="9"/>
        <v/>
      </c>
    </row>
    <row r="120" spans="3:4" ht="15.75" x14ac:dyDescent="0.25">
      <c r="C120" s="46" t="str">
        <f t="shared" si="8"/>
        <v/>
      </c>
      <c r="D120" s="46" t="str">
        <f t="shared" si="9"/>
        <v/>
      </c>
    </row>
    <row r="121" spans="3:4" ht="15.75" x14ac:dyDescent="0.25">
      <c r="C121" s="46" t="str">
        <f t="shared" si="8"/>
        <v/>
      </c>
      <c r="D121" s="46" t="str">
        <f t="shared" si="9"/>
        <v/>
      </c>
    </row>
    <row r="122" spans="3:4" ht="15.75" x14ac:dyDescent="0.25">
      <c r="C122" s="46" t="str">
        <f t="shared" si="8"/>
        <v/>
      </c>
      <c r="D122" s="46" t="str">
        <f t="shared" si="9"/>
        <v/>
      </c>
    </row>
    <row r="123" spans="3:4" ht="15.75" x14ac:dyDescent="0.25">
      <c r="C123" s="46" t="str">
        <f t="shared" si="8"/>
        <v/>
      </c>
      <c r="D123" s="46" t="str">
        <f t="shared" si="9"/>
        <v/>
      </c>
    </row>
    <row r="124" spans="3:4" ht="15.75" x14ac:dyDescent="0.25">
      <c r="C124" s="46" t="str">
        <f t="shared" si="8"/>
        <v/>
      </c>
      <c r="D124" s="46" t="str">
        <f t="shared" si="9"/>
        <v/>
      </c>
    </row>
    <row r="125" spans="3:4" ht="15.75" x14ac:dyDescent="0.25">
      <c r="C125" s="46" t="str">
        <f t="shared" si="8"/>
        <v/>
      </c>
      <c r="D125" s="46" t="str">
        <f t="shared" si="9"/>
        <v/>
      </c>
    </row>
    <row r="126" spans="3:4" ht="15.75" x14ac:dyDescent="0.25">
      <c r="C126" s="46" t="str">
        <f t="shared" si="8"/>
        <v/>
      </c>
      <c r="D126" s="46" t="str">
        <f t="shared" si="9"/>
        <v/>
      </c>
    </row>
    <row r="127" spans="3:4" ht="15.75" x14ac:dyDescent="0.25">
      <c r="C127" s="46" t="str">
        <f t="shared" si="8"/>
        <v/>
      </c>
      <c r="D127" s="46" t="str">
        <f t="shared" si="9"/>
        <v/>
      </c>
    </row>
    <row r="128" spans="3:4" ht="15.75" x14ac:dyDescent="0.25">
      <c r="C128" s="46" t="str">
        <f t="shared" si="8"/>
        <v/>
      </c>
      <c r="D128" s="46" t="str">
        <f t="shared" si="9"/>
        <v/>
      </c>
    </row>
    <row r="129" spans="3:4" ht="15.75" x14ac:dyDescent="0.25">
      <c r="C129" s="46" t="str">
        <f t="shared" si="8"/>
        <v/>
      </c>
      <c r="D129" s="46" t="str">
        <f t="shared" si="9"/>
        <v/>
      </c>
    </row>
    <row r="130" spans="3:4" ht="15.75" x14ac:dyDescent="0.25">
      <c r="C130" s="46" t="str">
        <f t="shared" si="8"/>
        <v/>
      </c>
      <c r="D130" s="46" t="str">
        <f t="shared" si="9"/>
        <v/>
      </c>
    </row>
    <row r="131" spans="3:4" ht="15.75" x14ac:dyDescent="0.25">
      <c r="C131" s="46" t="str">
        <f t="shared" si="8"/>
        <v/>
      </c>
      <c r="D131" s="46" t="str">
        <f t="shared" si="9"/>
        <v/>
      </c>
    </row>
    <row r="132" spans="3:4" ht="15.75" x14ac:dyDescent="0.25">
      <c r="C132" s="46" t="str">
        <f t="shared" si="8"/>
        <v/>
      </c>
      <c r="D132" s="46" t="str">
        <f t="shared" si="9"/>
        <v/>
      </c>
    </row>
    <row r="133" spans="3:4" ht="15.75" x14ac:dyDescent="0.25">
      <c r="C133" s="46" t="str">
        <f t="shared" si="8"/>
        <v/>
      </c>
      <c r="D133" s="46" t="str">
        <f t="shared" si="9"/>
        <v/>
      </c>
    </row>
    <row r="134" spans="3:4" ht="15.75" x14ac:dyDescent="0.25">
      <c r="C134" s="46" t="str">
        <f t="shared" si="8"/>
        <v/>
      </c>
      <c r="D134" s="46" t="str">
        <f t="shared" si="9"/>
        <v/>
      </c>
    </row>
    <row r="135" spans="3:4" ht="15.75" x14ac:dyDescent="0.25">
      <c r="C135" s="46" t="str">
        <f t="shared" si="8"/>
        <v/>
      </c>
      <c r="D135" s="46" t="str">
        <f t="shared" si="9"/>
        <v/>
      </c>
    </row>
    <row r="136" spans="3:4" ht="15.75" x14ac:dyDescent="0.25">
      <c r="C136" s="46" t="str">
        <f t="shared" si="8"/>
        <v/>
      </c>
      <c r="D136" s="46" t="str">
        <f t="shared" si="9"/>
        <v/>
      </c>
    </row>
    <row r="137" spans="3:4" ht="15.75" x14ac:dyDescent="0.25">
      <c r="C137" s="46" t="str">
        <f t="shared" si="8"/>
        <v/>
      </c>
      <c r="D137" s="46" t="str">
        <f t="shared" si="9"/>
        <v/>
      </c>
    </row>
    <row r="138" spans="3:4" ht="15.75" x14ac:dyDescent="0.25">
      <c r="C138" s="46" t="str">
        <f t="shared" si="8"/>
        <v/>
      </c>
      <c r="D138" s="46" t="str">
        <f t="shared" si="9"/>
        <v/>
      </c>
    </row>
    <row r="139" spans="3:4" ht="15.75" x14ac:dyDescent="0.25">
      <c r="C139" s="46" t="str">
        <f t="shared" si="8"/>
        <v/>
      </c>
      <c r="D139" s="46" t="str">
        <f t="shared" si="9"/>
        <v/>
      </c>
    </row>
    <row r="140" spans="3:4" ht="15.75" x14ac:dyDescent="0.25">
      <c r="C140" s="46" t="str">
        <f t="shared" si="8"/>
        <v/>
      </c>
      <c r="D140" s="46" t="str">
        <f t="shared" si="9"/>
        <v/>
      </c>
    </row>
    <row r="141" spans="3:4" ht="15.75" x14ac:dyDescent="0.25">
      <c r="C141" s="46" t="str">
        <f t="shared" si="8"/>
        <v/>
      </c>
      <c r="D141" s="46" t="str">
        <f t="shared" si="9"/>
        <v/>
      </c>
    </row>
    <row r="142" spans="3:4" ht="15.75" x14ac:dyDescent="0.25">
      <c r="C142" s="46" t="str">
        <f t="shared" si="8"/>
        <v/>
      </c>
      <c r="D142" s="46" t="str">
        <f t="shared" si="9"/>
        <v/>
      </c>
    </row>
    <row r="143" spans="3:4" ht="15.75" x14ac:dyDescent="0.25">
      <c r="C143" s="46" t="str">
        <f t="shared" si="8"/>
        <v/>
      </c>
      <c r="D143" s="46" t="str">
        <f t="shared" si="9"/>
        <v/>
      </c>
    </row>
    <row r="144" spans="3:4" ht="15.75" x14ac:dyDescent="0.25">
      <c r="C144" s="46" t="str">
        <f t="shared" si="8"/>
        <v/>
      </c>
      <c r="D144" s="46" t="str">
        <f t="shared" si="9"/>
        <v/>
      </c>
    </row>
    <row r="145" spans="3:4" ht="15.75" x14ac:dyDescent="0.25">
      <c r="C145" s="46" t="str">
        <f t="shared" si="8"/>
        <v/>
      </c>
      <c r="D145" s="46" t="str">
        <f t="shared" si="9"/>
        <v/>
      </c>
    </row>
    <row r="146" spans="3:4" ht="15.75" x14ac:dyDescent="0.25">
      <c r="C146" s="46" t="str">
        <f t="shared" si="8"/>
        <v/>
      </c>
      <c r="D146" s="46" t="str">
        <f t="shared" si="9"/>
        <v/>
      </c>
    </row>
    <row r="147" spans="3:4" ht="15.75" x14ac:dyDescent="0.25">
      <c r="C147" s="46" t="str">
        <f t="shared" si="8"/>
        <v/>
      </c>
      <c r="D147" s="46" t="str">
        <f t="shared" si="9"/>
        <v/>
      </c>
    </row>
    <row r="148" spans="3:4" ht="15.75" x14ac:dyDescent="0.25">
      <c r="C148" s="46" t="str">
        <f t="shared" si="8"/>
        <v/>
      </c>
      <c r="D148" s="46" t="str">
        <f t="shared" si="9"/>
        <v/>
      </c>
    </row>
    <row r="149" spans="3:4" ht="15.75" x14ac:dyDescent="0.25">
      <c r="C149" s="46" t="str">
        <f t="shared" si="8"/>
        <v/>
      </c>
      <c r="D149" s="46" t="str">
        <f t="shared" si="9"/>
        <v/>
      </c>
    </row>
    <row r="150" spans="3:4" ht="15.75" x14ac:dyDescent="0.25">
      <c r="C150" s="46" t="str">
        <f t="shared" si="8"/>
        <v/>
      </c>
      <c r="D150" s="46" t="str">
        <f t="shared" si="9"/>
        <v/>
      </c>
    </row>
    <row r="151" spans="3:4" ht="15.75" x14ac:dyDescent="0.25">
      <c r="C151" s="46" t="str">
        <f t="shared" si="8"/>
        <v/>
      </c>
      <c r="D151" s="46" t="str">
        <f t="shared" si="9"/>
        <v/>
      </c>
    </row>
    <row r="152" spans="3:4" ht="15.75" x14ac:dyDescent="0.25">
      <c r="C152" s="46" t="str">
        <f t="shared" si="8"/>
        <v/>
      </c>
      <c r="D152" s="46" t="str">
        <f t="shared" si="9"/>
        <v/>
      </c>
    </row>
    <row r="153" spans="3:4" ht="15.75" x14ac:dyDescent="0.25">
      <c r="C153" s="46" t="str">
        <f t="shared" si="8"/>
        <v/>
      </c>
      <c r="D153" s="46" t="str">
        <f t="shared" si="9"/>
        <v/>
      </c>
    </row>
    <row r="154" spans="3:4" ht="15.75" x14ac:dyDescent="0.25">
      <c r="C154" s="46" t="str">
        <f t="shared" si="8"/>
        <v/>
      </c>
      <c r="D154" s="46" t="str">
        <f t="shared" si="9"/>
        <v/>
      </c>
    </row>
    <row r="155" spans="3:4" ht="15.75" x14ac:dyDescent="0.25">
      <c r="C155" s="46" t="str">
        <f t="shared" si="8"/>
        <v/>
      </c>
      <c r="D155" s="46" t="str">
        <f t="shared" si="9"/>
        <v/>
      </c>
    </row>
    <row r="156" spans="3:4" ht="15.75" x14ac:dyDescent="0.25">
      <c r="C156" s="46" t="str">
        <f t="shared" si="8"/>
        <v/>
      </c>
      <c r="D156" s="46" t="str">
        <f t="shared" si="9"/>
        <v/>
      </c>
    </row>
    <row r="157" spans="3:4" ht="15.75" x14ac:dyDescent="0.25">
      <c r="C157" s="46" t="str">
        <f t="shared" si="8"/>
        <v/>
      </c>
      <c r="D157" s="46" t="str">
        <f t="shared" si="9"/>
        <v/>
      </c>
    </row>
    <row r="158" spans="3:4" ht="15.75" x14ac:dyDescent="0.25">
      <c r="C158" s="46" t="str">
        <f t="shared" si="8"/>
        <v/>
      </c>
      <c r="D158" s="46" t="str">
        <f t="shared" si="9"/>
        <v/>
      </c>
    </row>
    <row r="159" spans="3:4" ht="15.75" x14ac:dyDescent="0.25">
      <c r="C159" s="46" t="str">
        <f t="shared" si="8"/>
        <v/>
      </c>
      <c r="D159" s="46" t="str">
        <f t="shared" si="9"/>
        <v/>
      </c>
    </row>
    <row r="160" spans="3:4" ht="15.75" x14ac:dyDescent="0.25">
      <c r="C160" s="46" t="str">
        <f t="shared" si="8"/>
        <v/>
      </c>
      <c r="D160" s="46" t="str">
        <f t="shared" si="9"/>
        <v/>
      </c>
    </row>
    <row r="161" spans="3:4" ht="15.75" x14ac:dyDescent="0.25">
      <c r="C161" s="46" t="str">
        <f t="shared" si="8"/>
        <v/>
      </c>
      <c r="D161" s="46" t="str">
        <f t="shared" si="9"/>
        <v/>
      </c>
    </row>
    <row r="162" spans="3:4" ht="15.75" x14ac:dyDescent="0.25">
      <c r="C162" s="46" t="str">
        <f t="shared" si="8"/>
        <v/>
      </c>
      <c r="D162" s="46" t="str">
        <f t="shared" si="9"/>
        <v/>
      </c>
    </row>
    <row r="163" spans="3:4" ht="15.75" x14ac:dyDescent="0.25">
      <c r="C163" s="46" t="str">
        <f t="shared" si="8"/>
        <v/>
      </c>
      <c r="D163" s="46" t="str">
        <f t="shared" si="9"/>
        <v/>
      </c>
    </row>
    <row r="164" spans="3:4" ht="15.75" x14ac:dyDescent="0.25">
      <c r="C164" s="46" t="str">
        <f t="shared" si="8"/>
        <v/>
      </c>
      <c r="D164" s="46" t="str">
        <f t="shared" si="9"/>
        <v/>
      </c>
    </row>
    <row r="165" spans="3:4" ht="15.75" x14ac:dyDescent="0.25">
      <c r="C165" s="46" t="str">
        <f t="shared" si="8"/>
        <v/>
      </c>
      <c r="D165" s="46" t="str">
        <f t="shared" si="9"/>
        <v/>
      </c>
    </row>
    <row r="166" spans="3:4" ht="15.75" x14ac:dyDescent="0.25">
      <c r="C166" s="46" t="str">
        <f t="shared" si="8"/>
        <v/>
      </c>
      <c r="D166" s="46" t="str">
        <f t="shared" si="9"/>
        <v/>
      </c>
    </row>
    <row r="167" spans="3:4" ht="15.75" x14ac:dyDescent="0.25">
      <c r="C167" s="46" t="str">
        <f t="shared" si="8"/>
        <v/>
      </c>
      <c r="D167" s="46" t="str">
        <f t="shared" si="9"/>
        <v/>
      </c>
    </row>
    <row r="168" spans="3:4" ht="15.75" x14ac:dyDescent="0.25">
      <c r="C168" s="46" t="str">
        <f t="shared" si="8"/>
        <v/>
      </c>
      <c r="D168" s="46" t="str">
        <f t="shared" si="9"/>
        <v/>
      </c>
    </row>
    <row r="169" spans="3:4" ht="15.75" x14ac:dyDescent="0.25">
      <c r="C169" s="46" t="str">
        <f t="shared" si="8"/>
        <v/>
      </c>
      <c r="D169" s="46" t="str">
        <f t="shared" si="9"/>
        <v/>
      </c>
    </row>
    <row r="170" spans="3:4" ht="15.75" x14ac:dyDescent="0.25">
      <c r="C170" s="46" t="str">
        <f t="shared" si="8"/>
        <v/>
      </c>
      <c r="D170" s="46" t="str">
        <f t="shared" si="9"/>
        <v/>
      </c>
    </row>
    <row r="171" spans="3:4" ht="15.75" x14ac:dyDescent="0.25">
      <c r="C171" s="46" t="str">
        <f t="shared" si="8"/>
        <v/>
      </c>
      <c r="D171" s="46" t="str">
        <f t="shared" si="9"/>
        <v/>
      </c>
    </row>
    <row r="172" spans="3:4" ht="15.75" x14ac:dyDescent="0.25">
      <c r="C172" s="46" t="str">
        <f t="shared" si="8"/>
        <v/>
      </c>
      <c r="D172" s="46" t="str">
        <f t="shared" si="9"/>
        <v/>
      </c>
    </row>
    <row r="173" spans="3:4" ht="15.75" x14ac:dyDescent="0.25">
      <c r="C173" s="46" t="str">
        <f t="shared" si="8"/>
        <v/>
      </c>
      <c r="D173" s="46" t="str">
        <f t="shared" si="9"/>
        <v/>
      </c>
    </row>
    <row r="174" spans="3:4" ht="15.75" x14ac:dyDescent="0.25">
      <c r="C174" s="46" t="str">
        <f t="shared" si="8"/>
        <v/>
      </c>
      <c r="D174" s="46" t="str">
        <f t="shared" si="9"/>
        <v/>
      </c>
    </row>
    <row r="175" spans="3:4" ht="15.75" x14ac:dyDescent="0.25">
      <c r="C175" s="46" t="str">
        <f t="shared" si="8"/>
        <v/>
      </c>
      <c r="D175" s="46" t="str">
        <f t="shared" si="9"/>
        <v/>
      </c>
    </row>
    <row r="176" spans="3:4" ht="15.75" x14ac:dyDescent="0.25">
      <c r="C176" s="46" t="str">
        <f t="shared" ref="C176:C239" si="10">IF(COUNTIF(E176:BA176,"YES")=0,"",COUNTIF(E176:BA176,"YES"))</f>
        <v/>
      </c>
      <c r="D176" s="46" t="str">
        <f t="shared" si="9"/>
        <v/>
      </c>
    </row>
    <row r="177" spans="3:4" ht="15.75" x14ac:dyDescent="0.25">
      <c r="C177" s="46" t="str">
        <f t="shared" si="10"/>
        <v/>
      </c>
      <c r="D177" s="46" t="str">
        <f t="shared" si="9"/>
        <v/>
      </c>
    </row>
    <row r="178" spans="3:4" ht="15.75" x14ac:dyDescent="0.25">
      <c r="C178" s="46" t="str">
        <f t="shared" si="10"/>
        <v/>
      </c>
      <c r="D178" s="46" t="str">
        <f t="shared" si="9"/>
        <v/>
      </c>
    </row>
    <row r="179" spans="3:4" ht="15.75" x14ac:dyDescent="0.25">
      <c r="C179" s="46" t="str">
        <f t="shared" si="10"/>
        <v/>
      </c>
      <c r="D179" s="46" t="str">
        <f t="shared" ref="D179:D242" si="11">IF(COUNTIF(E179:BA179,"NO")=0,"",COUNTIF(E179:BA179,"NO"))</f>
        <v/>
      </c>
    </row>
    <row r="180" spans="3:4" ht="15.75" x14ac:dyDescent="0.25">
      <c r="C180" s="46" t="str">
        <f t="shared" si="10"/>
        <v/>
      </c>
      <c r="D180" s="46" t="str">
        <f t="shared" si="11"/>
        <v/>
      </c>
    </row>
    <row r="181" spans="3:4" ht="15.75" x14ac:dyDescent="0.25">
      <c r="C181" s="46" t="str">
        <f t="shared" si="10"/>
        <v/>
      </c>
      <c r="D181" s="46" t="str">
        <f t="shared" si="11"/>
        <v/>
      </c>
    </row>
    <row r="182" spans="3:4" ht="15.75" x14ac:dyDescent="0.25">
      <c r="C182" s="46" t="str">
        <f t="shared" si="10"/>
        <v/>
      </c>
      <c r="D182" s="46" t="str">
        <f t="shared" si="11"/>
        <v/>
      </c>
    </row>
    <row r="183" spans="3:4" ht="15.75" x14ac:dyDescent="0.25">
      <c r="C183" s="46" t="str">
        <f t="shared" si="10"/>
        <v/>
      </c>
      <c r="D183" s="46" t="str">
        <f t="shared" si="11"/>
        <v/>
      </c>
    </row>
    <row r="184" spans="3:4" ht="15.75" x14ac:dyDescent="0.25">
      <c r="C184" s="46" t="str">
        <f t="shared" si="10"/>
        <v/>
      </c>
      <c r="D184" s="46" t="str">
        <f t="shared" si="11"/>
        <v/>
      </c>
    </row>
    <row r="185" spans="3:4" ht="15.75" x14ac:dyDescent="0.25">
      <c r="C185" s="46" t="str">
        <f t="shared" si="10"/>
        <v/>
      </c>
      <c r="D185" s="46" t="str">
        <f t="shared" si="11"/>
        <v/>
      </c>
    </row>
    <row r="186" spans="3:4" ht="15.75" x14ac:dyDescent="0.25">
      <c r="C186" s="46" t="str">
        <f t="shared" si="10"/>
        <v/>
      </c>
      <c r="D186" s="46" t="str">
        <f t="shared" si="11"/>
        <v/>
      </c>
    </row>
    <row r="187" spans="3:4" ht="15.75" x14ac:dyDescent="0.25">
      <c r="C187" s="46" t="str">
        <f t="shared" si="10"/>
        <v/>
      </c>
      <c r="D187" s="46" t="str">
        <f t="shared" si="11"/>
        <v/>
      </c>
    </row>
    <row r="188" spans="3:4" ht="15.75" x14ac:dyDescent="0.25">
      <c r="C188" s="46" t="str">
        <f t="shared" si="10"/>
        <v/>
      </c>
      <c r="D188" s="46" t="str">
        <f t="shared" si="11"/>
        <v/>
      </c>
    </row>
    <row r="189" spans="3:4" ht="15.75" x14ac:dyDescent="0.25">
      <c r="C189" s="46" t="str">
        <f t="shared" si="10"/>
        <v/>
      </c>
      <c r="D189" s="46" t="str">
        <f t="shared" si="11"/>
        <v/>
      </c>
    </row>
    <row r="190" spans="3:4" ht="15.75" x14ac:dyDescent="0.25">
      <c r="C190" s="46" t="str">
        <f t="shared" si="10"/>
        <v/>
      </c>
      <c r="D190" s="46" t="str">
        <f t="shared" si="11"/>
        <v/>
      </c>
    </row>
    <row r="191" spans="3:4" ht="15.75" x14ac:dyDescent="0.25">
      <c r="C191" s="46" t="str">
        <f t="shared" si="10"/>
        <v/>
      </c>
      <c r="D191" s="46" t="str">
        <f t="shared" si="11"/>
        <v/>
      </c>
    </row>
    <row r="192" spans="3:4" ht="15.75" x14ac:dyDescent="0.25">
      <c r="C192" s="46" t="str">
        <f t="shared" si="10"/>
        <v/>
      </c>
      <c r="D192" s="46" t="str">
        <f t="shared" si="11"/>
        <v/>
      </c>
    </row>
    <row r="193" spans="3:4" ht="15.75" x14ac:dyDescent="0.25">
      <c r="C193" s="46" t="str">
        <f t="shared" si="10"/>
        <v/>
      </c>
      <c r="D193" s="46" t="str">
        <f t="shared" si="11"/>
        <v/>
      </c>
    </row>
    <row r="194" spans="3:4" ht="15.75" x14ac:dyDescent="0.25">
      <c r="C194" s="46" t="str">
        <f t="shared" si="10"/>
        <v/>
      </c>
      <c r="D194" s="46" t="str">
        <f t="shared" si="11"/>
        <v/>
      </c>
    </row>
    <row r="195" spans="3:4" ht="15.75" x14ac:dyDescent="0.25">
      <c r="C195" s="46" t="str">
        <f t="shared" si="10"/>
        <v/>
      </c>
      <c r="D195" s="46" t="str">
        <f t="shared" si="11"/>
        <v/>
      </c>
    </row>
    <row r="196" spans="3:4" ht="15.75" x14ac:dyDescent="0.25">
      <c r="C196" s="46" t="str">
        <f t="shared" si="10"/>
        <v/>
      </c>
      <c r="D196" s="46" t="str">
        <f t="shared" si="11"/>
        <v/>
      </c>
    </row>
    <row r="197" spans="3:4" ht="15.75" x14ac:dyDescent="0.25">
      <c r="C197" s="46" t="str">
        <f t="shared" si="10"/>
        <v/>
      </c>
      <c r="D197" s="46" t="str">
        <f t="shared" si="11"/>
        <v/>
      </c>
    </row>
    <row r="198" spans="3:4" ht="15.75" x14ac:dyDescent="0.25">
      <c r="C198" s="46" t="str">
        <f t="shared" si="10"/>
        <v/>
      </c>
      <c r="D198" s="46" t="str">
        <f t="shared" si="11"/>
        <v/>
      </c>
    </row>
    <row r="199" spans="3:4" ht="15.75" x14ac:dyDescent="0.25">
      <c r="C199" s="46" t="str">
        <f t="shared" si="10"/>
        <v/>
      </c>
      <c r="D199" s="46" t="str">
        <f t="shared" si="11"/>
        <v/>
      </c>
    </row>
    <row r="200" spans="3:4" ht="15.75" x14ac:dyDescent="0.25">
      <c r="C200" s="46" t="str">
        <f t="shared" si="10"/>
        <v/>
      </c>
      <c r="D200" s="46" t="str">
        <f t="shared" si="11"/>
        <v/>
      </c>
    </row>
    <row r="201" spans="3:4" ht="15.75" x14ac:dyDescent="0.25">
      <c r="C201" s="46" t="str">
        <f t="shared" si="10"/>
        <v/>
      </c>
      <c r="D201" s="46" t="str">
        <f t="shared" si="11"/>
        <v/>
      </c>
    </row>
    <row r="202" spans="3:4" ht="15.75" x14ac:dyDescent="0.25">
      <c r="C202" s="46" t="str">
        <f t="shared" si="10"/>
        <v/>
      </c>
      <c r="D202" s="46" t="str">
        <f t="shared" si="11"/>
        <v/>
      </c>
    </row>
    <row r="203" spans="3:4" ht="15.75" x14ac:dyDescent="0.25">
      <c r="C203" s="46" t="str">
        <f t="shared" si="10"/>
        <v/>
      </c>
      <c r="D203" s="46" t="str">
        <f t="shared" si="11"/>
        <v/>
      </c>
    </row>
    <row r="204" spans="3:4" ht="15.75" x14ac:dyDescent="0.25">
      <c r="C204" s="46" t="str">
        <f t="shared" si="10"/>
        <v/>
      </c>
      <c r="D204" s="46" t="str">
        <f t="shared" si="11"/>
        <v/>
      </c>
    </row>
    <row r="205" spans="3:4" ht="15.75" x14ac:dyDescent="0.25">
      <c r="C205" s="46" t="str">
        <f t="shared" si="10"/>
        <v/>
      </c>
      <c r="D205" s="46" t="str">
        <f t="shared" si="11"/>
        <v/>
      </c>
    </row>
    <row r="206" spans="3:4" ht="15.75" x14ac:dyDescent="0.25">
      <c r="C206" s="46" t="str">
        <f t="shared" si="10"/>
        <v/>
      </c>
      <c r="D206" s="46" t="str">
        <f t="shared" si="11"/>
        <v/>
      </c>
    </row>
    <row r="207" spans="3:4" ht="15.75" x14ac:dyDescent="0.25">
      <c r="C207" s="46" t="str">
        <f t="shared" si="10"/>
        <v/>
      </c>
      <c r="D207" s="46" t="str">
        <f t="shared" si="11"/>
        <v/>
      </c>
    </row>
    <row r="208" spans="3:4" ht="15.75" x14ac:dyDescent="0.25">
      <c r="C208" s="46" t="str">
        <f t="shared" si="10"/>
        <v/>
      </c>
      <c r="D208" s="46" t="str">
        <f t="shared" si="11"/>
        <v/>
      </c>
    </row>
    <row r="209" spans="3:4" ht="15.75" x14ac:dyDescent="0.25">
      <c r="C209" s="46" t="str">
        <f t="shared" si="10"/>
        <v/>
      </c>
      <c r="D209" s="46" t="str">
        <f t="shared" si="11"/>
        <v/>
      </c>
    </row>
    <row r="210" spans="3:4" ht="15.75" x14ac:dyDescent="0.25">
      <c r="C210" s="46" t="str">
        <f t="shared" si="10"/>
        <v/>
      </c>
      <c r="D210" s="46" t="str">
        <f t="shared" si="11"/>
        <v/>
      </c>
    </row>
    <row r="211" spans="3:4" ht="15.75" x14ac:dyDescent="0.25">
      <c r="C211" s="46" t="str">
        <f t="shared" si="10"/>
        <v/>
      </c>
      <c r="D211" s="46" t="str">
        <f t="shared" si="11"/>
        <v/>
      </c>
    </row>
    <row r="212" spans="3:4" ht="15.75" x14ac:dyDescent="0.25">
      <c r="C212" s="46" t="str">
        <f t="shared" si="10"/>
        <v/>
      </c>
      <c r="D212" s="46" t="str">
        <f t="shared" si="11"/>
        <v/>
      </c>
    </row>
    <row r="213" spans="3:4" ht="15.75" x14ac:dyDescent="0.25">
      <c r="C213" s="46" t="str">
        <f t="shared" si="10"/>
        <v/>
      </c>
      <c r="D213" s="46" t="str">
        <f t="shared" si="11"/>
        <v/>
      </c>
    </row>
    <row r="214" spans="3:4" ht="15.75" x14ac:dyDescent="0.25">
      <c r="C214" s="46" t="str">
        <f t="shared" si="10"/>
        <v/>
      </c>
      <c r="D214" s="46" t="str">
        <f t="shared" si="11"/>
        <v/>
      </c>
    </row>
    <row r="215" spans="3:4" ht="15.75" x14ac:dyDescent="0.25">
      <c r="C215" s="46" t="str">
        <f t="shared" si="10"/>
        <v/>
      </c>
      <c r="D215" s="46" t="str">
        <f t="shared" si="11"/>
        <v/>
      </c>
    </row>
    <row r="216" spans="3:4" ht="15.75" x14ac:dyDescent="0.25">
      <c r="C216" s="46" t="str">
        <f t="shared" si="10"/>
        <v/>
      </c>
      <c r="D216" s="46" t="str">
        <f t="shared" si="11"/>
        <v/>
      </c>
    </row>
    <row r="217" spans="3:4" ht="15.75" x14ac:dyDescent="0.25">
      <c r="C217" s="46" t="str">
        <f t="shared" si="10"/>
        <v/>
      </c>
      <c r="D217" s="46" t="str">
        <f t="shared" si="11"/>
        <v/>
      </c>
    </row>
    <row r="218" spans="3:4" ht="15.75" x14ac:dyDescent="0.25">
      <c r="C218" s="46" t="str">
        <f t="shared" si="10"/>
        <v/>
      </c>
      <c r="D218" s="46" t="str">
        <f t="shared" si="11"/>
        <v/>
      </c>
    </row>
    <row r="219" spans="3:4" ht="15.75" x14ac:dyDescent="0.25">
      <c r="C219" s="46" t="str">
        <f t="shared" si="10"/>
        <v/>
      </c>
      <c r="D219" s="46" t="str">
        <f t="shared" si="11"/>
        <v/>
      </c>
    </row>
    <row r="220" spans="3:4" ht="15.75" x14ac:dyDescent="0.25">
      <c r="C220" s="46" t="str">
        <f t="shared" si="10"/>
        <v/>
      </c>
      <c r="D220" s="46" t="str">
        <f t="shared" si="11"/>
        <v/>
      </c>
    </row>
    <row r="221" spans="3:4" ht="15.75" x14ac:dyDescent="0.25">
      <c r="C221" s="46" t="str">
        <f t="shared" si="10"/>
        <v/>
      </c>
      <c r="D221" s="46" t="str">
        <f t="shared" si="11"/>
        <v/>
      </c>
    </row>
    <row r="222" spans="3:4" ht="15.75" x14ac:dyDescent="0.25">
      <c r="C222" s="46" t="str">
        <f t="shared" si="10"/>
        <v/>
      </c>
      <c r="D222" s="46" t="str">
        <f t="shared" si="11"/>
        <v/>
      </c>
    </row>
    <row r="223" spans="3:4" ht="15.75" x14ac:dyDescent="0.25">
      <c r="C223" s="46" t="str">
        <f t="shared" si="10"/>
        <v/>
      </c>
      <c r="D223" s="46" t="str">
        <f t="shared" si="11"/>
        <v/>
      </c>
    </row>
    <row r="224" spans="3:4" ht="15.75" x14ac:dyDescent="0.25">
      <c r="C224" s="46" t="str">
        <f t="shared" si="10"/>
        <v/>
      </c>
      <c r="D224" s="46" t="str">
        <f t="shared" si="11"/>
        <v/>
      </c>
    </row>
    <row r="225" spans="3:4" ht="15.75" x14ac:dyDescent="0.25">
      <c r="C225" s="46" t="str">
        <f t="shared" si="10"/>
        <v/>
      </c>
      <c r="D225" s="46" t="str">
        <f t="shared" si="11"/>
        <v/>
      </c>
    </row>
    <row r="226" spans="3:4" ht="15.75" x14ac:dyDescent="0.25">
      <c r="C226" s="46" t="str">
        <f t="shared" si="10"/>
        <v/>
      </c>
      <c r="D226" s="46" t="str">
        <f t="shared" si="11"/>
        <v/>
      </c>
    </row>
    <row r="227" spans="3:4" ht="15.75" x14ac:dyDescent="0.25">
      <c r="C227" s="46" t="str">
        <f t="shared" si="10"/>
        <v/>
      </c>
      <c r="D227" s="46" t="str">
        <f t="shared" si="11"/>
        <v/>
      </c>
    </row>
    <row r="228" spans="3:4" ht="15.75" x14ac:dyDescent="0.25">
      <c r="C228" s="46" t="str">
        <f t="shared" si="10"/>
        <v/>
      </c>
      <c r="D228" s="46" t="str">
        <f t="shared" si="11"/>
        <v/>
      </c>
    </row>
    <row r="229" spans="3:4" ht="15.75" x14ac:dyDescent="0.25">
      <c r="C229" s="46" t="str">
        <f t="shared" si="10"/>
        <v/>
      </c>
      <c r="D229" s="46" t="str">
        <f t="shared" si="11"/>
        <v/>
      </c>
    </row>
    <row r="230" spans="3:4" ht="15.75" x14ac:dyDescent="0.25">
      <c r="C230" s="46" t="str">
        <f t="shared" si="10"/>
        <v/>
      </c>
      <c r="D230" s="46" t="str">
        <f t="shared" si="11"/>
        <v/>
      </c>
    </row>
    <row r="231" spans="3:4" ht="15.75" x14ac:dyDescent="0.25">
      <c r="C231" s="46" t="str">
        <f t="shared" si="10"/>
        <v/>
      </c>
      <c r="D231" s="46" t="str">
        <f t="shared" si="11"/>
        <v/>
      </c>
    </row>
    <row r="232" spans="3:4" ht="15.75" x14ac:dyDescent="0.25">
      <c r="C232" s="46" t="str">
        <f t="shared" si="10"/>
        <v/>
      </c>
      <c r="D232" s="46" t="str">
        <f t="shared" si="11"/>
        <v/>
      </c>
    </row>
    <row r="233" spans="3:4" ht="15.75" x14ac:dyDescent="0.25">
      <c r="C233" s="46" t="str">
        <f t="shared" si="10"/>
        <v/>
      </c>
      <c r="D233" s="46" t="str">
        <f t="shared" si="11"/>
        <v/>
      </c>
    </row>
    <row r="234" spans="3:4" ht="15.75" x14ac:dyDescent="0.25">
      <c r="C234" s="46" t="str">
        <f t="shared" si="10"/>
        <v/>
      </c>
      <c r="D234" s="46" t="str">
        <f t="shared" si="11"/>
        <v/>
      </c>
    </row>
    <row r="235" spans="3:4" ht="15.75" x14ac:dyDescent="0.25">
      <c r="C235" s="46" t="str">
        <f t="shared" si="10"/>
        <v/>
      </c>
      <c r="D235" s="46" t="str">
        <f t="shared" si="11"/>
        <v/>
      </c>
    </row>
    <row r="236" spans="3:4" ht="15.75" x14ac:dyDescent="0.25">
      <c r="C236" s="46" t="str">
        <f t="shared" si="10"/>
        <v/>
      </c>
      <c r="D236" s="46" t="str">
        <f t="shared" si="11"/>
        <v/>
      </c>
    </row>
    <row r="237" spans="3:4" ht="15.75" x14ac:dyDescent="0.25">
      <c r="C237" s="46" t="str">
        <f t="shared" si="10"/>
        <v/>
      </c>
      <c r="D237" s="46" t="str">
        <f t="shared" si="11"/>
        <v/>
      </c>
    </row>
    <row r="238" spans="3:4" ht="15.75" x14ac:dyDescent="0.25">
      <c r="C238" s="46" t="str">
        <f t="shared" si="10"/>
        <v/>
      </c>
      <c r="D238" s="46" t="str">
        <f t="shared" si="11"/>
        <v/>
      </c>
    </row>
    <row r="239" spans="3:4" ht="15.75" x14ac:dyDescent="0.25">
      <c r="C239" s="46" t="str">
        <f t="shared" si="10"/>
        <v/>
      </c>
      <c r="D239" s="46" t="str">
        <f t="shared" si="11"/>
        <v/>
      </c>
    </row>
    <row r="240" spans="3:4" ht="15.75" x14ac:dyDescent="0.25">
      <c r="C240" s="46" t="str">
        <f t="shared" ref="C240:C307" si="12">IF(COUNTIF(E240:BA240,"YES")=0,"",COUNTIF(E240:BA240,"YES"))</f>
        <v/>
      </c>
      <c r="D240" s="46" t="str">
        <f t="shared" si="11"/>
        <v/>
      </c>
    </row>
    <row r="241" spans="3:4" ht="15.75" x14ac:dyDescent="0.25">
      <c r="C241" s="46" t="str">
        <f t="shared" si="12"/>
        <v/>
      </c>
      <c r="D241" s="46" t="str">
        <f t="shared" si="11"/>
        <v/>
      </c>
    </row>
    <row r="242" spans="3:4" ht="15.75" x14ac:dyDescent="0.25">
      <c r="C242" s="46" t="str">
        <f t="shared" si="12"/>
        <v/>
      </c>
      <c r="D242" s="46" t="str">
        <f t="shared" si="11"/>
        <v/>
      </c>
    </row>
    <row r="243" spans="3:4" ht="15.75" x14ac:dyDescent="0.25">
      <c r="C243" s="46" t="str">
        <f t="shared" si="12"/>
        <v/>
      </c>
      <c r="D243" s="46" t="str">
        <f t="shared" ref="D243:D306" si="13">IF(COUNTIF(E243:BA243,"NO")=0,"",COUNTIF(E243:BA243,"NO"))</f>
        <v/>
      </c>
    </row>
    <row r="244" spans="3:4" ht="15.75" x14ac:dyDescent="0.25">
      <c r="C244" s="46" t="str">
        <f t="shared" si="12"/>
        <v/>
      </c>
      <c r="D244" s="46" t="str">
        <f t="shared" si="13"/>
        <v/>
      </c>
    </row>
    <row r="245" spans="3:4" ht="15.75" x14ac:dyDescent="0.25">
      <c r="C245" s="46" t="str">
        <f t="shared" si="12"/>
        <v/>
      </c>
      <c r="D245" s="46" t="str">
        <f t="shared" si="13"/>
        <v/>
      </c>
    </row>
    <row r="246" spans="3:4" ht="15.75" x14ac:dyDescent="0.25">
      <c r="C246" s="46" t="str">
        <f t="shared" si="12"/>
        <v/>
      </c>
      <c r="D246" s="46" t="str">
        <f t="shared" si="13"/>
        <v/>
      </c>
    </row>
    <row r="247" spans="3:4" ht="15.75" x14ac:dyDescent="0.25">
      <c r="C247" s="46" t="str">
        <f t="shared" si="12"/>
        <v/>
      </c>
      <c r="D247" s="46" t="str">
        <f t="shared" si="13"/>
        <v/>
      </c>
    </row>
    <row r="248" spans="3:4" ht="15.75" x14ac:dyDescent="0.25">
      <c r="C248" s="46" t="str">
        <f t="shared" si="12"/>
        <v/>
      </c>
      <c r="D248" s="46" t="str">
        <f t="shared" si="13"/>
        <v/>
      </c>
    </row>
    <row r="249" spans="3:4" ht="15.75" x14ac:dyDescent="0.25">
      <c r="C249" s="46" t="str">
        <f t="shared" si="12"/>
        <v/>
      </c>
      <c r="D249" s="46" t="str">
        <f t="shared" si="13"/>
        <v/>
      </c>
    </row>
    <row r="250" spans="3:4" ht="15.75" x14ac:dyDescent="0.25">
      <c r="C250" s="46" t="str">
        <f t="shared" si="12"/>
        <v/>
      </c>
      <c r="D250" s="46" t="str">
        <f t="shared" si="13"/>
        <v/>
      </c>
    </row>
    <row r="251" spans="3:4" ht="15.75" x14ac:dyDescent="0.25">
      <c r="C251" s="46" t="str">
        <f t="shared" si="12"/>
        <v/>
      </c>
      <c r="D251" s="46" t="str">
        <f t="shared" si="13"/>
        <v/>
      </c>
    </row>
    <row r="252" spans="3:4" ht="15.75" x14ac:dyDescent="0.25">
      <c r="C252" s="46" t="str">
        <f t="shared" si="12"/>
        <v/>
      </c>
      <c r="D252" s="46" t="str">
        <f t="shared" si="13"/>
        <v/>
      </c>
    </row>
    <row r="253" spans="3:4" ht="15.75" x14ac:dyDescent="0.25">
      <c r="C253" s="46" t="str">
        <f t="shared" si="12"/>
        <v/>
      </c>
      <c r="D253" s="46" t="str">
        <f t="shared" si="13"/>
        <v/>
      </c>
    </row>
    <row r="254" spans="3:4" ht="15.75" x14ac:dyDescent="0.25">
      <c r="C254" s="46" t="str">
        <f t="shared" si="12"/>
        <v/>
      </c>
      <c r="D254" s="46" t="str">
        <f t="shared" si="13"/>
        <v/>
      </c>
    </row>
    <row r="255" spans="3:4" ht="15.75" x14ac:dyDescent="0.25">
      <c r="C255" s="46" t="str">
        <f t="shared" si="12"/>
        <v/>
      </c>
      <c r="D255" s="46" t="str">
        <f t="shared" si="13"/>
        <v/>
      </c>
    </row>
    <row r="256" spans="3:4" ht="15.75" x14ac:dyDescent="0.25">
      <c r="C256" s="46" t="str">
        <f t="shared" si="12"/>
        <v/>
      </c>
      <c r="D256" s="46" t="str">
        <f t="shared" si="13"/>
        <v/>
      </c>
    </row>
    <row r="257" spans="3:4" ht="15.75" x14ac:dyDescent="0.25">
      <c r="C257" s="46" t="str">
        <f t="shared" si="12"/>
        <v/>
      </c>
      <c r="D257" s="46" t="str">
        <f t="shared" si="13"/>
        <v/>
      </c>
    </row>
    <row r="258" spans="3:4" ht="15.75" x14ac:dyDescent="0.25">
      <c r="C258" s="46" t="str">
        <f t="shared" si="12"/>
        <v/>
      </c>
      <c r="D258" s="46" t="str">
        <f t="shared" si="13"/>
        <v/>
      </c>
    </row>
    <row r="259" spans="3:4" ht="15.75" x14ac:dyDescent="0.25">
      <c r="C259" s="46" t="str">
        <f t="shared" si="12"/>
        <v/>
      </c>
      <c r="D259" s="46" t="str">
        <f t="shared" si="13"/>
        <v/>
      </c>
    </row>
    <row r="260" spans="3:4" ht="15.75" x14ac:dyDescent="0.25">
      <c r="C260" s="46" t="str">
        <f t="shared" si="12"/>
        <v/>
      </c>
      <c r="D260" s="46" t="str">
        <f t="shared" si="13"/>
        <v/>
      </c>
    </row>
    <row r="261" spans="3:4" ht="15.75" x14ac:dyDescent="0.25">
      <c r="C261" s="46" t="str">
        <f t="shared" si="12"/>
        <v/>
      </c>
      <c r="D261" s="46" t="str">
        <f t="shared" si="13"/>
        <v/>
      </c>
    </row>
    <row r="262" spans="3:4" ht="15.75" x14ac:dyDescent="0.25">
      <c r="C262" s="46" t="str">
        <f t="shared" si="12"/>
        <v/>
      </c>
      <c r="D262" s="46" t="str">
        <f t="shared" si="13"/>
        <v/>
      </c>
    </row>
    <row r="263" spans="3:4" ht="15.75" x14ac:dyDescent="0.25">
      <c r="C263" s="46" t="str">
        <f t="shared" si="12"/>
        <v/>
      </c>
      <c r="D263" s="46" t="str">
        <f t="shared" si="13"/>
        <v/>
      </c>
    </row>
    <row r="264" spans="3:4" ht="15.75" x14ac:dyDescent="0.25">
      <c r="C264" s="46" t="str">
        <f t="shared" si="12"/>
        <v/>
      </c>
      <c r="D264" s="46" t="str">
        <f t="shared" si="13"/>
        <v/>
      </c>
    </row>
    <row r="265" spans="3:4" ht="15.75" x14ac:dyDescent="0.25">
      <c r="C265" s="46" t="str">
        <f t="shared" si="12"/>
        <v/>
      </c>
      <c r="D265" s="46" t="str">
        <f t="shared" si="13"/>
        <v/>
      </c>
    </row>
    <row r="266" spans="3:4" ht="15.75" x14ac:dyDescent="0.25">
      <c r="C266" s="46" t="str">
        <f t="shared" si="12"/>
        <v/>
      </c>
      <c r="D266" s="46" t="str">
        <f t="shared" si="13"/>
        <v/>
      </c>
    </row>
    <row r="267" spans="3:4" ht="15.75" x14ac:dyDescent="0.25">
      <c r="C267" s="46" t="str">
        <f t="shared" si="12"/>
        <v/>
      </c>
      <c r="D267" s="46" t="str">
        <f t="shared" si="13"/>
        <v/>
      </c>
    </row>
    <row r="268" spans="3:4" ht="15.75" x14ac:dyDescent="0.25">
      <c r="C268" s="46" t="str">
        <f t="shared" si="12"/>
        <v/>
      </c>
      <c r="D268" s="46" t="str">
        <f t="shared" si="13"/>
        <v/>
      </c>
    </row>
    <row r="269" spans="3:4" ht="15.75" x14ac:dyDescent="0.25">
      <c r="C269" s="46" t="str">
        <f t="shared" si="12"/>
        <v/>
      </c>
      <c r="D269" s="46" t="str">
        <f t="shared" si="13"/>
        <v/>
      </c>
    </row>
    <row r="270" spans="3:4" ht="15.75" x14ac:dyDescent="0.25">
      <c r="C270" s="46" t="str">
        <f t="shared" si="12"/>
        <v/>
      </c>
      <c r="D270" s="46" t="str">
        <f t="shared" si="13"/>
        <v/>
      </c>
    </row>
    <row r="271" spans="3:4" ht="15.75" x14ac:dyDescent="0.25">
      <c r="C271" s="46" t="str">
        <f t="shared" si="12"/>
        <v/>
      </c>
      <c r="D271" s="46" t="str">
        <f t="shared" si="13"/>
        <v/>
      </c>
    </row>
    <row r="272" spans="3:4" ht="15.75" x14ac:dyDescent="0.25">
      <c r="C272" s="46" t="str">
        <f t="shared" si="12"/>
        <v/>
      </c>
      <c r="D272" s="46" t="str">
        <f t="shared" si="13"/>
        <v/>
      </c>
    </row>
    <row r="273" spans="3:4" ht="15.75" x14ac:dyDescent="0.25">
      <c r="C273" s="46" t="str">
        <f t="shared" si="12"/>
        <v/>
      </c>
      <c r="D273" s="46" t="str">
        <f t="shared" si="13"/>
        <v/>
      </c>
    </row>
    <row r="274" spans="3:4" ht="15.75" x14ac:dyDescent="0.25">
      <c r="C274" s="46" t="str">
        <f t="shared" si="12"/>
        <v/>
      </c>
      <c r="D274" s="46" t="str">
        <f t="shared" si="13"/>
        <v/>
      </c>
    </row>
    <row r="275" spans="3:4" ht="15.75" x14ac:dyDescent="0.25">
      <c r="C275" s="46" t="str">
        <f t="shared" si="12"/>
        <v/>
      </c>
      <c r="D275" s="46" t="str">
        <f t="shared" si="13"/>
        <v/>
      </c>
    </row>
    <row r="276" spans="3:4" ht="15.75" x14ac:dyDescent="0.25">
      <c r="C276" s="46" t="str">
        <f t="shared" si="12"/>
        <v/>
      </c>
      <c r="D276" s="46" t="str">
        <f t="shared" si="13"/>
        <v/>
      </c>
    </row>
    <row r="277" spans="3:4" ht="15.75" x14ac:dyDescent="0.25">
      <c r="C277" s="46" t="str">
        <f t="shared" si="12"/>
        <v/>
      </c>
      <c r="D277" s="46" t="str">
        <f t="shared" si="13"/>
        <v/>
      </c>
    </row>
    <row r="278" spans="3:4" ht="15.75" x14ac:dyDescent="0.25">
      <c r="C278" s="46" t="str">
        <f t="shared" si="12"/>
        <v/>
      </c>
      <c r="D278" s="46" t="str">
        <f t="shared" si="13"/>
        <v/>
      </c>
    </row>
    <row r="279" spans="3:4" ht="15.75" x14ac:dyDescent="0.25">
      <c r="C279" s="46" t="str">
        <f t="shared" si="12"/>
        <v/>
      </c>
      <c r="D279" s="46" t="str">
        <f t="shared" si="13"/>
        <v/>
      </c>
    </row>
    <row r="280" spans="3:4" ht="15.75" x14ac:dyDescent="0.25">
      <c r="C280" s="46" t="str">
        <f t="shared" si="12"/>
        <v/>
      </c>
      <c r="D280" s="46" t="str">
        <f t="shared" si="13"/>
        <v/>
      </c>
    </row>
    <row r="281" spans="3:4" ht="15.75" x14ac:dyDescent="0.25">
      <c r="C281" s="46" t="str">
        <f t="shared" si="12"/>
        <v/>
      </c>
      <c r="D281" s="46" t="str">
        <f t="shared" si="13"/>
        <v/>
      </c>
    </row>
    <row r="282" spans="3:4" ht="15.75" x14ac:dyDescent="0.25">
      <c r="C282" s="46" t="str">
        <f t="shared" si="12"/>
        <v/>
      </c>
      <c r="D282" s="46" t="str">
        <f t="shared" si="13"/>
        <v/>
      </c>
    </row>
    <row r="283" spans="3:4" ht="15.75" x14ac:dyDescent="0.25">
      <c r="C283" s="46" t="str">
        <f t="shared" si="12"/>
        <v/>
      </c>
      <c r="D283" s="46" t="str">
        <f t="shared" si="13"/>
        <v/>
      </c>
    </row>
    <row r="284" spans="3:4" ht="15.75" x14ac:dyDescent="0.25">
      <c r="C284" s="46" t="str">
        <f t="shared" si="12"/>
        <v/>
      </c>
      <c r="D284" s="46" t="str">
        <f t="shared" si="13"/>
        <v/>
      </c>
    </row>
    <row r="285" spans="3:4" ht="15.75" x14ac:dyDescent="0.25">
      <c r="C285" s="46" t="str">
        <f t="shared" si="12"/>
        <v/>
      </c>
      <c r="D285" s="46" t="str">
        <f t="shared" si="13"/>
        <v/>
      </c>
    </row>
    <row r="286" spans="3:4" ht="15.75" x14ac:dyDescent="0.25">
      <c r="C286" s="46" t="str">
        <f t="shared" si="12"/>
        <v/>
      </c>
      <c r="D286" s="46" t="str">
        <f t="shared" si="13"/>
        <v/>
      </c>
    </row>
    <row r="287" spans="3:4" ht="15.75" x14ac:dyDescent="0.25">
      <c r="C287" s="46" t="str">
        <f t="shared" si="12"/>
        <v/>
      </c>
      <c r="D287" s="46" t="str">
        <f t="shared" si="13"/>
        <v/>
      </c>
    </row>
    <row r="288" spans="3:4" ht="15.75" x14ac:dyDescent="0.25">
      <c r="C288" s="46" t="str">
        <f t="shared" si="12"/>
        <v/>
      </c>
      <c r="D288" s="46" t="str">
        <f t="shared" si="13"/>
        <v/>
      </c>
    </row>
    <row r="289" spans="3:4" ht="15.75" x14ac:dyDescent="0.25">
      <c r="C289" s="46" t="str">
        <f t="shared" si="12"/>
        <v/>
      </c>
      <c r="D289" s="46" t="str">
        <f t="shared" si="13"/>
        <v/>
      </c>
    </row>
    <row r="290" spans="3:4" ht="15.75" x14ac:dyDescent="0.25">
      <c r="C290" s="46" t="str">
        <f t="shared" si="12"/>
        <v/>
      </c>
      <c r="D290" s="46" t="str">
        <f t="shared" si="13"/>
        <v/>
      </c>
    </row>
    <row r="291" spans="3:4" ht="15.75" x14ac:dyDescent="0.25">
      <c r="C291" s="46" t="str">
        <f t="shared" si="12"/>
        <v/>
      </c>
      <c r="D291" s="46" t="str">
        <f t="shared" si="13"/>
        <v/>
      </c>
    </row>
    <row r="292" spans="3:4" ht="15.75" x14ac:dyDescent="0.25">
      <c r="C292" s="46" t="str">
        <f t="shared" si="12"/>
        <v/>
      </c>
      <c r="D292" s="46" t="str">
        <f t="shared" si="13"/>
        <v/>
      </c>
    </row>
    <row r="293" spans="3:4" ht="15.75" x14ac:dyDescent="0.25">
      <c r="C293" s="46" t="str">
        <f t="shared" si="12"/>
        <v/>
      </c>
      <c r="D293" s="46" t="str">
        <f t="shared" si="13"/>
        <v/>
      </c>
    </row>
    <row r="294" spans="3:4" ht="15.75" x14ac:dyDescent="0.25">
      <c r="C294" s="46" t="str">
        <f t="shared" si="12"/>
        <v/>
      </c>
      <c r="D294" s="46" t="str">
        <f t="shared" si="13"/>
        <v/>
      </c>
    </row>
    <row r="295" spans="3:4" ht="15.75" x14ac:dyDescent="0.25">
      <c r="C295" s="46" t="str">
        <f t="shared" si="12"/>
        <v/>
      </c>
      <c r="D295" s="46" t="str">
        <f t="shared" si="13"/>
        <v/>
      </c>
    </row>
    <row r="296" spans="3:4" ht="15.75" x14ac:dyDescent="0.25">
      <c r="C296" s="46" t="str">
        <f t="shared" si="12"/>
        <v/>
      </c>
      <c r="D296" s="46" t="str">
        <f t="shared" si="13"/>
        <v/>
      </c>
    </row>
    <row r="297" spans="3:4" ht="15.75" x14ac:dyDescent="0.25">
      <c r="C297" s="46" t="str">
        <f t="shared" si="12"/>
        <v/>
      </c>
      <c r="D297" s="46" t="str">
        <f t="shared" si="13"/>
        <v/>
      </c>
    </row>
    <row r="298" spans="3:4" ht="15.75" x14ac:dyDescent="0.25">
      <c r="C298" s="46" t="str">
        <f t="shared" si="12"/>
        <v/>
      </c>
      <c r="D298" s="46" t="str">
        <f t="shared" si="13"/>
        <v/>
      </c>
    </row>
    <row r="299" spans="3:4" ht="15.75" x14ac:dyDescent="0.25">
      <c r="C299" s="46" t="str">
        <f t="shared" si="12"/>
        <v/>
      </c>
      <c r="D299" s="46" t="str">
        <f t="shared" si="13"/>
        <v/>
      </c>
    </row>
    <row r="300" spans="3:4" ht="15.75" x14ac:dyDescent="0.25">
      <c r="C300" s="46" t="str">
        <f t="shared" si="12"/>
        <v/>
      </c>
      <c r="D300" s="46" t="str">
        <f t="shared" si="13"/>
        <v/>
      </c>
    </row>
    <row r="301" spans="3:4" ht="15.75" x14ac:dyDescent="0.25">
      <c r="C301" s="46" t="str">
        <f t="shared" si="12"/>
        <v/>
      </c>
      <c r="D301" s="46" t="str">
        <f t="shared" si="13"/>
        <v/>
      </c>
    </row>
    <row r="302" spans="3:4" ht="15.75" x14ac:dyDescent="0.25">
      <c r="C302" s="46" t="str">
        <f t="shared" si="12"/>
        <v/>
      </c>
      <c r="D302" s="46" t="str">
        <f t="shared" si="13"/>
        <v/>
      </c>
    </row>
    <row r="303" spans="3:4" ht="15.75" x14ac:dyDescent="0.25">
      <c r="C303" s="46" t="str">
        <f t="shared" si="12"/>
        <v/>
      </c>
      <c r="D303" s="46" t="str">
        <f t="shared" si="13"/>
        <v/>
      </c>
    </row>
    <row r="304" spans="3:4" ht="15.75" x14ac:dyDescent="0.25">
      <c r="C304" s="46" t="str">
        <f t="shared" si="12"/>
        <v/>
      </c>
      <c r="D304" s="46" t="str">
        <f t="shared" si="13"/>
        <v/>
      </c>
    </row>
    <row r="305" spans="3:4" ht="15.75" x14ac:dyDescent="0.25">
      <c r="C305" s="46" t="str">
        <f t="shared" si="12"/>
        <v/>
      </c>
      <c r="D305" s="46" t="str">
        <f t="shared" si="13"/>
        <v/>
      </c>
    </row>
    <row r="306" spans="3:4" ht="15.75" x14ac:dyDescent="0.25">
      <c r="C306" s="46" t="str">
        <f t="shared" si="12"/>
        <v/>
      </c>
      <c r="D306" s="46" t="str">
        <f t="shared" si="13"/>
        <v/>
      </c>
    </row>
    <row r="307" spans="3:4" ht="15.75" x14ac:dyDescent="0.25">
      <c r="C307" s="46" t="str">
        <f t="shared" si="12"/>
        <v/>
      </c>
      <c r="D307" s="46" t="str">
        <f>IF(COUNTIF(E307:BA307,"NO")=0,"",COUNTIF(E307:BA307,"NO"))</f>
        <v/>
      </c>
    </row>
  </sheetData>
  <phoneticPr fontId="4" type="noConversion"/>
  <conditionalFormatting sqref="E7:Z32">
    <cfRule type="cellIs" dxfId="29" priority="3" stopIfTrue="1" operator="equal">
      <formula>"YES"</formula>
    </cfRule>
    <cfRule type="cellIs" dxfId="28" priority="4" stopIfTrue="1" operator="equal">
      <formula>"NO"</formula>
    </cfRule>
  </conditionalFormatting>
  <dataValidations count="1">
    <dataValidation type="list" allowBlank="1" showInputMessage="1" showErrorMessage="1" sqref="E7:Z32" xr:uid="{00000000-0002-0000-1100-000000000000}">
      <formula1>$D$1:$D$3</formula1>
    </dataValidation>
  </dataValidations>
  <hyperlinks>
    <hyperlink ref="B5" r:id="rId1" display="ALE_2.10n" xr:uid="{00000000-0004-0000-1100-000000000000}"/>
  </hyperlinks>
  <pageMargins left="0.75" right="0.75" top="1" bottom="1" header="0.4921259845" footer="0.4921259845"/>
  <pageSetup paperSize="9" scale="32" fitToHeight="0" orientation="portrait" r:id="rId2"/>
  <headerFooter alignWithMargins="0"/>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2">
    <tabColor theme="7"/>
    <pageSetUpPr fitToPage="1"/>
  </sheetPr>
  <dimension ref="A1:H301"/>
  <sheetViews>
    <sheetView zoomScale="90" zoomScaleNormal="90"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42578125" style="40" customWidth="1"/>
    <col min="2" max="2" width="97.85546875" style="57" bestFit="1" customWidth="1"/>
    <col min="3" max="4" width="4.42578125" style="40" bestFit="1" customWidth="1"/>
    <col min="5" max="8" width="6" style="40" customWidth="1"/>
    <col min="9" max="16384" width="9.140625" style="40"/>
  </cols>
  <sheetData>
    <row r="1" spans="1:8" ht="0.75" customHeight="1" thickBot="1" x14ac:dyDescent="0.25">
      <c r="D1" s="40" t="s">
        <v>43</v>
      </c>
    </row>
    <row r="2" spans="1:8" ht="13.5" hidden="1" thickBot="1" x14ac:dyDescent="0.25">
      <c r="D2" s="40" t="s">
        <v>44</v>
      </c>
    </row>
    <row r="3" spans="1:8" ht="13.5" hidden="1" thickBot="1" x14ac:dyDescent="0.25">
      <c r="D3" s="40" t="s">
        <v>13</v>
      </c>
    </row>
    <row r="4" spans="1:8" ht="88.5" thickTop="1" thickBot="1" x14ac:dyDescent="0.4">
      <c r="A4" s="58"/>
      <c r="B4" s="245" t="s">
        <v>385</v>
      </c>
      <c r="C4" s="43" t="s">
        <v>46</v>
      </c>
      <c r="D4" s="43" t="s">
        <v>47</v>
      </c>
      <c r="E4" s="43" t="s">
        <v>326</v>
      </c>
      <c r="F4" s="43" t="s">
        <v>326</v>
      </c>
      <c r="G4" s="43" t="s">
        <v>326</v>
      </c>
      <c r="H4" s="43" t="s">
        <v>326</v>
      </c>
    </row>
    <row r="5" spans="1:8" ht="16.5" thickTop="1" x14ac:dyDescent="0.25">
      <c r="A5" s="224"/>
      <c r="B5" s="218" t="s">
        <v>390</v>
      </c>
      <c r="C5" s="71" t="str">
        <f t="shared" ref="C5:C58" si="0">IF(COUNTIF(E5:BA5,"YES")=0,"",COUNTIF(E5:BA5,"YES"))</f>
        <v/>
      </c>
      <c r="D5" s="71" t="str">
        <f t="shared" ref="D5:D58" si="1">IF(COUNTIF(E5:BA5,"NO")=0,"",COUNTIF(E5:BA5,"NO"))</f>
        <v/>
      </c>
      <c r="E5" s="79"/>
      <c r="F5" s="79"/>
      <c r="G5" s="79"/>
      <c r="H5" s="79"/>
    </row>
    <row r="6" spans="1:8" ht="14.25" customHeight="1" x14ac:dyDescent="0.25">
      <c r="A6" s="235"/>
      <c r="B6" s="239" t="s">
        <v>85</v>
      </c>
      <c r="C6" s="71" t="str">
        <f t="shared" si="0"/>
        <v/>
      </c>
      <c r="D6" s="71" t="str">
        <f t="shared" si="1"/>
        <v/>
      </c>
      <c r="E6" s="72"/>
      <c r="F6" s="72"/>
      <c r="G6" s="72"/>
      <c r="H6" s="72"/>
    </row>
    <row r="7" spans="1:8" ht="15.75" x14ac:dyDescent="0.25">
      <c r="A7" s="241">
        <v>1</v>
      </c>
      <c r="B7" s="300" t="s">
        <v>343</v>
      </c>
      <c r="C7" s="44" t="str">
        <f t="shared" si="0"/>
        <v/>
      </c>
      <c r="D7" s="44" t="str">
        <f t="shared" si="1"/>
        <v/>
      </c>
      <c r="E7" s="41"/>
      <c r="F7" s="41"/>
      <c r="G7" s="41"/>
      <c r="H7" s="41"/>
    </row>
    <row r="8" spans="1:8" ht="15.75" x14ac:dyDescent="0.25">
      <c r="A8" s="241">
        <v>2</v>
      </c>
      <c r="B8" s="300" t="s">
        <v>344</v>
      </c>
      <c r="C8" s="44" t="str">
        <f t="shared" si="0"/>
        <v/>
      </c>
      <c r="D8" s="44" t="str">
        <f t="shared" si="1"/>
        <v/>
      </c>
      <c r="E8" s="41"/>
      <c r="F8" s="41"/>
      <c r="G8" s="41"/>
      <c r="H8" s="41"/>
    </row>
    <row r="9" spans="1:8" ht="25.5" x14ac:dyDescent="0.25">
      <c r="A9" s="241">
        <v>3</v>
      </c>
      <c r="B9" s="300" t="s">
        <v>386</v>
      </c>
      <c r="C9" s="44" t="str">
        <f t="shared" si="0"/>
        <v/>
      </c>
      <c r="D9" s="44" t="str">
        <f t="shared" si="1"/>
        <v/>
      </c>
      <c r="E9" s="41"/>
      <c r="F9" s="41"/>
      <c r="G9" s="41"/>
      <c r="H9" s="41"/>
    </row>
    <row r="10" spans="1:8" ht="15.75" x14ac:dyDescent="0.25">
      <c r="A10" s="241">
        <v>4</v>
      </c>
      <c r="B10" s="300" t="s">
        <v>345</v>
      </c>
      <c r="C10" s="44" t="str">
        <f t="shared" si="0"/>
        <v/>
      </c>
      <c r="D10" s="44" t="str">
        <f t="shared" si="1"/>
        <v/>
      </c>
      <c r="E10" s="41"/>
      <c r="F10" s="41"/>
      <c r="G10" s="41"/>
      <c r="H10" s="41"/>
    </row>
    <row r="11" spans="1:8" ht="15.75" x14ac:dyDescent="0.25">
      <c r="A11" s="241">
        <v>5</v>
      </c>
      <c r="B11" s="300" t="s">
        <v>346</v>
      </c>
      <c r="C11" s="44" t="str">
        <f t="shared" si="0"/>
        <v/>
      </c>
      <c r="D11" s="44" t="str">
        <f t="shared" si="1"/>
        <v/>
      </c>
      <c r="E11" s="41"/>
      <c r="F11" s="41"/>
      <c r="G11" s="41"/>
      <c r="H11" s="41"/>
    </row>
    <row r="12" spans="1:8" ht="15.75" x14ac:dyDescent="0.25">
      <c r="A12" s="241">
        <v>6</v>
      </c>
      <c r="B12" s="300" t="s">
        <v>347</v>
      </c>
      <c r="C12" s="44" t="str">
        <f t="shared" si="0"/>
        <v/>
      </c>
      <c r="D12" s="44" t="str">
        <f t="shared" si="1"/>
        <v/>
      </c>
      <c r="E12" s="41"/>
      <c r="F12" s="41"/>
      <c r="G12" s="41"/>
      <c r="H12" s="41"/>
    </row>
    <row r="13" spans="1:8" ht="15.75" x14ac:dyDescent="0.25">
      <c r="A13" s="241">
        <v>7</v>
      </c>
      <c r="B13" s="300" t="s">
        <v>348</v>
      </c>
      <c r="C13" s="44" t="str">
        <f t="shared" si="0"/>
        <v/>
      </c>
      <c r="D13" s="44" t="str">
        <f t="shared" si="1"/>
        <v/>
      </c>
      <c r="E13" s="41"/>
      <c r="F13" s="41"/>
      <c r="G13" s="41"/>
      <c r="H13" s="41"/>
    </row>
    <row r="14" spans="1:8" ht="15.75" x14ac:dyDescent="0.25">
      <c r="A14" s="241">
        <v>8</v>
      </c>
      <c r="B14" s="300" t="s">
        <v>349</v>
      </c>
      <c r="C14" s="44" t="str">
        <f t="shared" si="0"/>
        <v/>
      </c>
      <c r="D14" s="44" t="str">
        <f t="shared" si="1"/>
        <v/>
      </c>
      <c r="E14" s="41"/>
      <c r="F14" s="41"/>
      <c r="G14" s="41"/>
      <c r="H14" s="41"/>
    </row>
    <row r="15" spans="1:8" ht="13.5" customHeight="1" x14ac:dyDescent="0.25">
      <c r="A15" s="241">
        <v>9</v>
      </c>
      <c r="B15" s="301" t="s">
        <v>350</v>
      </c>
      <c r="C15" s="71" t="str">
        <f t="shared" si="0"/>
        <v/>
      </c>
      <c r="D15" s="71" t="str">
        <f t="shared" si="1"/>
        <v/>
      </c>
      <c r="E15" s="41"/>
      <c r="F15" s="41"/>
      <c r="G15" s="41"/>
      <c r="H15" s="41"/>
    </row>
    <row r="16" spans="1:8" ht="13.5" customHeight="1" x14ac:dyDescent="0.25">
      <c r="A16" s="242"/>
      <c r="B16" s="239" t="s">
        <v>93</v>
      </c>
      <c r="C16" s="44" t="str">
        <f t="shared" si="0"/>
        <v/>
      </c>
      <c r="D16" s="44" t="str">
        <f t="shared" si="1"/>
        <v/>
      </c>
      <c r="E16" s="72"/>
      <c r="F16" s="72"/>
      <c r="G16" s="72"/>
      <c r="H16" s="72"/>
    </row>
    <row r="17" spans="1:8" ht="13.5" customHeight="1" x14ac:dyDescent="0.25">
      <c r="A17" s="243">
        <v>10</v>
      </c>
      <c r="B17" s="302" t="s">
        <v>387</v>
      </c>
      <c r="C17" s="44" t="str">
        <f t="shared" si="0"/>
        <v/>
      </c>
      <c r="D17" s="44" t="str">
        <f t="shared" si="1"/>
        <v/>
      </c>
      <c r="E17" s="41"/>
      <c r="F17" s="41"/>
      <c r="G17" s="41"/>
      <c r="H17" s="41"/>
    </row>
    <row r="18" spans="1:8" ht="15.75" x14ac:dyDescent="0.25">
      <c r="A18" s="243">
        <v>11</v>
      </c>
      <c r="B18" s="303" t="s">
        <v>388</v>
      </c>
      <c r="C18" s="44" t="str">
        <f t="shared" si="0"/>
        <v/>
      </c>
      <c r="D18" s="44" t="str">
        <f t="shared" si="1"/>
        <v/>
      </c>
      <c r="E18" s="41"/>
      <c r="F18" s="41"/>
      <c r="G18" s="41"/>
      <c r="H18" s="41"/>
    </row>
    <row r="19" spans="1:8" ht="27" thickBot="1" x14ac:dyDescent="0.3">
      <c r="A19" s="244">
        <v>12</v>
      </c>
      <c r="B19" s="304" t="s">
        <v>389</v>
      </c>
      <c r="C19" s="71" t="str">
        <f t="shared" si="0"/>
        <v/>
      </c>
      <c r="D19" s="71" t="str">
        <f t="shared" si="1"/>
        <v/>
      </c>
      <c r="E19" s="41"/>
      <c r="F19" s="41"/>
      <c r="G19" s="41"/>
      <c r="H19" s="41"/>
    </row>
    <row r="20" spans="1:8" ht="15.75" x14ac:dyDescent="0.25">
      <c r="C20" s="46" t="str">
        <f t="shared" si="0"/>
        <v/>
      </c>
      <c r="D20" s="46" t="str">
        <f t="shared" si="1"/>
        <v/>
      </c>
    </row>
    <row r="21" spans="1:8" ht="15.75" x14ac:dyDescent="0.25">
      <c r="C21" s="46" t="str">
        <f t="shared" si="0"/>
        <v/>
      </c>
      <c r="D21" s="46" t="str">
        <f t="shared" si="1"/>
        <v/>
      </c>
    </row>
    <row r="22" spans="1:8" ht="15.75" x14ac:dyDescent="0.25">
      <c r="C22" s="46" t="str">
        <f t="shared" si="0"/>
        <v/>
      </c>
      <c r="D22" s="46" t="str">
        <f t="shared" si="1"/>
        <v/>
      </c>
    </row>
    <row r="23" spans="1:8" ht="15.75" x14ac:dyDescent="0.25">
      <c r="C23" s="46" t="str">
        <f t="shared" si="0"/>
        <v/>
      </c>
      <c r="D23" s="46" t="str">
        <f t="shared" si="1"/>
        <v/>
      </c>
    </row>
    <row r="24" spans="1:8" ht="15.75" x14ac:dyDescent="0.25">
      <c r="C24" s="46" t="str">
        <f t="shared" si="0"/>
        <v/>
      </c>
      <c r="D24" s="46" t="str">
        <f t="shared" si="1"/>
        <v/>
      </c>
    </row>
    <row r="25" spans="1:8" ht="15.75" x14ac:dyDescent="0.25">
      <c r="C25" s="46" t="str">
        <f t="shared" si="0"/>
        <v/>
      </c>
      <c r="D25" s="46" t="str">
        <f t="shared" si="1"/>
        <v/>
      </c>
    </row>
    <row r="26" spans="1:8" ht="15.75" x14ac:dyDescent="0.25">
      <c r="C26" s="46" t="str">
        <f t="shared" si="0"/>
        <v/>
      </c>
      <c r="D26" s="46" t="str">
        <f t="shared" si="1"/>
        <v/>
      </c>
    </row>
    <row r="27" spans="1:8" ht="15.75" x14ac:dyDescent="0.25">
      <c r="C27" s="46" t="str">
        <f t="shared" si="0"/>
        <v/>
      </c>
      <c r="D27" s="46" t="str">
        <f t="shared" si="1"/>
        <v/>
      </c>
    </row>
    <row r="28" spans="1:8" ht="15.75" x14ac:dyDescent="0.25">
      <c r="C28" s="46" t="str">
        <f t="shared" si="0"/>
        <v/>
      </c>
      <c r="D28" s="46" t="str">
        <f t="shared" si="1"/>
        <v/>
      </c>
    </row>
    <row r="29" spans="1:8" ht="15.75" x14ac:dyDescent="0.25">
      <c r="C29" s="46" t="str">
        <f t="shared" si="0"/>
        <v/>
      </c>
      <c r="D29" s="46" t="str">
        <f t="shared" si="1"/>
        <v/>
      </c>
    </row>
    <row r="30" spans="1:8" ht="15.75" x14ac:dyDescent="0.25">
      <c r="C30" s="46" t="str">
        <f t="shared" si="0"/>
        <v/>
      </c>
      <c r="D30" s="46" t="str">
        <f t="shared" si="1"/>
        <v/>
      </c>
    </row>
    <row r="31" spans="1:8" ht="15.75" x14ac:dyDescent="0.25">
      <c r="C31" s="46" t="str">
        <f t="shared" si="0"/>
        <v/>
      </c>
      <c r="D31" s="46" t="str">
        <f t="shared" si="1"/>
        <v/>
      </c>
    </row>
    <row r="32" spans="1:8" ht="15.75" x14ac:dyDescent="0.25">
      <c r="C32" s="46" t="str">
        <f t="shared" si="0"/>
        <v/>
      </c>
      <c r="D32" s="46" t="str">
        <f t="shared" si="1"/>
        <v/>
      </c>
    </row>
    <row r="33" spans="3:4" ht="15.75" x14ac:dyDescent="0.25">
      <c r="C33" s="46" t="str">
        <f t="shared" si="0"/>
        <v/>
      </c>
      <c r="D33" s="46" t="str">
        <f t="shared" si="1"/>
        <v/>
      </c>
    </row>
    <row r="34" spans="3:4" ht="15.75" x14ac:dyDescent="0.25">
      <c r="C34" s="46" t="str">
        <f t="shared" si="0"/>
        <v/>
      </c>
      <c r="D34" s="46" t="str">
        <f t="shared" si="1"/>
        <v/>
      </c>
    </row>
    <row r="35" spans="3:4" ht="15.75" x14ac:dyDescent="0.25">
      <c r="C35" s="46" t="str">
        <f t="shared" si="0"/>
        <v/>
      </c>
      <c r="D35" s="46" t="str">
        <f t="shared" si="1"/>
        <v/>
      </c>
    </row>
    <row r="36" spans="3:4" ht="15.75" x14ac:dyDescent="0.25">
      <c r="C36" s="46" t="str">
        <f t="shared" si="0"/>
        <v/>
      </c>
      <c r="D36" s="46" t="str">
        <f t="shared" si="1"/>
        <v/>
      </c>
    </row>
    <row r="37" spans="3:4" ht="15.75" x14ac:dyDescent="0.25">
      <c r="C37" s="46" t="str">
        <f t="shared" si="0"/>
        <v/>
      </c>
      <c r="D37" s="46" t="str">
        <f t="shared" si="1"/>
        <v/>
      </c>
    </row>
    <row r="38" spans="3:4" ht="15.75" x14ac:dyDescent="0.25">
      <c r="C38" s="46" t="str">
        <f t="shared" si="0"/>
        <v/>
      </c>
      <c r="D38" s="46" t="str">
        <f t="shared" si="1"/>
        <v/>
      </c>
    </row>
    <row r="39" spans="3:4" ht="15.75" x14ac:dyDescent="0.25">
      <c r="C39" s="46" t="str">
        <f t="shared" si="0"/>
        <v/>
      </c>
      <c r="D39" s="46" t="str">
        <f t="shared" si="1"/>
        <v/>
      </c>
    </row>
    <row r="40" spans="3:4" ht="15.75" x14ac:dyDescent="0.25">
      <c r="C40" s="46" t="str">
        <f t="shared" si="0"/>
        <v/>
      </c>
      <c r="D40" s="46" t="str">
        <f t="shared" si="1"/>
        <v/>
      </c>
    </row>
    <row r="41" spans="3:4" ht="15.75" x14ac:dyDescent="0.25">
      <c r="C41" s="46" t="str">
        <f t="shared" si="0"/>
        <v/>
      </c>
      <c r="D41" s="46" t="str">
        <f t="shared" si="1"/>
        <v/>
      </c>
    </row>
    <row r="42" spans="3:4" ht="15.75" x14ac:dyDescent="0.25">
      <c r="C42" s="46" t="str">
        <f t="shared" si="0"/>
        <v/>
      </c>
      <c r="D42" s="46" t="str">
        <f t="shared" si="1"/>
        <v/>
      </c>
    </row>
    <row r="43" spans="3:4" ht="15.75" x14ac:dyDescent="0.25">
      <c r="C43" s="46" t="str">
        <f t="shared" si="0"/>
        <v/>
      </c>
      <c r="D43" s="46" t="str">
        <f t="shared" si="1"/>
        <v/>
      </c>
    </row>
    <row r="44" spans="3:4" ht="15.75" x14ac:dyDescent="0.25">
      <c r="C44" s="46" t="str">
        <f t="shared" si="0"/>
        <v/>
      </c>
      <c r="D44" s="46" t="str">
        <f t="shared" si="1"/>
        <v/>
      </c>
    </row>
    <row r="45" spans="3:4" ht="15.75" x14ac:dyDescent="0.25">
      <c r="C45" s="46" t="str">
        <f t="shared" si="0"/>
        <v/>
      </c>
      <c r="D45" s="46" t="str">
        <f t="shared" si="1"/>
        <v/>
      </c>
    </row>
    <row r="46" spans="3:4" ht="15.75" x14ac:dyDescent="0.25">
      <c r="C46" s="46" t="str">
        <f t="shared" si="0"/>
        <v/>
      </c>
      <c r="D46" s="46" t="str">
        <f t="shared" si="1"/>
        <v/>
      </c>
    </row>
    <row r="47" spans="3:4" ht="15.75" x14ac:dyDescent="0.25">
      <c r="C47" s="46" t="str">
        <f t="shared" si="0"/>
        <v/>
      </c>
      <c r="D47" s="46" t="str">
        <f t="shared" si="1"/>
        <v/>
      </c>
    </row>
    <row r="48" spans="3:4" ht="15.75" x14ac:dyDescent="0.25">
      <c r="C48" s="46" t="str">
        <f t="shared" si="0"/>
        <v/>
      </c>
      <c r="D48" s="46" t="str">
        <f t="shared" si="1"/>
        <v/>
      </c>
    </row>
    <row r="49" spans="3:4" ht="15.75" x14ac:dyDescent="0.25">
      <c r="C49" s="46" t="str">
        <f t="shared" si="0"/>
        <v/>
      </c>
      <c r="D49" s="46" t="str">
        <f t="shared" si="1"/>
        <v/>
      </c>
    </row>
    <row r="50" spans="3:4" ht="15.75" x14ac:dyDescent="0.25">
      <c r="C50" s="46" t="str">
        <f t="shared" si="0"/>
        <v/>
      </c>
      <c r="D50" s="46" t="str">
        <f t="shared" si="1"/>
        <v/>
      </c>
    </row>
    <row r="51" spans="3:4" ht="15.75" x14ac:dyDescent="0.25">
      <c r="C51" s="46" t="str">
        <f t="shared" si="0"/>
        <v/>
      </c>
      <c r="D51" s="46" t="str">
        <f t="shared" si="1"/>
        <v/>
      </c>
    </row>
    <row r="52" spans="3:4" ht="15.75" x14ac:dyDescent="0.25">
      <c r="C52" s="46" t="str">
        <f t="shared" si="0"/>
        <v/>
      </c>
      <c r="D52" s="46" t="str">
        <f t="shared" si="1"/>
        <v/>
      </c>
    </row>
    <row r="53" spans="3:4" ht="15.75" x14ac:dyDescent="0.25">
      <c r="C53" s="46" t="str">
        <f t="shared" si="0"/>
        <v/>
      </c>
      <c r="D53" s="46" t="str">
        <f t="shared" si="1"/>
        <v/>
      </c>
    </row>
    <row r="54" spans="3:4" ht="15.75" x14ac:dyDescent="0.25">
      <c r="C54" s="46" t="str">
        <f t="shared" si="0"/>
        <v/>
      </c>
      <c r="D54" s="46" t="str">
        <f t="shared" si="1"/>
        <v/>
      </c>
    </row>
    <row r="55" spans="3:4" ht="15.75" x14ac:dyDescent="0.25">
      <c r="C55" s="46" t="str">
        <f t="shared" si="0"/>
        <v/>
      </c>
      <c r="D55" s="46" t="str">
        <f t="shared" si="1"/>
        <v/>
      </c>
    </row>
    <row r="56" spans="3:4" ht="15.75" x14ac:dyDescent="0.25">
      <c r="C56" s="46" t="str">
        <f t="shared" si="0"/>
        <v/>
      </c>
      <c r="D56" s="46" t="str">
        <f t="shared" si="1"/>
        <v/>
      </c>
    </row>
    <row r="57" spans="3:4" ht="15.75" x14ac:dyDescent="0.25">
      <c r="C57" s="46" t="str">
        <f t="shared" si="0"/>
        <v/>
      </c>
      <c r="D57" s="46" t="str">
        <f t="shared" si="1"/>
        <v/>
      </c>
    </row>
    <row r="58" spans="3:4" ht="15.75" x14ac:dyDescent="0.25">
      <c r="C58" s="46" t="str">
        <f t="shared" si="0"/>
        <v/>
      </c>
      <c r="D58" s="46" t="str">
        <f t="shared" si="1"/>
        <v/>
      </c>
    </row>
    <row r="59" spans="3:4" ht="15.75" x14ac:dyDescent="0.25">
      <c r="C59" s="46" t="str">
        <f t="shared" ref="C59:C122" si="2">IF(COUNTIF(E59:BA59,"YES")=0,"",COUNTIF(E59:BA59,"YES"))</f>
        <v/>
      </c>
      <c r="D59" s="46" t="str">
        <f t="shared" ref="D59:D122" si="3">IF(COUNTIF(E59:BA59,"NO")=0,"",COUNTIF(E59:BA59,"NO"))</f>
        <v/>
      </c>
    </row>
    <row r="60" spans="3:4" ht="15.75" x14ac:dyDescent="0.25">
      <c r="C60" s="46" t="str">
        <f t="shared" si="2"/>
        <v/>
      </c>
      <c r="D60" s="46" t="str">
        <f t="shared" si="3"/>
        <v/>
      </c>
    </row>
    <row r="61" spans="3:4" ht="15.75" x14ac:dyDescent="0.25">
      <c r="C61" s="46" t="str">
        <f t="shared" si="2"/>
        <v/>
      </c>
      <c r="D61" s="46" t="str">
        <f t="shared" si="3"/>
        <v/>
      </c>
    </row>
    <row r="62" spans="3:4" ht="15.75" x14ac:dyDescent="0.25">
      <c r="C62" s="46" t="str">
        <f t="shared" si="2"/>
        <v/>
      </c>
      <c r="D62" s="46" t="str">
        <f t="shared" si="3"/>
        <v/>
      </c>
    </row>
    <row r="63" spans="3:4" ht="15.75" x14ac:dyDescent="0.25">
      <c r="C63" s="46" t="str">
        <f t="shared" si="2"/>
        <v/>
      </c>
      <c r="D63" s="46" t="str">
        <f t="shared" si="3"/>
        <v/>
      </c>
    </row>
    <row r="64" spans="3:4" ht="15.75" x14ac:dyDescent="0.25">
      <c r="C64" s="46" t="str">
        <f t="shared" si="2"/>
        <v/>
      </c>
      <c r="D64" s="46" t="str">
        <f t="shared" si="3"/>
        <v/>
      </c>
    </row>
    <row r="65" spans="3:4" ht="15.75" x14ac:dyDescent="0.25">
      <c r="C65" s="46" t="str">
        <f t="shared" si="2"/>
        <v/>
      </c>
      <c r="D65" s="46" t="str">
        <f t="shared" si="3"/>
        <v/>
      </c>
    </row>
    <row r="66" spans="3:4" ht="15.75" x14ac:dyDescent="0.25">
      <c r="C66" s="46" t="str">
        <f t="shared" si="2"/>
        <v/>
      </c>
      <c r="D66" s="46" t="str">
        <f t="shared" si="3"/>
        <v/>
      </c>
    </row>
    <row r="67" spans="3:4" ht="15.75" x14ac:dyDescent="0.25">
      <c r="C67" s="46" t="str">
        <f t="shared" si="2"/>
        <v/>
      </c>
      <c r="D67" s="46" t="str">
        <f t="shared" si="3"/>
        <v/>
      </c>
    </row>
    <row r="68" spans="3:4" ht="15.75" x14ac:dyDescent="0.25">
      <c r="C68" s="46" t="str">
        <f t="shared" si="2"/>
        <v/>
      </c>
      <c r="D68" s="46" t="str">
        <f t="shared" si="3"/>
        <v/>
      </c>
    </row>
    <row r="69" spans="3:4" ht="15.75" x14ac:dyDescent="0.25">
      <c r="C69" s="46" t="str">
        <f t="shared" si="2"/>
        <v/>
      </c>
      <c r="D69" s="46" t="str">
        <f t="shared" si="3"/>
        <v/>
      </c>
    </row>
    <row r="70" spans="3:4" ht="15.75" x14ac:dyDescent="0.25">
      <c r="C70" s="46" t="str">
        <f t="shared" si="2"/>
        <v/>
      </c>
      <c r="D70" s="46" t="str">
        <f t="shared" si="3"/>
        <v/>
      </c>
    </row>
    <row r="71" spans="3:4" ht="15.75" x14ac:dyDescent="0.25">
      <c r="C71" s="46" t="str">
        <f t="shared" si="2"/>
        <v/>
      </c>
      <c r="D71" s="46" t="str">
        <f t="shared" si="3"/>
        <v/>
      </c>
    </row>
    <row r="72" spans="3:4" ht="15.75" x14ac:dyDescent="0.25">
      <c r="C72" s="46" t="str">
        <f t="shared" si="2"/>
        <v/>
      </c>
      <c r="D72" s="46" t="str">
        <f t="shared" si="3"/>
        <v/>
      </c>
    </row>
    <row r="73" spans="3:4" ht="15.75" x14ac:dyDescent="0.25">
      <c r="C73" s="46" t="str">
        <f t="shared" si="2"/>
        <v/>
      </c>
      <c r="D73" s="46" t="str">
        <f t="shared" si="3"/>
        <v/>
      </c>
    </row>
    <row r="74" spans="3:4" ht="15.75" x14ac:dyDescent="0.25">
      <c r="C74" s="46" t="str">
        <f t="shared" si="2"/>
        <v/>
      </c>
      <c r="D74" s="46" t="str">
        <f t="shared" si="3"/>
        <v/>
      </c>
    </row>
    <row r="75" spans="3:4" ht="15.75" x14ac:dyDescent="0.25">
      <c r="C75" s="46" t="str">
        <f t="shared" si="2"/>
        <v/>
      </c>
      <c r="D75" s="46" t="str">
        <f t="shared" si="3"/>
        <v/>
      </c>
    </row>
    <row r="76" spans="3:4" ht="15.75" x14ac:dyDescent="0.25">
      <c r="C76" s="46" t="str">
        <f t="shared" si="2"/>
        <v/>
      </c>
      <c r="D76" s="46" t="str">
        <f t="shared" si="3"/>
        <v/>
      </c>
    </row>
    <row r="77" spans="3:4" ht="15.75" x14ac:dyDescent="0.25">
      <c r="C77" s="46" t="str">
        <f t="shared" si="2"/>
        <v/>
      </c>
      <c r="D77" s="46" t="str">
        <f t="shared" si="3"/>
        <v/>
      </c>
    </row>
    <row r="78" spans="3:4" ht="15.75" x14ac:dyDescent="0.25">
      <c r="C78" s="46" t="str">
        <f t="shared" si="2"/>
        <v/>
      </c>
      <c r="D78" s="46" t="str">
        <f t="shared" si="3"/>
        <v/>
      </c>
    </row>
    <row r="79" spans="3:4" ht="15.75" x14ac:dyDescent="0.25">
      <c r="C79" s="46" t="str">
        <f t="shared" si="2"/>
        <v/>
      </c>
      <c r="D79" s="46" t="str">
        <f t="shared" si="3"/>
        <v/>
      </c>
    </row>
    <row r="80" spans="3:4" ht="15.75" x14ac:dyDescent="0.25">
      <c r="C80" s="46" t="str">
        <f t="shared" si="2"/>
        <v/>
      </c>
      <c r="D80" s="46" t="str">
        <f t="shared" si="3"/>
        <v/>
      </c>
    </row>
    <row r="81" spans="3:4" ht="15.75" x14ac:dyDescent="0.25">
      <c r="C81" s="46" t="str">
        <f t="shared" si="2"/>
        <v/>
      </c>
      <c r="D81" s="46" t="str">
        <f t="shared" si="3"/>
        <v/>
      </c>
    </row>
    <row r="82" spans="3:4" ht="15.75" x14ac:dyDescent="0.25">
      <c r="C82" s="46" t="str">
        <f t="shared" si="2"/>
        <v/>
      </c>
      <c r="D82" s="46" t="str">
        <f t="shared" si="3"/>
        <v/>
      </c>
    </row>
    <row r="83" spans="3:4" ht="15.75" x14ac:dyDescent="0.25">
      <c r="C83" s="46" t="str">
        <f t="shared" si="2"/>
        <v/>
      </c>
      <c r="D83" s="46" t="str">
        <f t="shared" si="3"/>
        <v/>
      </c>
    </row>
    <row r="84" spans="3:4" ht="15.75" x14ac:dyDescent="0.25">
      <c r="C84" s="46" t="str">
        <f t="shared" si="2"/>
        <v/>
      </c>
      <c r="D84" s="46" t="str">
        <f t="shared" si="3"/>
        <v/>
      </c>
    </row>
    <row r="85" spans="3:4" ht="15.75" x14ac:dyDescent="0.25">
      <c r="C85" s="46" t="str">
        <f t="shared" si="2"/>
        <v/>
      </c>
      <c r="D85" s="46" t="str">
        <f t="shared" si="3"/>
        <v/>
      </c>
    </row>
    <row r="86" spans="3:4" ht="15.75" x14ac:dyDescent="0.25">
      <c r="C86" s="46" t="str">
        <f t="shared" si="2"/>
        <v/>
      </c>
      <c r="D86" s="46" t="str">
        <f t="shared" si="3"/>
        <v/>
      </c>
    </row>
    <row r="87" spans="3:4" ht="15.75" x14ac:dyDescent="0.25">
      <c r="C87" s="46" t="str">
        <f t="shared" si="2"/>
        <v/>
      </c>
      <c r="D87" s="46" t="str">
        <f t="shared" si="3"/>
        <v/>
      </c>
    </row>
    <row r="88" spans="3:4" ht="15.75" x14ac:dyDescent="0.25">
      <c r="C88" s="46" t="str">
        <f t="shared" si="2"/>
        <v/>
      </c>
      <c r="D88" s="46" t="str">
        <f t="shared" si="3"/>
        <v/>
      </c>
    </row>
    <row r="89" spans="3:4" ht="15.75" x14ac:dyDescent="0.25">
      <c r="C89" s="46" t="str">
        <f t="shared" si="2"/>
        <v/>
      </c>
      <c r="D89" s="46" t="str">
        <f t="shared" si="3"/>
        <v/>
      </c>
    </row>
    <row r="90" spans="3:4" ht="15.75" x14ac:dyDescent="0.25">
      <c r="C90" s="46" t="str">
        <f t="shared" si="2"/>
        <v/>
      </c>
      <c r="D90" s="46" t="str">
        <f t="shared" si="3"/>
        <v/>
      </c>
    </row>
    <row r="91" spans="3:4" ht="15.75" x14ac:dyDescent="0.25">
      <c r="C91" s="46" t="str">
        <f t="shared" si="2"/>
        <v/>
      </c>
      <c r="D91" s="46" t="str">
        <f t="shared" si="3"/>
        <v/>
      </c>
    </row>
    <row r="92" spans="3:4" ht="15.75" x14ac:dyDescent="0.25">
      <c r="C92" s="46" t="str">
        <f t="shared" si="2"/>
        <v/>
      </c>
      <c r="D92" s="46" t="str">
        <f t="shared" si="3"/>
        <v/>
      </c>
    </row>
    <row r="93" spans="3:4" ht="15.75" x14ac:dyDescent="0.25">
      <c r="C93" s="46" t="str">
        <f t="shared" si="2"/>
        <v/>
      </c>
      <c r="D93" s="46" t="str">
        <f t="shared" si="3"/>
        <v/>
      </c>
    </row>
    <row r="94" spans="3:4" ht="15.75" x14ac:dyDescent="0.25">
      <c r="C94" s="46" t="str">
        <f t="shared" si="2"/>
        <v/>
      </c>
      <c r="D94" s="46" t="str">
        <f t="shared" si="3"/>
        <v/>
      </c>
    </row>
    <row r="95" spans="3:4" ht="15.75" x14ac:dyDescent="0.25">
      <c r="C95" s="46" t="str">
        <f t="shared" si="2"/>
        <v/>
      </c>
      <c r="D95" s="46" t="str">
        <f t="shared" si="3"/>
        <v/>
      </c>
    </row>
    <row r="96" spans="3:4" ht="15.75" x14ac:dyDescent="0.25">
      <c r="C96" s="46" t="str">
        <f t="shared" si="2"/>
        <v/>
      </c>
      <c r="D96" s="46" t="str">
        <f t="shared" si="3"/>
        <v/>
      </c>
    </row>
    <row r="97" spans="3:4" ht="15.75" x14ac:dyDescent="0.25">
      <c r="C97" s="46" t="str">
        <f t="shared" si="2"/>
        <v/>
      </c>
      <c r="D97" s="46" t="str">
        <f t="shared" si="3"/>
        <v/>
      </c>
    </row>
    <row r="98" spans="3:4" ht="15.75" x14ac:dyDescent="0.25">
      <c r="C98" s="46" t="str">
        <f t="shared" si="2"/>
        <v/>
      </c>
      <c r="D98" s="46" t="str">
        <f t="shared" si="3"/>
        <v/>
      </c>
    </row>
    <row r="99" spans="3:4" ht="15.75" x14ac:dyDescent="0.25">
      <c r="C99" s="46" t="str">
        <f t="shared" si="2"/>
        <v/>
      </c>
      <c r="D99" s="46" t="str">
        <f t="shared" si="3"/>
        <v/>
      </c>
    </row>
    <row r="100" spans="3:4" ht="15.75" x14ac:dyDescent="0.25">
      <c r="C100" s="46" t="str">
        <f t="shared" si="2"/>
        <v/>
      </c>
      <c r="D100" s="46" t="str">
        <f t="shared" si="3"/>
        <v/>
      </c>
    </row>
    <row r="101" spans="3:4" ht="15.75" x14ac:dyDescent="0.25">
      <c r="C101" s="46" t="str">
        <f t="shared" si="2"/>
        <v/>
      </c>
      <c r="D101" s="46" t="str">
        <f t="shared" si="3"/>
        <v/>
      </c>
    </row>
    <row r="102" spans="3:4" ht="15.75" x14ac:dyDescent="0.25">
      <c r="C102" s="46" t="str">
        <f t="shared" si="2"/>
        <v/>
      </c>
      <c r="D102" s="46" t="str">
        <f t="shared" si="3"/>
        <v/>
      </c>
    </row>
    <row r="103" spans="3:4" ht="15.75" x14ac:dyDescent="0.25">
      <c r="C103" s="46" t="str">
        <f t="shared" si="2"/>
        <v/>
      </c>
      <c r="D103" s="46" t="str">
        <f t="shared" si="3"/>
        <v/>
      </c>
    </row>
    <row r="104" spans="3:4" ht="15.75" x14ac:dyDescent="0.25">
      <c r="C104" s="46" t="str">
        <f t="shared" si="2"/>
        <v/>
      </c>
      <c r="D104" s="46" t="str">
        <f t="shared" si="3"/>
        <v/>
      </c>
    </row>
    <row r="105" spans="3:4" ht="15.75" x14ac:dyDescent="0.25">
      <c r="C105" s="46" t="str">
        <f t="shared" si="2"/>
        <v/>
      </c>
      <c r="D105" s="46" t="str">
        <f t="shared" si="3"/>
        <v/>
      </c>
    </row>
    <row r="106" spans="3:4" ht="15.75" x14ac:dyDescent="0.25">
      <c r="C106" s="46" t="str">
        <f t="shared" si="2"/>
        <v/>
      </c>
      <c r="D106" s="46" t="str">
        <f t="shared" si="3"/>
        <v/>
      </c>
    </row>
    <row r="107" spans="3:4" ht="15.75" x14ac:dyDescent="0.25">
      <c r="C107" s="46" t="str">
        <f t="shared" si="2"/>
        <v/>
      </c>
      <c r="D107" s="46" t="str">
        <f t="shared" si="3"/>
        <v/>
      </c>
    </row>
    <row r="108" spans="3:4" ht="15.75" x14ac:dyDescent="0.25">
      <c r="C108" s="46" t="str">
        <f t="shared" si="2"/>
        <v/>
      </c>
      <c r="D108" s="46" t="str">
        <f t="shared" si="3"/>
        <v/>
      </c>
    </row>
    <row r="109" spans="3:4" ht="15.75" x14ac:dyDescent="0.25">
      <c r="C109" s="46" t="str">
        <f t="shared" si="2"/>
        <v/>
      </c>
      <c r="D109" s="46" t="str">
        <f t="shared" si="3"/>
        <v/>
      </c>
    </row>
    <row r="110" spans="3:4" ht="15.75" x14ac:dyDescent="0.25">
      <c r="C110" s="46" t="str">
        <f t="shared" si="2"/>
        <v/>
      </c>
      <c r="D110" s="46" t="str">
        <f t="shared" si="3"/>
        <v/>
      </c>
    </row>
    <row r="111" spans="3:4" ht="15.75" x14ac:dyDescent="0.25">
      <c r="C111" s="46" t="str">
        <f t="shared" si="2"/>
        <v/>
      </c>
      <c r="D111" s="46" t="str">
        <f t="shared" si="3"/>
        <v/>
      </c>
    </row>
    <row r="112" spans="3:4" ht="15.75" x14ac:dyDescent="0.25">
      <c r="C112" s="46" t="str">
        <f t="shared" si="2"/>
        <v/>
      </c>
      <c r="D112" s="46" t="str">
        <f t="shared" si="3"/>
        <v/>
      </c>
    </row>
    <row r="113" spans="3:4" ht="15.75" x14ac:dyDescent="0.25">
      <c r="C113" s="46" t="str">
        <f t="shared" si="2"/>
        <v/>
      </c>
      <c r="D113" s="46" t="str">
        <f t="shared" si="3"/>
        <v/>
      </c>
    </row>
    <row r="114" spans="3:4" ht="15.75" x14ac:dyDescent="0.25">
      <c r="C114" s="46" t="str">
        <f t="shared" si="2"/>
        <v/>
      </c>
      <c r="D114" s="46" t="str">
        <f t="shared" si="3"/>
        <v/>
      </c>
    </row>
    <row r="115" spans="3:4" ht="15.75" x14ac:dyDescent="0.25">
      <c r="C115" s="46" t="str">
        <f t="shared" si="2"/>
        <v/>
      </c>
      <c r="D115" s="46" t="str">
        <f t="shared" si="3"/>
        <v/>
      </c>
    </row>
    <row r="116" spans="3:4" ht="15.75" x14ac:dyDescent="0.25">
      <c r="C116" s="46" t="str">
        <f t="shared" si="2"/>
        <v/>
      </c>
      <c r="D116" s="46" t="str">
        <f t="shared" si="3"/>
        <v/>
      </c>
    </row>
    <row r="117" spans="3:4" ht="15.75" x14ac:dyDescent="0.25">
      <c r="C117" s="46" t="str">
        <f t="shared" si="2"/>
        <v/>
      </c>
      <c r="D117" s="46" t="str">
        <f t="shared" si="3"/>
        <v/>
      </c>
    </row>
    <row r="118" spans="3:4" ht="15.75" x14ac:dyDescent="0.25">
      <c r="C118" s="46" t="str">
        <f t="shared" si="2"/>
        <v/>
      </c>
      <c r="D118" s="46" t="str">
        <f t="shared" si="3"/>
        <v/>
      </c>
    </row>
    <row r="119" spans="3:4" ht="15.75" x14ac:dyDescent="0.25">
      <c r="C119" s="46" t="str">
        <f t="shared" si="2"/>
        <v/>
      </c>
      <c r="D119" s="46" t="str">
        <f t="shared" si="3"/>
        <v/>
      </c>
    </row>
    <row r="120" spans="3:4" ht="15.75" x14ac:dyDescent="0.25">
      <c r="C120" s="46" t="str">
        <f t="shared" si="2"/>
        <v/>
      </c>
      <c r="D120" s="46" t="str">
        <f t="shared" si="3"/>
        <v/>
      </c>
    </row>
    <row r="121" spans="3:4" ht="15.75" x14ac:dyDescent="0.25">
      <c r="C121" s="46" t="str">
        <f t="shared" si="2"/>
        <v/>
      </c>
      <c r="D121" s="46" t="str">
        <f t="shared" si="3"/>
        <v/>
      </c>
    </row>
    <row r="122" spans="3:4" ht="15.75" x14ac:dyDescent="0.25">
      <c r="C122" s="46" t="str">
        <f t="shared" si="2"/>
        <v/>
      </c>
      <c r="D122" s="46" t="str">
        <f t="shared" si="3"/>
        <v/>
      </c>
    </row>
    <row r="123" spans="3:4" ht="15.75" x14ac:dyDescent="0.25">
      <c r="C123" s="46" t="str">
        <f t="shared" ref="C123:C186" si="4">IF(COUNTIF(E123:BA123,"YES")=0,"",COUNTIF(E123:BA123,"YES"))</f>
        <v/>
      </c>
      <c r="D123" s="46" t="str">
        <f t="shared" ref="D123:D186" si="5">IF(COUNTIF(E123:BA123,"NO")=0,"",COUNTIF(E123:BA123,"NO"))</f>
        <v/>
      </c>
    </row>
    <row r="124" spans="3:4" ht="15.75" x14ac:dyDescent="0.25">
      <c r="C124" s="46" t="str">
        <f t="shared" si="4"/>
        <v/>
      </c>
      <c r="D124" s="46" t="str">
        <f t="shared" si="5"/>
        <v/>
      </c>
    </row>
    <row r="125" spans="3:4" ht="15.75" x14ac:dyDescent="0.25">
      <c r="C125" s="46" t="str">
        <f t="shared" si="4"/>
        <v/>
      </c>
      <c r="D125" s="46" t="str">
        <f t="shared" si="5"/>
        <v/>
      </c>
    </row>
    <row r="126" spans="3:4" ht="15.75" x14ac:dyDescent="0.25">
      <c r="C126" s="46" t="str">
        <f t="shared" si="4"/>
        <v/>
      </c>
      <c r="D126" s="46" t="str">
        <f t="shared" si="5"/>
        <v/>
      </c>
    </row>
    <row r="127" spans="3:4" ht="15.75" x14ac:dyDescent="0.25">
      <c r="C127" s="46" t="str">
        <f t="shared" si="4"/>
        <v/>
      </c>
      <c r="D127" s="46" t="str">
        <f t="shared" si="5"/>
        <v/>
      </c>
    </row>
    <row r="128" spans="3:4" ht="15.75" x14ac:dyDescent="0.25">
      <c r="C128" s="46" t="str">
        <f t="shared" si="4"/>
        <v/>
      </c>
      <c r="D128" s="46" t="str">
        <f t="shared" si="5"/>
        <v/>
      </c>
    </row>
    <row r="129" spans="3:4" ht="15.75" x14ac:dyDescent="0.25">
      <c r="C129" s="46" t="str">
        <f t="shared" si="4"/>
        <v/>
      </c>
      <c r="D129" s="46" t="str">
        <f t="shared" si="5"/>
        <v/>
      </c>
    </row>
    <row r="130" spans="3:4" ht="15.75" x14ac:dyDescent="0.25">
      <c r="C130" s="46" t="str">
        <f t="shared" si="4"/>
        <v/>
      </c>
      <c r="D130" s="46" t="str">
        <f t="shared" si="5"/>
        <v/>
      </c>
    </row>
    <row r="131" spans="3:4" ht="15.75" x14ac:dyDescent="0.25">
      <c r="C131" s="46" t="str">
        <f t="shared" si="4"/>
        <v/>
      </c>
      <c r="D131" s="46" t="str">
        <f t="shared" si="5"/>
        <v/>
      </c>
    </row>
    <row r="132" spans="3:4" ht="15.75" x14ac:dyDescent="0.25">
      <c r="C132" s="46" t="str">
        <f t="shared" si="4"/>
        <v/>
      </c>
      <c r="D132" s="46" t="str">
        <f t="shared" si="5"/>
        <v/>
      </c>
    </row>
    <row r="133" spans="3:4" ht="15.75" x14ac:dyDescent="0.25">
      <c r="C133" s="46" t="str">
        <f t="shared" si="4"/>
        <v/>
      </c>
      <c r="D133" s="46" t="str">
        <f t="shared" si="5"/>
        <v/>
      </c>
    </row>
    <row r="134" spans="3:4" ht="15.75" x14ac:dyDescent="0.25">
      <c r="C134" s="46" t="str">
        <f t="shared" si="4"/>
        <v/>
      </c>
      <c r="D134" s="46" t="str">
        <f t="shared" si="5"/>
        <v/>
      </c>
    </row>
    <row r="135" spans="3:4" ht="15.75" x14ac:dyDescent="0.25">
      <c r="C135" s="46" t="str">
        <f t="shared" si="4"/>
        <v/>
      </c>
      <c r="D135" s="46" t="str">
        <f t="shared" si="5"/>
        <v/>
      </c>
    </row>
    <row r="136" spans="3:4" ht="15.75" x14ac:dyDescent="0.25">
      <c r="C136" s="46" t="str">
        <f t="shared" si="4"/>
        <v/>
      </c>
      <c r="D136" s="46" t="str">
        <f t="shared" si="5"/>
        <v/>
      </c>
    </row>
    <row r="137" spans="3:4" ht="15.75" x14ac:dyDescent="0.25">
      <c r="C137" s="46" t="str">
        <f t="shared" si="4"/>
        <v/>
      </c>
      <c r="D137" s="46" t="str">
        <f t="shared" si="5"/>
        <v/>
      </c>
    </row>
    <row r="138" spans="3:4" ht="15.75" x14ac:dyDescent="0.25">
      <c r="C138" s="46" t="str">
        <f t="shared" si="4"/>
        <v/>
      </c>
      <c r="D138" s="46" t="str">
        <f t="shared" si="5"/>
        <v/>
      </c>
    </row>
    <row r="139" spans="3:4" ht="15.75" x14ac:dyDescent="0.25">
      <c r="C139" s="46" t="str">
        <f t="shared" si="4"/>
        <v/>
      </c>
      <c r="D139" s="46" t="str">
        <f t="shared" si="5"/>
        <v/>
      </c>
    </row>
    <row r="140" spans="3:4" ht="15.75" x14ac:dyDescent="0.25">
      <c r="C140" s="46" t="str">
        <f t="shared" si="4"/>
        <v/>
      </c>
      <c r="D140" s="46" t="str">
        <f t="shared" si="5"/>
        <v/>
      </c>
    </row>
    <row r="141" spans="3:4" ht="15.75" x14ac:dyDescent="0.25">
      <c r="C141" s="46" t="str">
        <f t="shared" si="4"/>
        <v/>
      </c>
      <c r="D141" s="46" t="str">
        <f t="shared" si="5"/>
        <v/>
      </c>
    </row>
    <row r="142" spans="3:4" ht="15.75" x14ac:dyDescent="0.25">
      <c r="C142" s="46" t="str">
        <f t="shared" si="4"/>
        <v/>
      </c>
      <c r="D142" s="46" t="str">
        <f t="shared" si="5"/>
        <v/>
      </c>
    </row>
    <row r="143" spans="3:4" ht="15.75" x14ac:dyDescent="0.25">
      <c r="C143" s="46" t="str">
        <f t="shared" si="4"/>
        <v/>
      </c>
      <c r="D143" s="46" t="str">
        <f t="shared" si="5"/>
        <v/>
      </c>
    </row>
    <row r="144" spans="3:4" ht="15.75" x14ac:dyDescent="0.25">
      <c r="C144" s="46" t="str">
        <f t="shared" si="4"/>
        <v/>
      </c>
      <c r="D144" s="46" t="str">
        <f t="shared" si="5"/>
        <v/>
      </c>
    </row>
    <row r="145" spans="3:4" ht="15.75" x14ac:dyDescent="0.25">
      <c r="C145" s="46" t="str">
        <f t="shared" si="4"/>
        <v/>
      </c>
      <c r="D145" s="46" t="str">
        <f t="shared" si="5"/>
        <v/>
      </c>
    </row>
    <row r="146" spans="3:4" ht="15.75" x14ac:dyDescent="0.25">
      <c r="C146" s="46" t="str">
        <f t="shared" si="4"/>
        <v/>
      </c>
      <c r="D146" s="46" t="str">
        <f t="shared" si="5"/>
        <v/>
      </c>
    </row>
    <row r="147" spans="3:4" ht="15.75" x14ac:dyDescent="0.25">
      <c r="C147" s="46" t="str">
        <f t="shared" si="4"/>
        <v/>
      </c>
      <c r="D147" s="46" t="str">
        <f t="shared" si="5"/>
        <v/>
      </c>
    </row>
    <row r="148" spans="3:4" ht="15.75" x14ac:dyDescent="0.25">
      <c r="C148" s="46" t="str">
        <f t="shared" si="4"/>
        <v/>
      </c>
      <c r="D148" s="46" t="str">
        <f t="shared" si="5"/>
        <v/>
      </c>
    </row>
    <row r="149" spans="3:4" ht="15.75" x14ac:dyDescent="0.25">
      <c r="C149" s="46" t="str">
        <f t="shared" si="4"/>
        <v/>
      </c>
      <c r="D149" s="46" t="str">
        <f t="shared" si="5"/>
        <v/>
      </c>
    </row>
    <row r="150" spans="3:4" ht="15.75" x14ac:dyDescent="0.25">
      <c r="C150" s="46" t="str">
        <f t="shared" si="4"/>
        <v/>
      </c>
      <c r="D150" s="46" t="str">
        <f t="shared" si="5"/>
        <v/>
      </c>
    </row>
    <row r="151" spans="3:4" ht="15.75" x14ac:dyDescent="0.25">
      <c r="C151" s="46" t="str">
        <f t="shared" si="4"/>
        <v/>
      </c>
      <c r="D151" s="46" t="str">
        <f t="shared" si="5"/>
        <v/>
      </c>
    </row>
    <row r="152" spans="3:4" ht="15.75" x14ac:dyDescent="0.25">
      <c r="C152" s="46" t="str">
        <f t="shared" si="4"/>
        <v/>
      </c>
      <c r="D152" s="46" t="str">
        <f t="shared" si="5"/>
        <v/>
      </c>
    </row>
    <row r="153" spans="3:4" ht="15.75" x14ac:dyDescent="0.25">
      <c r="C153" s="46" t="str">
        <f t="shared" si="4"/>
        <v/>
      </c>
      <c r="D153" s="46" t="str">
        <f t="shared" si="5"/>
        <v/>
      </c>
    </row>
    <row r="154" spans="3:4" ht="15.75" x14ac:dyDescent="0.25">
      <c r="C154" s="46" t="str">
        <f t="shared" si="4"/>
        <v/>
      </c>
      <c r="D154" s="46" t="str">
        <f t="shared" si="5"/>
        <v/>
      </c>
    </row>
    <row r="155" spans="3:4" ht="15.75" x14ac:dyDescent="0.25">
      <c r="C155" s="46" t="str">
        <f t="shared" si="4"/>
        <v/>
      </c>
      <c r="D155" s="46" t="str">
        <f t="shared" si="5"/>
        <v/>
      </c>
    </row>
    <row r="156" spans="3:4" ht="15.75" x14ac:dyDescent="0.25">
      <c r="C156" s="46" t="str">
        <f t="shared" si="4"/>
        <v/>
      </c>
      <c r="D156" s="46" t="str">
        <f t="shared" si="5"/>
        <v/>
      </c>
    </row>
    <row r="157" spans="3:4" ht="15.75" x14ac:dyDescent="0.25">
      <c r="C157" s="46" t="str">
        <f t="shared" si="4"/>
        <v/>
      </c>
      <c r="D157" s="46" t="str">
        <f t="shared" si="5"/>
        <v/>
      </c>
    </row>
    <row r="158" spans="3:4" ht="15.75" x14ac:dyDescent="0.25">
      <c r="C158" s="46" t="str">
        <f t="shared" si="4"/>
        <v/>
      </c>
      <c r="D158" s="46" t="str">
        <f t="shared" si="5"/>
        <v/>
      </c>
    </row>
    <row r="159" spans="3:4" ht="15.75" x14ac:dyDescent="0.25">
      <c r="C159" s="46" t="str">
        <f t="shared" si="4"/>
        <v/>
      </c>
      <c r="D159" s="46" t="str">
        <f t="shared" si="5"/>
        <v/>
      </c>
    </row>
    <row r="160" spans="3:4" ht="15.75" x14ac:dyDescent="0.25">
      <c r="C160" s="46" t="str">
        <f t="shared" si="4"/>
        <v/>
      </c>
      <c r="D160" s="46" t="str">
        <f t="shared" si="5"/>
        <v/>
      </c>
    </row>
    <row r="161" spans="3:4" ht="15.75" x14ac:dyDescent="0.25">
      <c r="C161" s="46" t="str">
        <f t="shared" si="4"/>
        <v/>
      </c>
      <c r="D161" s="46" t="str">
        <f t="shared" si="5"/>
        <v/>
      </c>
    </row>
    <row r="162" spans="3:4" ht="15.75" x14ac:dyDescent="0.25">
      <c r="C162" s="46" t="str">
        <f t="shared" si="4"/>
        <v/>
      </c>
      <c r="D162" s="46" t="str">
        <f t="shared" si="5"/>
        <v/>
      </c>
    </row>
    <row r="163" spans="3:4" ht="15.75" x14ac:dyDescent="0.25">
      <c r="C163" s="46" t="str">
        <f t="shared" si="4"/>
        <v/>
      </c>
      <c r="D163" s="46" t="str">
        <f t="shared" si="5"/>
        <v/>
      </c>
    </row>
    <row r="164" spans="3:4" ht="15.75" x14ac:dyDescent="0.25">
      <c r="C164" s="46" t="str">
        <f t="shared" si="4"/>
        <v/>
      </c>
      <c r="D164" s="46" t="str">
        <f t="shared" si="5"/>
        <v/>
      </c>
    </row>
    <row r="165" spans="3:4" ht="15.75" x14ac:dyDescent="0.25">
      <c r="C165" s="46" t="str">
        <f t="shared" si="4"/>
        <v/>
      </c>
      <c r="D165" s="46" t="str">
        <f t="shared" si="5"/>
        <v/>
      </c>
    </row>
    <row r="166" spans="3:4" ht="15.75" x14ac:dyDescent="0.25">
      <c r="C166" s="46" t="str">
        <f t="shared" si="4"/>
        <v/>
      </c>
      <c r="D166" s="46" t="str">
        <f t="shared" si="5"/>
        <v/>
      </c>
    </row>
    <row r="167" spans="3:4" ht="15.75" x14ac:dyDescent="0.25">
      <c r="C167" s="46" t="str">
        <f t="shared" si="4"/>
        <v/>
      </c>
      <c r="D167" s="46" t="str">
        <f t="shared" si="5"/>
        <v/>
      </c>
    </row>
    <row r="168" spans="3:4" ht="15.75" x14ac:dyDescent="0.25">
      <c r="C168" s="46" t="str">
        <f t="shared" si="4"/>
        <v/>
      </c>
      <c r="D168" s="46" t="str">
        <f t="shared" si="5"/>
        <v/>
      </c>
    </row>
    <row r="169" spans="3:4" ht="15.75" x14ac:dyDescent="0.25">
      <c r="C169" s="46" t="str">
        <f t="shared" si="4"/>
        <v/>
      </c>
      <c r="D169" s="46" t="str">
        <f t="shared" si="5"/>
        <v/>
      </c>
    </row>
    <row r="170" spans="3:4" ht="15.75" x14ac:dyDescent="0.25">
      <c r="C170" s="46" t="str">
        <f t="shared" si="4"/>
        <v/>
      </c>
      <c r="D170" s="46" t="str">
        <f t="shared" si="5"/>
        <v/>
      </c>
    </row>
    <row r="171" spans="3:4" ht="15.75" x14ac:dyDescent="0.25">
      <c r="C171" s="46" t="str">
        <f t="shared" si="4"/>
        <v/>
      </c>
      <c r="D171" s="46" t="str">
        <f t="shared" si="5"/>
        <v/>
      </c>
    </row>
    <row r="172" spans="3:4" ht="15.75" x14ac:dyDescent="0.25">
      <c r="C172" s="46" t="str">
        <f t="shared" si="4"/>
        <v/>
      </c>
      <c r="D172" s="46" t="str">
        <f t="shared" si="5"/>
        <v/>
      </c>
    </row>
    <row r="173" spans="3:4" ht="15.75" x14ac:dyDescent="0.25">
      <c r="C173" s="46" t="str">
        <f t="shared" si="4"/>
        <v/>
      </c>
      <c r="D173" s="46" t="str">
        <f t="shared" si="5"/>
        <v/>
      </c>
    </row>
    <row r="174" spans="3:4" ht="15.75" x14ac:dyDescent="0.25">
      <c r="C174" s="46" t="str">
        <f t="shared" si="4"/>
        <v/>
      </c>
      <c r="D174" s="46" t="str">
        <f t="shared" si="5"/>
        <v/>
      </c>
    </row>
    <row r="175" spans="3:4" ht="15.75" x14ac:dyDescent="0.25">
      <c r="C175" s="46" t="str">
        <f t="shared" si="4"/>
        <v/>
      </c>
      <c r="D175" s="46" t="str">
        <f t="shared" si="5"/>
        <v/>
      </c>
    </row>
    <row r="176" spans="3:4" ht="15.75" x14ac:dyDescent="0.25">
      <c r="C176" s="46" t="str">
        <f t="shared" si="4"/>
        <v/>
      </c>
      <c r="D176" s="46" t="str">
        <f t="shared" si="5"/>
        <v/>
      </c>
    </row>
    <row r="177" spans="3:4" ht="15.75" x14ac:dyDescent="0.25">
      <c r="C177" s="46" t="str">
        <f t="shared" si="4"/>
        <v/>
      </c>
      <c r="D177" s="46" t="str">
        <f t="shared" si="5"/>
        <v/>
      </c>
    </row>
    <row r="178" spans="3:4" ht="15.75" x14ac:dyDescent="0.25">
      <c r="C178" s="46" t="str">
        <f t="shared" si="4"/>
        <v/>
      </c>
      <c r="D178" s="46" t="str">
        <f t="shared" si="5"/>
        <v/>
      </c>
    </row>
    <row r="179" spans="3:4" ht="15.75" x14ac:dyDescent="0.25">
      <c r="C179" s="46" t="str">
        <f t="shared" si="4"/>
        <v/>
      </c>
      <c r="D179" s="46" t="str">
        <f t="shared" si="5"/>
        <v/>
      </c>
    </row>
    <row r="180" spans="3:4" ht="15.75" x14ac:dyDescent="0.25">
      <c r="C180" s="46" t="str">
        <f t="shared" si="4"/>
        <v/>
      </c>
      <c r="D180" s="46" t="str">
        <f t="shared" si="5"/>
        <v/>
      </c>
    </row>
    <row r="181" spans="3:4" ht="15.75" x14ac:dyDescent="0.25">
      <c r="C181" s="46" t="str">
        <f t="shared" si="4"/>
        <v/>
      </c>
      <c r="D181" s="46" t="str">
        <f t="shared" si="5"/>
        <v/>
      </c>
    </row>
    <row r="182" spans="3:4" ht="15.75" x14ac:dyDescent="0.25">
      <c r="C182" s="46" t="str">
        <f t="shared" si="4"/>
        <v/>
      </c>
      <c r="D182" s="46" t="str">
        <f t="shared" si="5"/>
        <v/>
      </c>
    </row>
    <row r="183" spans="3:4" ht="15.75" x14ac:dyDescent="0.25">
      <c r="C183" s="46" t="str">
        <f t="shared" si="4"/>
        <v/>
      </c>
      <c r="D183" s="46" t="str">
        <f t="shared" si="5"/>
        <v/>
      </c>
    </row>
    <row r="184" spans="3:4" ht="15.75" x14ac:dyDescent="0.25">
      <c r="C184" s="46" t="str">
        <f t="shared" si="4"/>
        <v/>
      </c>
      <c r="D184" s="46" t="str">
        <f t="shared" si="5"/>
        <v/>
      </c>
    </row>
    <row r="185" spans="3:4" ht="15.75" x14ac:dyDescent="0.25">
      <c r="C185" s="46" t="str">
        <f t="shared" si="4"/>
        <v/>
      </c>
      <c r="D185" s="46" t="str">
        <f t="shared" si="5"/>
        <v/>
      </c>
    </row>
    <row r="186" spans="3:4" ht="15.75" x14ac:dyDescent="0.25">
      <c r="C186" s="46" t="str">
        <f t="shared" si="4"/>
        <v/>
      </c>
      <c r="D186" s="46" t="str">
        <f t="shared" si="5"/>
        <v/>
      </c>
    </row>
    <row r="187" spans="3:4" ht="15.75" x14ac:dyDescent="0.25">
      <c r="C187" s="46" t="str">
        <f t="shared" ref="C187:C250" si="6">IF(COUNTIF(E187:BA187,"YES")=0,"",COUNTIF(E187:BA187,"YES"))</f>
        <v/>
      </c>
      <c r="D187" s="46" t="str">
        <f t="shared" ref="D187:D250" si="7">IF(COUNTIF(E187:BA187,"NO")=0,"",COUNTIF(E187:BA187,"NO"))</f>
        <v/>
      </c>
    </row>
    <row r="188" spans="3:4" ht="15.75" x14ac:dyDescent="0.25">
      <c r="C188" s="46" t="str">
        <f t="shared" si="6"/>
        <v/>
      </c>
      <c r="D188" s="46" t="str">
        <f t="shared" si="7"/>
        <v/>
      </c>
    </row>
    <row r="189" spans="3:4" ht="15.75" x14ac:dyDescent="0.25">
      <c r="C189" s="46" t="str">
        <f t="shared" si="6"/>
        <v/>
      </c>
      <c r="D189" s="46" t="str">
        <f t="shared" si="7"/>
        <v/>
      </c>
    </row>
    <row r="190" spans="3:4" ht="15.75" x14ac:dyDescent="0.25">
      <c r="C190" s="46" t="str">
        <f t="shared" si="6"/>
        <v/>
      </c>
      <c r="D190" s="46" t="str">
        <f t="shared" si="7"/>
        <v/>
      </c>
    </row>
    <row r="191" spans="3:4" ht="15.75" x14ac:dyDescent="0.25">
      <c r="C191" s="46" t="str">
        <f t="shared" si="6"/>
        <v/>
      </c>
      <c r="D191" s="46" t="str">
        <f t="shared" si="7"/>
        <v/>
      </c>
    </row>
    <row r="192" spans="3:4" ht="15.75" x14ac:dyDescent="0.25">
      <c r="C192" s="46" t="str">
        <f t="shared" si="6"/>
        <v/>
      </c>
      <c r="D192" s="46" t="str">
        <f t="shared" si="7"/>
        <v/>
      </c>
    </row>
    <row r="193" spans="3:4" ht="15.75" x14ac:dyDescent="0.25">
      <c r="C193" s="46" t="str">
        <f t="shared" si="6"/>
        <v/>
      </c>
      <c r="D193" s="46" t="str">
        <f t="shared" si="7"/>
        <v/>
      </c>
    </row>
    <row r="194" spans="3:4" ht="15.75" x14ac:dyDescent="0.25">
      <c r="C194" s="46" t="str">
        <f t="shared" si="6"/>
        <v/>
      </c>
      <c r="D194" s="46" t="str">
        <f t="shared" si="7"/>
        <v/>
      </c>
    </row>
    <row r="195" spans="3:4" ht="15.75" x14ac:dyDescent="0.25">
      <c r="C195" s="46" t="str">
        <f t="shared" si="6"/>
        <v/>
      </c>
      <c r="D195" s="46" t="str">
        <f t="shared" si="7"/>
        <v/>
      </c>
    </row>
    <row r="196" spans="3:4" ht="15.75" x14ac:dyDescent="0.25">
      <c r="C196" s="46" t="str">
        <f t="shared" si="6"/>
        <v/>
      </c>
      <c r="D196" s="46" t="str">
        <f t="shared" si="7"/>
        <v/>
      </c>
    </row>
    <row r="197" spans="3:4" ht="15.75" x14ac:dyDescent="0.25">
      <c r="C197" s="46" t="str">
        <f t="shared" si="6"/>
        <v/>
      </c>
      <c r="D197" s="46" t="str">
        <f t="shared" si="7"/>
        <v/>
      </c>
    </row>
    <row r="198" spans="3:4" ht="15.75" x14ac:dyDescent="0.25">
      <c r="C198" s="46" t="str">
        <f t="shared" si="6"/>
        <v/>
      </c>
      <c r="D198" s="46" t="str">
        <f t="shared" si="7"/>
        <v/>
      </c>
    </row>
    <row r="199" spans="3:4" ht="15.75" x14ac:dyDescent="0.25">
      <c r="C199" s="46" t="str">
        <f t="shared" si="6"/>
        <v/>
      </c>
      <c r="D199" s="46" t="str">
        <f t="shared" si="7"/>
        <v/>
      </c>
    </row>
    <row r="200" spans="3:4" ht="15.75" x14ac:dyDescent="0.25">
      <c r="C200" s="46" t="str">
        <f t="shared" si="6"/>
        <v/>
      </c>
      <c r="D200" s="46" t="str">
        <f t="shared" si="7"/>
        <v/>
      </c>
    </row>
    <row r="201" spans="3:4" ht="15.75" x14ac:dyDescent="0.25">
      <c r="C201" s="46" t="str">
        <f t="shared" si="6"/>
        <v/>
      </c>
      <c r="D201" s="46" t="str">
        <f t="shared" si="7"/>
        <v/>
      </c>
    </row>
    <row r="202" spans="3:4" ht="15.75" x14ac:dyDescent="0.25">
      <c r="C202" s="46" t="str">
        <f t="shared" si="6"/>
        <v/>
      </c>
      <c r="D202" s="46" t="str">
        <f t="shared" si="7"/>
        <v/>
      </c>
    </row>
    <row r="203" spans="3:4" ht="15.75" x14ac:dyDescent="0.25">
      <c r="C203" s="46" t="str">
        <f t="shared" si="6"/>
        <v/>
      </c>
      <c r="D203" s="46" t="str">
        <f t="shared" si="7"/>
        <v/>
      </c>
    </row>
    <row r="204" spans="3:4" ht="15.75" x14ac:dyDescent="0.25">
      <c r="C204" s="46" t="str">
        <f t="shared" si="6"/>
        <v/>
      </c>
      <c r="D204" s="46" t="str">
        <f t="shared" si="7"/>
        <v/>
      </c>
    </row>
    <row r="205" spans="3:4" ht="15.75" x14ac:dyDescent="0.25">
      <c r="C205" s="46" t="str">
        <f t="shared" si="6"/>
        <v/>
      </c>
      <c r="D205" s="46" t="str">
        <f t="shared" si="7"/>
        <v/>
      </c>
    </row>
    <row r="206" spans="3:4" ht="15.75" x14ac:dyDescent="0.25">
      <c r="C206" s="46" t="str">
        <f t="shared" si="6"/>
        <v/>
      </c>
      <c r="D206" s="46" t="str">
        <f t="shared" si="7"/>
        <v/>
      </c>
    </row>
    <row r="207" spans="3:4" ht="15.75" x14ac:dyDescent="0.25">
      <c r="C207" s="46" t="str">
        <f t="shared" si="6"/>
        <v/>
      </c>
      <c r="D207" s="46" t="str">
        <f t="shared" si="7"/>
        <v/>
      </c>
    </row>
    <row r="208" spans="3:4" ht="15.75" x14ac:dyDescent="0.25">
      <c r="C208" s="46" t="str">
        <f t="shared" si="6"/>
        <v/>
      </c>
      <c r="D208" s="46" t="str">
        <f t="shared" si="7"/>
        <v/>
      </c>
    </row>
    <row r="209" spans="3:4" ht="15.75" x14ac:dyDescent="0.25">
      <c r="C209" s="46" t="str">
        <f t="shared" si="6"/>
        <v/>
      </c>
      <c r="D209" s="46" t="str">
        <f t="shared" si="7"/>
        <v/>
      </c>
    </row>
    <row r="210" spans="3:4" ht="15.75" x14ac:dyDescent="0.25">
      <c r="C210" s="46" t="str">
        <f t="shared" si="6"/>
        <v/>
      </c>
      <c r="D210" s="46" t="str">
        <f t="shared" si="7"/>
        <v/>
      </c>
    </row>
    <row r="211" spans="3:4" ht="15.75" x14ac:dyDescent="0.25">
      <c r="C211" s="46" t="str">
        <f t="shared" si="6"/>
        <v/>
      </c>
      <c r="D211" s="46" t="str">
        <f t="shared" si="7"/>
        <v/>
      </c>
    </row>
    <row r="212" spans="3:4" ht="15.75" x14ac:dyDescent="0.25">
      <c r="C212" s="46" t="str">
        <f t="shared" si="6"/>
        <v/>
      </c>
      <c r="D212" s="46" t="str">
        <f t="shared" si="7"/>
        <v/>
      </c>
    </row>
    <row r="213" spans="3:4" ht="15.75" x14ac:dyDescent="0.25">
      <c r="C213" s="46" t="str">
        <f t="shared" si="6"/>
        <v/>
      </c>
      <c r="D213" s="46" t="str">
        <f t="shared" si="7"/>
        <v/>
      </c>
    </row>
    <row r="214" spans="3:4" ht="15.75" x14ac:dyDescent="0.25">
      <c r="C214" s="46" t="str">
        <f t="shared" si="6"/>
        <v/>
      </c>
      <c r="D214" s="46" t="str">
        <f t="shared" si="7"/>
        <v/>
      </c>
    </row>
    <row r="215" spans="3:4" ht="15.75" x14ac:dyDescent="0.25">
      <c r="C215" s="46" t="str">
        <f t="shared" si="6"/>
        <v/>
      </c>
      <c r="D215" s="46" t="str">
        <f t="shared" si="7"/>
        <v/>
      </c>
    </row>
    <row r="216" spans="3:4" ht="15.75" x14ac:dyDescent="0.25">
      <c r="C216" s="46" t="str">
        <f t="shared" si="6"/>
        <v/>
      </c>
      <c r="D216" s="46" t="str">
        <f t="shared" si="7"/>
        <v/>
      </c>
    </row>
    <row r="217" spans="3:4" ht="15.75" x14ac:dyDescent="0.25">
      <c r="C217" s="46" t="str">
        <f t="shared" si="6"/>
        <v/>
      </c>
      <c r="D217" s="46" t="str">
        <f t="shared" si="7"/>
        <v/>
      </c>
    </row>
    <row r="218" spans="3:4" ht="15.75" x14ac:dyDescent="0.25">
      <c r="C218" s="46" t="str">
        <f t="shared" si="6"/>
        <v/>
      </c>
      <c r="D218" s="46" t="str">
        <f t="shared" si="7"/>
        <v/>
      </c>
    </row>
    <row r="219" spans="3:4" ht="15.75" x14ac:dyDescent="0.25">
      <c r="C219" s="46" t="str">
        <f t="shared" si="6"/>
        <v/>
      </c>
      <c r="D219" s="46" t="str">
        <f t="shared" si="7"/>
        <v/>
      </c>
    </row>
    <row r="220" spans="3:4" ht="15.75" x14ac:dyDescent="0.25">
      <c r="C220" s="46" t="str">
        <f t="shared" si="6"/>
        <v/>
      </c>
      <c r="D220" s="46" t="str">
        <f t="shared" si="7"/>
        <v/>
      </c>
    </row>
    <row r="221" spans="3:4" ht="15.75" x14ac:dyDescent="0.25">
      <c r="C221" s="46" t="str">
        <f t="shared" si="6"/>
        <v/>
      </c>
      <c r="D221" s="46" t="str">
        <f t="shared" si="7"/>
        <v/>
      </c>
    </row>
    <row r="222" spans="3:4" ht="15.75" x14ac:dyDescent="0.25">
      <c r="C222" s="46" t="str">
        <f t="shared" si="6"/>
        <v/>
      </c>
      <c r="D222" s="46" t="str">
        <f t="shared" si="7"/>
        <v/>
      </c>
    </row>
    <row r="223" spans="3:4" ht="15.75" x14ac:dyDescent="0.25">
      <c r="C223" s="46" t="str">
        <f t="shared" si="6"/>
        <v/>
      </c>
      <c r="D223" s="46" t="str">
        <f t="shared" si="7"/>
        <v/>
      </c>
    </row>
    <row r="224" spans="3:4" ht="15.75" x14ac:dyDescent="0.25">
      <c r="C224" s="46" t="str">
        <f t="shared" si="6"/>
        <v/>
      </c>
      <c r="D224" s="46" t="str">
        <f t="shared" si="7"/>
        <v/>
      </c>
    </row>
    <row r="225" spans="3:4" ht="15.75" x14ac:dyDescent="0.25">
      <c r="C225" s="46" t="str">
        <f t="shared" si="6"/>
        <v/>
      </c>
      <c r="D225" s="46" t="str">
        <f t="shared" si="7"/>
        <v/>
      </c>
    </row>
    <row r="226" spans="3:4" ht="15.75" x14ac:dyDescent="0.25">
      <c r="C226" s="46" t="str">
        <f t="shared" si="6"/>
        <v/>
      </c>
      <c r="D226" s="46" t="str">
        <f t="shared" si="7"/>
        <v/>
      </c>
    </row>
    <row r="227" spans="3:4" ht="15.75" x14ac:dyDescent="0.25">
      <c r="C227" s="46" t="str">
        <f t="shared" si="6"/>
        <v/>
      </c>
      <c r="D227" s="46" t="str">
        <f t="shared" si="7"/>
        <v/>
      </c>
    </row>
    <row r="228" spans="3:4" ht="15.75" x14ac:dyDescent="0.25">
      <c r="C228" s="46" t="str">
        <f t="shared" si="6"/>
        <v/>
      </c>
      <c r="D228" s="46" t="str">
        <f t="shared" si="7"/>
        <v/>
      </c>
    </row>
    <row r="229" spans="3:4" ht="15.75" x14ac:dyDescent="0.25">
      <c r="C229" s="46" t="str">
        <f t="shared" si="6"/>
        <v/>
      </c>
      <c r="D229" s="46" t="str">
        <f t="shared" si="7"/>
        <v/>
      </c>
    </row>
    <row r="230" spans="3:4" ht="15.75" x14ac:dyDescent="0.25">
      <c r="C230" s="46" t="str">
        <f t="shared" si="6"/>
        <v/>
      </c>
      <c r="D230" s="46" t="str">
        <f t="shared" si="7"/>
        <v/>
      </c>
    </row>
    <row r="231" spans="3:4" ht="15.75" x14ac:dyDescent="0.25">
      <c r="C231" s="46" t="str">
        <f t="shared" si="6"/>
        <v/>
      </c>
      <c r="D231" s="46" t="str">
        <f t="shared" si="7"/>
        <v/>
      </c>
    </row>
    <row r="232" spans="3:4" ht="15.75" x14ac:dyDescent="0.25">
      <c r="C232" s="46" t="str">
        <f t="shared" si="6"/>
        <v/>
      </c>
      <c r="D232" s="46" t="str">
        <f t="shared" si="7"/>
        <v/>
      </c>
    </row>
    <row r="233" spans="3:4" ht="15.75" x14ac:dyDescent="0.25">
      <c r="C233" s="46" t="str">
        <f t="shared" si="6"/>
        <v/>
      </c>
      <c r="D233" s="46" t="str">
        <f t="shared" si="7"/>
        <v/>
      </c>
    </row>
    <row r="234" spans="3:4" ht="15.75" x14ac:dyDescent="0.25">
      <c r="C234" s="46" t="str">
        <f t="shared" si="6"/>
        <v/>
      </c>
      <c r="D234" s="46" t="str">
        <f t="shared" si="7"/>
        <v/>
      </c>
    </row>
    <row r="235" spans="3:4" ht="15.75" x14ac:dyDescent="0.25">
      <c r="C235" s="46" t="str">
        <f t="shared" si="6"/>
        <v/>
      </c>
      <c r="D235" s="46" t="str">
        <f t="shared" si="7"/>
        <v/>
      </c>
    </row>
    <row r="236" spans="3:4" ht="15.75" x14ac:dyDescent="0.25">
      <c r="C236" s="46" t="str">
        <f t="shared" si="6"/>
        <v/>
      </c>
      <c r="D236" s="46" t="str">
        <f t="shared" si="7"/>
        <v/>
      </c>
    </row>
    <row r="237" spans="3:4" ht="15.75" x14ac:dyDescent="0.25">
      <c r="C237" s="46" t="str">
        <f t="shared" si="6"/>
        <v/>
      </c>
      <c r="D237" s="46" t="str">
        <f t="shared" si="7"/>
        <v/>
      </c>
    </row>
    <row r="238" spans="3:4" ht="15.75" x14ac:dyDescent="0.25">
      <c r="C238" s="46" t="str">
        <f t="shared" si="6"/>
        <v/>
      </c>
      <c r="D238" s="46" t="str">
        <f t="shared" si="7"/>
        <v/>
      </c>
    </row>
    <row r="239" spans="3:4" ht="15.75" x14ac:dyDescent="0.25">
      <c r="C239" s="46" t="str">
        <f t="shared" si="6"/>
        <v/>
      </c>
      <c r="D239" s="46" t="str">
        <f t="shared" si="7"/>
        <v/>
      </c>
    </row>
    <row r="240" spans="3:4" ht="15.75" x14ac:dyDescent="0.25">
      <c r="C240" s="46" t="str">
        <f t="shared" si="6"/>
        <v/>
      </c>
      <c r="D240" s="46" t="str">
        <f t="shared" si="7"/>
        <v/>
      </c>
    </row>
    <row r="241" spans="3:4" ht="15.75" x14ac:dyDescent="0.25">
      <c r="C241" s="46" t="str">
        <f t="shared" si="6"/>
        <v/>
      </c>
      <c r="D241" s="46" t="str">
        <f t="shared" si="7"/>
        <v/>
      </c>
    </row>
    <row r="242" spans="3:4" ht="15.75" x14ac:dyDescent="0.25">
      <c r="C242" s="46" t="str">
        <f t="shared" si="6"/>
        <v/>
      </c>
      <c r="D242" s="46" t="str">
        <f t="shared" si="7"/>
        <v/>
      </c>
    </row>
    <row r="243" spans="3:4" ht="15.75" x14ac:dyDescent="0.25">
      <c r="C243" s="46" t="str">
        <f t="shared" si="6"/>
        <v/>
      </c>
      <c r="D243" s="46" t="str">
        <f t="shared" si="7"/>
        <v/>
      </c>
    </row>
    <row r="244" spans="3:4" ht="15.75" x14ac:dyDescent="0.25">
      <c r="C244" s="46" t="str">
        <f t="shared" si="6"/>
        <v/>
      </c>
      <c r="D244" s="46" t="str">
        <f t="shared" si="7"/>
        <v/>
      </c>
    </row>
    <row r="245" spans="3:4" ht="15.75" x14ac:dyDescent="0.25">
      <c r="C245" s="46" t="str">
        <f t="shared" si="6"/>
        <v/>
      </c>
      <c r="D245" s="46" t="str">
        <f t="shared" si="7"/>
        <v/>
      </c>
    </row>
    <row r="246" spans="3:4" ht="15.75" x14ac:dyDescent="0.25">
      <c r="C246" s="46" t="str">
        <f t="shared" si="6"/>
        <v/>
      </c>
      <c r="D246" s="46" t="str">
        <f t="shared" si="7"/>
        <v/>
      </c>
    </row>
    <row r="247" spans="3:4" ht="15.75" x14ac:dyDescent="0.25">
      <c r="C247" s="46" t="str">
        <f t="shared" si="6"/>
        <v/>
      </c>
      <c r="D247" s="46" t="str">
        <f t="shared" si="7"/>
        <v/>
      </c>
    </row>
    <row r="248" spans="3:4" ht="15.75" x14ac:dyDescent="0.25">
      <c r="C248" s="46" t="str">
        <f t="shared" si="6"/>
        <v/>
      </c>
      <c r="D248" s="46" t="str">
        <f t="shared" si="7"/>
        <v/>
      </c>
    </row>
    <row r="249" spans="3:4" ht="15.75" x14ac:dyDescent="0.25">
      <c r="C249" s="46" t="str">
        <f t="shared" si="6"/>
        <v/>
      </c>
      <c r="D249" s="46" t="str">
        <f t="shared" si="7"/>
        <v/>
      </c>
    </row>
    <row r="250" spans="3:4" ht="15.75" x14ac:dyDescent="0.25">
      <c r="C250" s="46" t="str">
        <f t="shared" si="6"/>
        <v/>
      </c>
      <c r="D250" s="46" t="str">
        <f t="shared" si="7"/>
        <v/>
      </c>
    </row>
    <row r="251" spans="3:4" ht="15.75" x14ac:dyDescent="0.25">
      <c r="C251" s="46" t="str">
        <f t="shared" ref="C251:C301" si="8">IF(COUNTIF(E251:BA251,"YES")=0,"",COUNTIF(E251:BA251,"YES"))</f>
        <v/>
      </c>
      <c r="D251" s="46" t="str">
        <f t="shared" ref="D251:D296" si="9">IF(COUNTIF(E251:BA251,"NO")=0,"",COUNTIF(E251:BA251,"NO"))</f>
        <v/>
      </c>
    </row>
    <row r="252" spans="3:4" ht="15.75" x14ac:dyDescent="0.25">
      <c r="C252" s="46" t="str">
        <f t="shared" si="8"/>
        <v/>
      </c>
      <c r="D252" s="46" t="str">
        <f t="shared" si="9"/>
        <v/>
      </c>
    </row>
    <row r="253" spans="3:4" ht="15.75" x14ac:dyDescent="0.25">
      <c r="C253" s="46" t="str">
        <f t="shared" si="8"/>
        <v/>
      </c>
      <c r="D253" s="46" t="str">
        <f t="shared" si="9"/>
        <v/>
      </c>
    </row>
    <row r="254" spans="3:4" ht="15.75" x14ac:dyDescent="0.25">
      <c r="C254" s="46" t="str">
        <f t="shared" si="8"/>
        <v/>
      </c>
      <c r="D254" s="46" t="str">
        <f t="shared" si="9"/>
        <v/>
      </c>
    </row>
    <row r="255" spans="3:4" ht="15.75" x14ac:dyDescent="0.25">
      <c r="C255" s="46" t="str">
        <f t="shared" si="8"/>
        <v/>
      </c>
      <c r="D255" s="46" t="str">
        <f t="shared" si="9"/>
        <v/>
      </c>
    </row>
    <row r="256" spans="3:4" ht="15.75" x14ac:dyDescent="0.25">
      <c r="C256" s="46" t="str">
        <f t="shared" si="8"/>
        <v/>
      </c>
      <c r="D256" s="46" t="str">
        <f t="shared" si="9"/>
        <v/>
      </c>
    </row>
    <row r="257" spans="3:4" ht="15.75" x14ac:dyDescent="0.25">
      <c r="C257" s="46" t="str">
        <f t="shared" si="8"/>
        <v/>
      </c>
      <c r="D257" s="46" t="str">
        <f t="shared" si="9"/>
        <v/>
      </c>
    </row>
    <row r="258" spans="3:4" ht="15.75" x14ac:dyDescent="0.25">
      <c r="C258" s="46" t="str">
        <f t="shared" si="8"/>
        <v/>
      </c>
      <c r="D258" s="46" t="str">
        <f t="shared" si="9"/>
        <v/>
      </c>
    </row>
    <row r="259" spans="3:4" ht="15.75" x14ac:dyDescent="0.25">
      <c r="C259" s="46" t="str">
        <f t="shared" si="8"/>
        <v/>
      </c>
      <c r="D259" s="46" t="str">
        <f t="shared" si="9"/>
        <v/>
      </c>
    </row>
    <row r="260" spans="3:4" ht="15.75" x14ac:dyDescent="0.25">
      <c r="C260" s="46" t="str">
        <f t="shared" si="8"/>
        <v/>
      </c>
      <c r="D260" s="46" t="str">
        <f t="shared" si="9"/>
        <v/>
      </c>
    </row>
    <row r="261" spans="3:4" ht="15.75" x14ac:dyDescent="0.25">
      <c r="C261" s="46" t="str">
        <f t="shared" si="8"/>
        <v/>
      </c>
      <c r="D261" s="46" t="str">
        <f t="shared" si="9"/>
        <v/>
      </c>
    </row>
    <row r="262" spans="3:4" ht="15.75" x14ac:dyDescent="0.25">
      <c r="C262" s="46" t="str">
        <f t="shared" si="8"/>
        <v/>
      </c>
      <c r="D262" s="46" t="str">
        <f t="shared" si="9"/>
        <v/>
      </c>
    </row>
    <row r="263" spans="3:4" ht="15.75" x14ac:dyDescent="0.25">
      <c r="C263" s="46" t="str">
        <f t="shared" si="8"/>
        <v/>
      </c>
      <c r="D263" s="46" t="str">
        <f t="shared" si="9"/>
        <v/>
      </c>
    </row>
    <row r="264" spans="3:4" ht="15.75" x14ac:dyDescent="0.25">
      <c r="C264" s="46" t="str">
        <f t="shared" si="8"/>
        <v/>
      </c>
      <c r="D264" s="46" t="str">
        <f t="shared" si="9"/>
        <v/>
      </c>
    </row>
    <row r="265" spans="3:4" ht="15.75" x14ac:dyDescent="0.25">
      <c r="C265" s="46" t="str">
        <f t="shared" si="8"/>
        <v/>
      </c>
      <c r="D265" s="46" t="str">
        <f t="shared" si="9"/>
        <v/>
      </c>
    </row>
    <row r="266" spans="3:4" ht="15.75" x14ac:dyDescent="0.25">
      <c r="C266" s="46" t="str">
        <f t="shared" si="8"/>
        <v/>
      </c>
      <c r="D266" s="46" t="str">
        <f t="shared" si="9"/>
        <v/>
      </c>
    </row>
    <row r="267" spans="3:4" ht="15.75" x14ac:dyDescent="0.25">
      <c r="C267" s="46" t="str">
        <f t="shared" si="8"/>
        <v/>
      </c>
      <c r="D267" s="46" t="str">
        <f t="shared" si="9"/>
        <v/>
      </c>
    </row>
    <row r="268" spans="3:4" ht="15.75" x14ac:dyDescent="0.25">
      <c r="C268" s="46" t="str">
        <f t="shared" si="8"/>
        <v/>
      </c>
      <c r="D268" s="46" t="str">
        <f t="shared" si="9"/>
        <v/>
      </c>
    </row>
    <row r="269" spans="3:4" ht="15.75" x14ac:dyDescent="0.25">
      <c r="C269" s="46" t="str">
        <f t="shared" si="8"/>
        <v/>
      </c>
      <c r="D269" s="46" t="str">
        <f t="shared" si="9"/>
        <v/>
      </c>
    </row>
    <row r="270" spans="3:4" ht="15.75" x14ac:dyDescent="0.25">
      <c r="C270" s="46" t="str">
        <f t="shared" si="8"/>
        <v/>
      </c>
      <c r="D270" s="46" t="str">
        <f t="shared" si="9"/>
        <v/>
      </c>
    </row>
    <row r="271" spans="3:4" ht="15.75" x14ac:dyDescent="0.25">
      <c r="C271" s="46" t="str">
        <f t="shared" si="8"/>
        <v/>
      </c>
      <c r="D271" s="46" t="str">
        <f t="shared" si="9"/>
        <v/>
      </c>
    </row>
    <row r="272" spans="3:4" ht="15.75" x14ac:dyDescent="0.25">
      <c r="C272" s="46" t="str">
        <f t="shared" si="8"/>
        <v/>
      </c>
      <c r="D272" s="46" t="str">
        <f t="shared" si="9"/>
        <v/>
      </c>
    </row>
    <row r="273" spans="3:4" ht="15.75" x14ac:dyDescent="0.25">
      <c r="C273" s="46" t="str">
        <f t="shared" si="8"/>
        <v/>
      </c>
      <c r="D273" s="46" t="str">
        <f t="shared" si="9"/>
        <v/>
      </c>
    </row>
    <row r="274" spans="3:4" ht="15.75" x14ac:dyDescent="0.25">
      <c r="C274" s="46" t="str">
        <f t="shared" si="8"/>
        <v/>
      </c>
      <c r="D274" s="46" t="str">
        <f t="shared" si="9"/>
        <v/>
      </c>
    </row>
    <row r="275" spans="3:4" ht="15.75" x14ac:dyDescent="0.25">
      <c r="C275" s="46" t="str">
        <f t="shared" si="8"/>
        <v/>
      </c>
      <c r="D275" s="46" t="str">
        <f t="shared" si="9"/>
        <v/>
      </c>
    </row>
    <row r="276" spans="3:4" ht="15.75" x14ac:dyDescent="0.25">
      <c r="C276" s="46" t="str">
        <f t="shared" si="8"/>
        <v/>
      </c>
      <c r="D276" s="46" t="str">
        <f t="shared" si="9"/>
        <v/>
      </c>
    </row>
    <row r="277" spans="3:4" ht="15.75" x14ac:dyDescent="0.25">
      <c r="C277" s="46" t="str">
        <f t="shared" si="8"/>
        <v/>
      </c>
      <c r="D277" s="46" t="str">
        <f t="shared" si="9"/>
        <v/>
      </c>
    </row>
    <row r="278" spans="3:4" ht="15.75" x14ac:dyDescent="0.25">
      <c r="C278" s="46" t="str">
        <f t="shared" si="8"/>
        <v/>
      </c>
      <c r="D278" s="46" t="str">
        <f t="shared" si="9"/>
        <v/>
      </c>
    </row>
    <row r="279" spans="3:4" ht="15.75" x14ac:dyDescent="0.25">
      <c r="C279" s="46" t="str">
        <f t="shared" si="8"/>
        <v/>
      </c>
      <c r="D279" s="46" t="str">
        <f t="shared" si="9"/>
        <v/>
      </c>
    </row>
    <row r="280" spans="3:4" ht="15.75" x14ac:dyDescent="0.25">
      <c r="C280" s="46" t="str">
        <f t="shared" si="8"/>
        <v/>
      </c>
      <c r="D280" s="46" t="str">
        <f t="shared" si="9"/>
        <v/>
      </c>
    </row>
    <row r="281" spans="3:4" ht="15.75" x14ac:dyDescent="0.25">
      <c r="C281" s="46" t="str">
        <f t="shared" si="8"/>
        <v/>
      </c>
      <c r="D281" s="46" t="str">
        <f t="shared" si="9"/>
        <v/>
      </c>
    </row>
    <row r="282" spans="3:4" ht="15.75" x14ac:dyDescent="0.25">
      <c r="C282" s="46" t="str">
        <f t="shared" si="8"/>
        <v/>
      </c>
      <c r="D282" s="46" t="str">
        <f t="shared" si="9"/>
        <v/>
      </c>
    </row>
    <row r="283" spans="3:4" ht="15.75" x14ac:dyDescent="0.25">
      <c r="C283" s="46" t="str">
        <f t="shared" si="8"/>
        <v/>
      </c>
      <c r="D283" s="46" t="str">
        <f t="shared" si="9"/>
        <v/>
      </c>
    </row>
    <row r="284" spans="3:4" ht="15.75" x14ac:dyDescent="0.25">
      <c r="C284" s="46" t="str">
        <f t="shared" si="8"/>
        <v/>
      </c>
      <c r="D284" s="46" t="str">
        <f t="shared" si="9"/>
        <v/>
      </c>
    </row>
    <row r="285" spans="3:4" ht="15.75" x14ac:dyDescent="0.25">
      <c r="C285" s="46" t="str">
        <f t="shared" si="8"/>
        <v/>
      </c>
      <c r="D285" s="46" t="str">
        <f t="shared" si="9"/>
        <v/>
      </c>
    </row>
    <row r="286" spans="3:4" ht="15.75" x14ac:dyDescent="0.25">
      <c r="C286" s="46" t="str">
        <f t="shared" si="8"/>
        <v/>
      </c>
      <c r="D286" s="46" t="str">
        <f t="shared" si="9"/>
        <v/>
      </c>
    </row>
    <row r="287" spans="3:4" ht="15.75" x14ac:dyDescent="0.25">
      <c r="C287" s="46" t="str">
        <f t="shared" si="8"/>
        <v/>
      </c>
      <c r="D287" s="46" t="str">
        <f t="shared" si="9"/>
        <v/>
      </c>
    </row>
    <row r="288" spans="3:4" ht="15.75" x14ac:dyDescent="0.25">
      <c r="C288" s="46" t="str">
        <f t="shared" si="8"/>
        <v/>
      </c>
      <c r="D288" s="46" t="str">
        <f t="shared" si="9"/>
        <v/>
      </c>
    </row>
    <row r="289" spans="3:4" ht="15.75" x14ac:dyDescent="0.25">
      <c r="C289" s="46" t="str">
        <f t="shared" si="8"/>
        <v/>
      </c>
      <c r="D289" s="46" t="str">
        <f t="shared" si="9"/>
        <v/>
      </c>
    </row>
    <row r="290" spans="3:4" ht="15.75" x14ac:dyDescent="0.25">
      <c r="C290" s="46" t="str">
        <f t="shared" si="8"/>
        <v/>
      </c>
      <c r="D290" s="46" t="str">
        <f t="shared" si="9"/>
        <v/>
      </c>
    </row>
    <row r="291" spans="3:4" ht="15.75" x14ac:dyDescent="0.25">
      <c r="C291" s="46" t="str">
        <f t="shared" si="8"/>
        <v/>
      </c>
      <c r="D291" s="46" t="str">
        <f t="shared" si="9"/>
        <v/>
      </c>
    </row>
    <row r="292" spans="3:4" ht="15.75" x14ac:dyDescent="0.25">
      <c r="C292" s="46" t="str">
        <f t="shared" si="8"/>
        <v/>
      </c>
      <c r="D292" s="46" t="str">
        <f t="shared" si="9"/>
        <v/>
      </c>
    </row>
    <row r="293" spans="3:4" ht="15.75" x14ac:dyDescent="0.25">
      <c r="C293" s="46" t="str">
        <f t="shared" si="8"/>
        <v/>
      </c>
      <c r="D293" s="46" t="str">
        <f t="shared" si="9"/>
        <v/>
      </c>
    </row>
    <row r="294" spans="3:4" ht="15.75" x14ac:dyDescent="0.25">
      <c r="C294" s="46" t="str">
        <f t="shared" si="8"/>
        <v/>
      </c>
      <c r="D294" s="46" t="str">
        <f t="shared" si="9"/>
        <v/>
      </c>
    </row>
    <row r="295" spans="3:4" ht="15.75" x14ac:dyDescent="0.25">
      <c r="C295" s="46" t="str">
        <f t="shared" si="8"/>
        <v/>
      </c>
      <c r="D295" s="46" t="str">
        <f t="shared" si="9"/>
        <v/>
      </c>
    </row>
    <row r="296" spans="3:4" ht="15.75" x14ac:dyDescent="0.25">
      <c r="C296" s="46" t="str">
        <f t="shared" si="8"/>
        <v/>
      </c>
      <c r="D296" s="46" t="str">
        <f t="shared" si="9"/>
        <v/>
      </c>
    </row>
    <row r="297" spans="3:4" ht="15.75" x14ac:dyDescent="0.25">
      <c r="C297" s="46" t="str">
        <f t="shared" si="8"/>
        <v/>
      </c>
      <c r="D297" s="46" t="str">
        <f>IF(COUNTIF(E297:BA297,"NO")=0,"",COUNTIF(E297:BA297,"NO"))</f>
        <v/>
      </c>
    </row>
    <row r="298" spans="3:4" ht="15.75" x14ac:dyDescent="0.25">
      <c r="C298" s="46" t="str">
        <f t="shared" si="8"/>
        <v/>
      </c>
      <c r="D298" s="46" t="str">
        <f>IF(COUNTIF(E298:BA298,"NO")=0,"",COUNTIF(E298:BA298,"NO"))</f>
        <v/>
      </c>
    </row>
    <row r="299" spans="3:4" ht="15.75" x14ac:dyDescent="0.25">
      <c r="C299" s="46" t="str">
        <f t="shared" si="8"/>
        <v/>
      </c>
      <c r="D299" s="46" t="str">
        <f>IF(COUNTIF(E299:BA299,"NO")=0,"",COUNTIF(E299:BA299,"NO"))</f>
        <v/>
      </c>
    </row>
    <row r="300" spans="3:4" ht="15.75" x14ac:dyDescent="0.25">
      <c r="C300" s="46" t="str">
        <f t="shared" si="8"/>
        <v/>
      </c>
      <c r="D300" s="46" t="str">
        <f>IF(COUNTIF(E300:BA300,"NO")=0,"",COUNTIF(E300:BA300,"NO"))</f>
        <v/>
      </c>
    </row>
    <row r="301" spans="3:4" ht="15.75" x14ac:dyDescent="0.25">
      <c r="C301" s="46" t="str">
        <f t="shared" si="8"/>
        <v/>
      </c>
      <c r="D301" s="46" t="str">
        <f>IF(COUNTIF(E301:BA301,"NO")=0,"",COUNTIF(E301:BA301,"NO"))</f>
        <v/>
      </c>
    </row>
  </sheetData>
  <conditionalFormatting sqref="E7:H15 E17:H19">
    <cfRule type="cellIs" dxfId="27" priority="1" stopIfTrue="1" operator="equal">
      <formula>"YES"</formula>
    </cfRule>
    <cfRule type="cellIs" dxfId="26" priority="2" stopIfTrue="1" operator="equal">
      <formula>"NO"</formula>
    </cfRule>
  </conditionalFormatting>
  <dataValidations count="1">
    <dataValidation type="list" allowBlank="1" showInputMessage="1" showErrorMessage="1" sqref="E7:H15 E17:H19" xr:uid="{00000000-0002-0000-1200-000000000000}">
      <formula1>$D$1:$D$3</formula1>
    </dataValidation>
  </dataValidations>
  <hyperlinks>
    <hyperlink ref="B5" r:id="rId1" display="ALE_2.10n" xr:uid="{00000000-0004-0000-1200-000000000000}"/>
  </hyperlinks>
  <pageMargins left="0.75" right="0.75" top="1" bottom="1" header="0.4921259845" footer="0.4921259845"/>
  <pageSetup paperSize="9" scale="61" fitToHeight="0" orientation="portrait" r:id="rId2"/>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16">
    <tabColor theme="7"/>
    <pageSetUpPr fitToPage="1"/>
  </sheetPr>
  <dimension ref="A1:H307"/>
  <sheetViews>
    <sheetView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42578125" style="40" customWidth="1"/>
    <col min="2" max="2" width="92" style="57" customWidth="1"/>
    <col min="3" max="4" width="4.42578125" style="40" bestFit="1" customWidth="1"/>
    <col min="5" max="8" width="6" style="40" customWidth="1"/>
    <col min="9" max="16384" width="9.140625" style="40"/>
  </cols>
  <sheetData>
    <row r="1" spans="1:8" ht="0.75" customHeight="1" thickBot="1" x14ac:dyDescent="0.25">
      <c r="D1" s="40" t="s">
        <v>43</v>
      </c>
    </row>
    <row r="2" spans="1:8" hidden="1" x14ac:dyDescent="0.2">
      <c r="D2" s="40" t="s">
        <v>44</v>
      </c>
    </row>
    <row r="3" spans="1:8" ht="13.5" hidden="1" thickBot="1" x14ac:dyDescent="0.25">
      <c r="D3" s="40" t="s">
        <v>13</v>
      </c>
    </row>
    <row r="4" spans="1:8" ht="88.5" thickTop="1" thickBot="1" x14ac:dyDescent="0.4">
      <c r="A4" s="58"/>
      <c r="B4" s="47" t="s">
        <v>395</v>
      </c>
      <c r="C4" s="43" t="s">
        <v>46</v>
      </c>
      <c r="D4" s="43" t="s">
        <v>47</v>
      </c>
      <c r="E4" s="43" t="s">
        <v>84</v>
      </c>
      <c r="F4" s="43" t="s">
        <v>84</v>
      </c>
      <c r="G4" s="43" t="s">
        <v>84</v>
      </c>
      <c r="H4" s="43" t="s">
        <v>84</v>
      </c>
    </row>
    <row r="5" spans="1:8" ht="24" thickTop="1" x14ac:dyDescent="0.35">
      <c r="A5" s="59"/>
      <c r="B5" s="50" t="s">
        <v>85</v>
      </c>
      <c r="C5" s="51"/>
      <c r="D5" s="51"/>
      <c r="E5" s="51"/>
      <c r="F5" s="51"/>
      <c r="G5" s="51"/>
      <c r="H5" s="51"/>
    </row>
    <row r="6" spans="1:8" ht="14.25" customHeight="1" x14ac:dyDescent="0.25">
      <c r="A6" s="69" t="s">
        <v>190</v>
      </c>
      <c r="B6" s="70"/>
      <c r="C6" s="71" t="str">
        <f>IF(COUNTIF(E6:BA6,"YES")=0,"",COUNTIF(E6:BA6,"YES"))</f>
        <v/>
      </c>
      <c r="D6" s="71" t="str">
        <f>IF(COUNTIF(E6:BA6,"NO")=0,"",COUNTIF(E6:BA6,"NO"))</f>
        <v/>
      </c>
      <c r="E6" s="72"/>
      <c r="F6" s="72"/>
      <c r="G6" s="72"/>
      <c r="H6" s="72"/>
    </row>
    <row r="7" spans="1:8" ht="15.75" x14ac:dyDescent="0.25">
      <c r="A7" s="60" t="s">
        <v>191</v>
      </c>
      <c r="B7" s="259" t="s">
        <v>114</v>
      </c>
      <c r="C7" s="44" t="str">
        <f>IF(COUNTIF(E7:BA7,"YES")=0,"",COUNTIF(E7:BA7,"YES"))</f>
        <v/>
      </c>
      <c r="D7" s="44" t="str">
        <f>IF(COUNTIF(E7:BA7,"NO")=0,"",COUNTIF(E7:BA7,"NO"))</f>
        <v/>
      </c>
      <c r="E7" s="41"/>
      <c r="F7" s="41"/>
      <c r="G7" s="41"/>
      <c r="H7" s="41"/>
    </row>
    <row r="8" spans="1:8" ht="15.75" x14ac:dyDescent="0.25">
      <c r="A8" s="60" t="s">
        <v>192</v>
      </c>
      <c r="B8" s="259" t="s">
        <v>543</v>
      </c>
      <c r="C8" s="44" t="str">
        <f t="shared" ref="C8:C25" si="0">IF(COUNTIF(E8:BA8,"YES")=0,"",COUNTIF(E8:BA8,"YES"))</f>
        <v/>
      </c>
      <c r="D8" s="44" t="str">
        <f t="shared" ref="D8:D25" si="1">IF(COUNTIF(E8:BA8,"NO")=0,"",COUNTIF(E8:BA8,"NO"))</f>
        <v/>
      </c>
      <c r="E8" s="41"/>
      <c r="F8" s="41"/>
      <c r="G8" s="41"/>
      <c r="H8" s="41"/>
    </row>
    <row r="9" spans="1:8" ht="15.75" x14ac:dyDescent="0.25">
      <c r="A9" s="60" t="s">
        <v>193</v>
      </c>
      <c r="B9" s="259" t="s">
        <v>469</v>
      </c>
      <c r="C9" s="44" t="str">
        <f t="shared" si="0"/>
        <v/>
      </c>
      <c r="D9" s="44" t="str">
        <f t="shared" si="1"/>
        <v/>
      </c>
      <c r="E9" s="41"/>
      <c r="F9" s="41"/>
      <c r="G9" s="41"/>
      <c r="H9" s="41"/>
    </row>
    <row r="10" spans="1:8" ht="15.75" x14ac:dyDescent="0.25">
      <c r="A10" s="60" t="s">
        <v>194</v>
      </c>
      <c r="B10" s="279" t="s">
        <v>159</v>
      </c>
      <c r="C10" s="44" t="str">
        <f t="shared" si="0"/>
        <v/>
      </c>
      <c r="D10" s="44" t="str">
        <f t="shared" si="1"/>
        <v/>
      </c>
      <c r="E10" s="41"/>
      <c r="F10" s="41"/>
      <c r="G10" s="41"/>
      <c r="H10" s="41"/>
    </row>
    <row r="11" spans="1:8" ht="15.75" x14ac:dyDescent="0.25">
      <c r="A11" s="60" t="s">
        <v>195</v>
      </c>
      <c r="B11" s="267" t="s">
        <v>160</v>
      </c>
      <c r="C11" s="44" t="str">
        <f t="shared" si="0"/>
        <v/>
      </c>
      <c r="D11" s="44" t="str">
        <f t="shared" si="1"/>
        <v/>
      </c>
      <c r="E11" s="41"/>
      <c r="F11" s="41"/>
      <c r="G11" s="41"/>
      <c r="H11" s="41"/>
    </row>
    <row r="12" spans="1:8" ht="15.75" x14ac:dyDescent="0.25">
      <c r="A12" s="69" t="s">
        <v>202</v>
      </c>
      <c r="B12" s="73"/>
      <c r="C12" s="44" t="str">
        <f t="shared" si="0"/>
        <v/>
      </c>
      <c r="D12" s="44" t="str">
        <f t="shared" si="1"/>
        <v/>
      </c>
      <c r="E12" s="72"/>
      <c r="F12" s="72"/>
      <c r="G12" s="72"/>
      <c r="H12" s="72"/>
    </row>
    <row r="13" spans="1:8" ht="25.5" x14ac:dyDescent="0.25">
      <c r="A13" s="61" t="s">
        <v>199</v>
      </c>
      <c r="B13" s="259" t="s">
        <v>545</v>
      </c>
      <c r="C13" s="44" t="str">
        <f t="shared" si="0"/>
        <v/>
      </c>
      <c r="D13" s="44" t="str">
        <f t="shared" si="1"/>
        <v/>
      </c>
      <c r="E13" s="41"/>
      <c r="F13" s="41"/>
      <c r="G13" s="41"/>
      <c r="H13" s="41"/>
    </row>
    <row r="14" spans="1:8" ht="15.75" x14ac:dyDescent="0.25">
      <c r="A14" s="61" t="s">
        <v>200</v>
      </c>
      <c r="B14" s="259" t="s">
        <v>120</v>
      </c>
      <c r="C14" s="44" t="str">
        <f t="shared" si="0"/>
        <v/>
      </c>
      <c r="D14" s="44" t="str">
        <f t="shared" si="1"/>
        <v/>
      </c>
      <c r="E14" s="41"/>
      <c r="F14" s="41"/>
      <c r="G14" s="41"/>
      <c r="H14" s="41"/>
    </row>
    <row r="15" spans="1:8" ht="23.25" x14ac:dyDescent="0.35">
      <c r="A15" s="77"/>
      <c r="B15" s="74" t="s">
        <v>93</v>
      </c>
      <c r="C15" s="44" t="str">
        <f t="shared" si="0"/>
        <v/>
      </c>
      <c r="D15" s="44" t="str">
        <f t="shared" si="1"/>
        <v/>
      </c>
      <c r="E15" s="72"/>
      <c r="F15" s="72"/>
      <c r="G15" s="72"/>
      <c r="H15" s="72"/>
    </row>
    <row r="16" spans="1:8" ht="15.75" x14ac:dyDescent="0.25">
      <c r="A16" s="69" t="s">
        <v>94</v>
      </c>
      <c r="B16" s="70"/>
      <c r="C16" s="44" t="str">
        <f t="shared" si="0"/>
        <v/>
      </c>
      <c r="D16" s="44" t="str">
        <f t="shared" si="1"/>
        <v/>
      </c>
      <c r="E16" s="72"/>
      <c r="F16" s="72"/>
      <c r="G16" s="72"/>
      <c r="H16" s="72"/>
    </row>
    <row r="17" spans="1:8" ht="15.75" x14ac:dyDescent="0.25">
      <c r="A17" s="60" t="s">
        <v>51</v>
      </c>
      <c r="B17" s="268" t="s">
        <v>161</v>
      </c>
      <c r="C17" s="44" t="str">
        <f t="shared" si="0"/>
        <v/>
      </c>
      <c r="D17" s="44" t="str">
        <f t="shared" si="1"/>
        <v/>
      </c>
      <c r="E17" s="41"/>
      <c r="F17" s="41"/>
      <c r="G17" s="41"/>
      <c r="H17" s="41"/>
    </row>
    <row r="18" spans="1:8" ht="15.75" x14ac:dyDescent="0.25">
      <c r="A18" s="60" t="s">
        <v>52</v>
      </c>
      <c r="B18" s="268" t="s">
        <v>552</v>
      </c>
      <c r="C18" s="44" t="str">
        <f t="shared" si="0"/>
        <v/>
      </c>
      <c r="D18" s="44" t="str">
        <f t="shared" si="1"/>
        <v/>
      </c>
      <c r="E18" s="41"/>
      <c r="F18" s="41"/>
      <c r="G18" s="41"/>
      <c r="H18" s="41"/>
    </row>
    <row r="19" spans="1:8" ht="15.75" x14ac:dyDescent="0.25">
      <c r="A19" s="60" t="s">
        <v>53</v>
      </c>
      <c r="B19" s="268" t="s">
        <v>162</v>
      </c>
      <c r="C19" s="44" t="str">
        <f t="shared" si="0"/>
        <v/>
      </c>
      <c r="D19" s="44" t="str">
        <f t="shared" si="1"/>
        <v/>
      </c>
      <c r="E19" s="41"/>
      <c r="F19" s="41"/>
      <c r="G19" s="41"/>
      <c r="H19" s="41"/>
    </row>
    <row r="20" spans="1:8" ht="15.75" x14ac:dyDescent="0.25">
      <c r="A20" s="60" t="s">
        <v>73</v>
      </c>
      <c r="B20" s="268" t="s">
        <v>254</v>
      </c>
      <c r="C20" s="44" t="str">
        <f t="shared" si="0"/>
        <v/>
      </c>
      <c r="D20" s="44" t="str">
        <f t="shared" si="1"/>
        <v/>
      </c>
      <c r="E20" s="41"/>
      <c r="F20" s="41"/>
      <c r="G20" s="41"/>
      <c r="H20" s="41"/>
    </row>
    <row r="21" spans="1:8" ht="15.75" x14ac:dyDescent="0.25">
      <c r="A21" s="69" t="s">
        <v>540</v>
      </c>
      <c r="B21" s="70"/>
      <c r="C21" s="44" t="str">
        <f t="shared" si="0"/>
        <v/>
      </c>
      <c r="D21" s="44" t="str">
        <f t="shared" si="1"/>
        <v/>
      </c>
      <c r="E21" s="72"/>
      <c r="F21" s="72"/>
      <c r="G21" s="72"/>
      <c r="H21" s="72"/>
    </row>
    <row r="22" spans="1:8" ht="15.75" x14ac:dyDescent="0.25">
      <c r="A22" s="60" t="s">
        <v>54</v>
      </c>
      <c r="B22" s="268" t="s">
        <v>255</v>
      </c>
      <c r="C22" s="44" t="str">
        <f t="shared" si="0"/>
        <v/>
      </c>
      <c r="D22" s="44" t="str">
        <f t="shared" si="1"/>
        <v/>
      </c>
      <c r="E22" s="41"/>
      <c r="F22" s="41"/>
      <c r="G22" s="41"/>
      <c r="H22" s="41"/>
    </row>
    <row r="23" spans="1:8" ht="15.75" x14ac:dyDescent="0.25">
      <c r="A23" s="60" t="s">
        <v>55</v>
      </c>
      <c r="B23" s="268" t="s">
        <v>293</v>
      </c>
      <c r="C23" s="44" t="str">
        <f t="shared" si="0"/>
        <v/>
      </c>
      <c r="D23" s="44" t="str">
        <f t="shared" si="1"/>
        <v/>
      </c>
      <c r="E23" s="41"/>
      <c r="F23" s="41"/>
      <c r="G23" s="41"/>
      <c r="H23" s="41"/>
    </row>
    <row r="24" spans="1:8" ht="15.75" x14ac:dyDescent="0.25">
      <c r="A24" s="60" t="s">
        <v>56</v>
      </c>
      <c r="B24" s="268" t="s">
        <v>163</v>
      </c>
      <c r="C24" s="44" t="str">
        <f t="shared" si="0"/>
        <v/>
      </c>
      <c r="D24" s="44" t="str">
        <f t="shared" si="1"/>
        <v/>
      </c>
      <c r="E24" s="41"/>
      <c r="F24" s="41"/>
      <c r="G24" s="41"/>
      <c r="H24" s="41"/>
    </row>
    <row r="25" spans="1:8" ht="15.75" x14ac:dyDescent="0.25">
      <c r="A25" s="60" t="s">
        <v>57</v>
      </c>
      <c r="B25" s="268" t="s">
        <v>164</v>
      </c>
      <c r="C25" s="44" t="str">
        <f t="shared" si="0"/>
        <v/>
      </c>
      <c r="D25" s="44" t="str">
        <f t="shared" si="1"/>
        <v/>
      </c>
      <c r="E25" s="41"/>
      <c r="F25" s="41"/>
      <c r="G25" s="41"/>
      <c r="H25" s="41"/>
    </row>
    <row r="26" spans="1:8" ht="15.75" x14ac:dyDescent="0.25">
      <c r="C26" s="46" t="str">
        <f t="shared" ref="C26:C79" si="2">IF(COUNTIF(E26:BA26,"YES")=0,"",COUNTIF(E26:BA26,"YES"))</f>
        <v/>
      </c>
      <c r="D26" s="46" t="str">
        <f t="shared" ref="D26:D79" si="3">IF(COUNTIF(E26:BA26,"NO")=0,"",COUNTIF(E26:BA26,"NO"))</f>
        <v/>
      </c>
    </row>
    <row r="27" spans="1:8" ht="15.75" x14ac:dyDescent="0.25">
      <c r="C27" s="46" t="str">
        <f t="shared" si="2"/>
        <v/>
      </c>
      <c r="D27" s="46" t="str">
        <f t="shared" si="3"/>
        <v/>
      </c>
    </row>
    <row r="28" spans="1:8" ht="15.75" x14ac:dyDescent="0.25">
      <c r="C28" s="46" t="str">
        <f t="shared" si="2"/>
        <v/>
      </c>
      <c r="D28" s="46" t="str">
        <f t="shared" si="3"/>
        <v/>
      </c>
    </row>
    <row r="29" spans="1:8" ht="15.75" x14ac:dyDescent="0.25">
      <c r="C29" s="46" t="str">
        <f t="shared" si="2"/>
        <v/>
      </c>
      <c r="D29" s="46" t="str">
        <f t="shared" si="3"/>
        <v/>
      </c>
    </row>
    <row r="30" spans="1:8" ht="15.75" x14ac:dyDescent="0.25">
      <c r="C30" s="46" t="str">
        <f t="shared" si="2"/>
        <v/>
      </c>
      <c r="D30" s="46" t="str">
        <f t="shared" si="3"/>
        <v/>
      </c>
    </row>
    <row r="31" spans="1:8" ht="15.75" x14ac:dyDescent="0.25">
      <c r="C31" s="46" t="str">
        <f t="shared" si="2"/>
        <v/>
      </c>
      <c r="D31" s="46" t="str">
        <f t="shared" si="3"/>
        <v/>
      </c>
    </row>
    <row r="32" spans="1:8" ht="15.75" x14ac:dyDescent="0.25">
      <c r="C32" s="46" t="str">
        <f t="shared" si="2"/>
        <v/>
      </c>
      <c r="D32" s="46" t="str">
        <f t="shared" si="3"/>
        <v/>
      </c>
    </row>
    <row r="33" spans="3:4" ht="15.75" x14ac:dyDescent="0.25">
      <c r="C33" s="46" t="str">
        <f t="shared" si="2"/>
        <v/>
      </c>
      <c r="D33" s="46" t="str">
        <f t="shared" si="3"/>
        <v/>
      </c>
    </row>
    <row r="34" spans="3:4" ht="15.75" x14ac:dyDescent="0.25">
      <c r="C34" s="46" t="str">
        <f t="shared" si="2"/>
        <v/>
      </c>
      <c r="D34" s="46" t="str">
        <f t="shared" si="3"/>
        <v/>
      </c>
    </row>
    <row r="35" spans="3:4" ht="15.75" x14ac:dyDescent="0.25">
      <c r="C35" s="46" t="str">
        <f t="shared" si="2"/>
        <v/>
      </c>
      <c r="D35" s="46" t="str">
        <f t="shared" si="3"/>
        <v/>
      </c>
    </row>
    <row r="36" spans="3:4" ht="15.75" x14ac:dyDescent="0.25">
      <c r="C36" s="46" t="str">
        <f t="shared" si="2"/>
        <v/>
      </c>
      <c r="D36" s="46" t="str">
        <f t="shared" si="3"/>
        <v/>
      </c>
    </row>
    <row r="37" spans="3:4" ht="15.75" x14ac:dyDescent="0.25">
      <c r="C37" s="46" t="str">
        <f t="shared" si="2"/>
        <v/>
      </c>
      <c r="D37" s="46" t="str">
        <f t="shared" si="3"/>
        <v/>
      </c>
    </row>
    <row r="38" spans="3:4" ht="15.75" x14ac:dyDescent="0.25">
      <c r="C38" s="46" t="str">
        <f t="shared" si="2"/>
        <v/>
      </c>
      <c r="D38" s="46" t="str">
        <f t="shared" si="3"/>
        <v/>
      </c>
    </row>
    <row r="39" spans="3:4" ht="15.75" x14ac:dyDescent="0.25">
      <c r="C39" s="46" t="str">
        <f t="shared" si="2"/>
        <v/>
      </c>
      <c r="D39" s="46" t="str">
        <f t="shared" si="3"/>
        <v/>
      </c>
    </row>
    <row r="40" spans="3:4" ht="15.75" x14ac:dyDescent="0.25">
      <c r="C40" s="46" t="str">
        <f t="shared" si="2"/>
        <v/>
      </c>
      <c r="D40" s="46" t="str">
        <f t="shared" si="3"/>
        <v/>
      </c>
    </row>
    <row r="41" spans="3:4" ht="15.75" x14ac:dyDescent="0.25">
      <c r="C41" s="46" t="str">
        <f t="shared" si="2"/>
        <v/>
      </c>
      <c r="D41" s="46" t="str">
        <f t="shared" si="3"/>
        <v/>
      </c>
    </row>
    <row r="42" spans="3:4" ht="15.75" x14ac:dyDescent="0.25">
      <c r="C42" s="46" t="str">
        <f t="shared" si="2"/>
        <v/>
      </c>
      <c r="D42" s="46" t="str">
        <f t="shared" si="3"/>
        <v/>
      </c>
    </row>
    <row r="43" spans="3:4" ht="15.75" x14ac:dyDescent="0.25">
      <c r="C43" s="46" t="str">
        <f t="shared" si="2"/>
        <v/>
      </c>
      <c r="D43" s="46" t="str">
        <f t="shared" si="3"/>
        <v/>
      </c>
    </row>
    <row r="44" spans="3:4" ht="15.75" x14ac:dyDescent="0.25">
      <c r="C44" s="46" t="str">
        <f t="shared" si="2"/>
        <v/>
      </c>
      <c r="D44" s="46" t="str">
        <f t="shared" si="3"/>
        <v/>
      </c>
    </row>
    <row r="45" spans="3:4" ht="15.75" x14ac:dyDescent="0.25">
      <c r="C45" s="46" t="str">
        <f t="shared" si="2"/>
        <v/>
      </c>
      <c r="D45" s="46" t="str">
        <f t="shared" si="3"/>
        <v/>
      </c>
    </row>
    <row r="46" spans="3:4" ht="15.75" x14ac:dyDescent="0.25">
      <c r="C46" s="46" t="str">
        <f t="shared" si="2"/>
        <v/>
      </c>
      <c r="D46" s="46" t="str">
        <f t="shared" si="3"/>
        <v/>
      </c>
    </row>
    <row r="47" spans="3:4" ht="15.75" x14ac:dyDescent="0.25">
      <c r="C47" s="46" t="str">
        <f t="shared" si="2"/>
        <v/>
      </c>
      <c r="D47" s="46" t="str">
        <f t="shared" si="3"/>
        <v/>
      </c>
    </row>
    <row r="48" spans="3:4" ht="15.75" x14ac:dyDescent="0.25">
      <c r="C48" s="46" t="str">
        <f t="shared" si="2"/>
        <v/>
      </c>
      <c r="D48" s="46" t="str">
        <f t="shared" si="3"/>
        <v/>
      </c>
    </row>
    <row r="49" spans="3:4" ht="15.75" x14ac:dyDescent="0.25">
      <c r="C49" s="46" t="str">
        <f t="shared" si="2"/>
        <v/>
      </c>
      <c r="D49" s="46" t="str">
        <f t="shared" si="3"/>
        <v/>
      </c>
    </row>
    <row r="50" spans="3:4" ht="15.75" x14ac:dyDescent="0.25">
      <c r="C50" s="46" t="str">
        <f t="shared" si="2"/>
        <v/>
      </c>
      <c r="D50" s="46" t="str">
        <f t="shared" si="3"/>
        <v/>
      </c>
    </row>
    <row r="51" spans="3:4" ht="15.75" x14ac:dyDescent="0.25">
      <c r="C51" s="46" t="str">
        <f t="shared" si="2"/>
        <v/>
      </c>
      <c r="D51" s="46" t="str">
        <f t="shared" si="3"/>
        <v/>
      </c>
    </row>
    <row r="52" spans="3:4" ht="15.75" x14ac:dyDescent="0.25">
      <c r="C52" s="46" t="str">
        <f t="shared" si="2"/>
        <v/>
      </c>
      <c r="D52" s="46" t="str">
        <f t="shared" si="3"/>
        <v/>
      </c>
    </row>
    <row r="53" spans="3:4" ht="15.75" x14ac:dyDescent="0.25">
      <c r="C53" s="46" t="str">
        <f t="shared" si="2"/>
        <v/>
      </c>
      <c r="D53" s="46" t="str">
        <f t="shared" si="3"/>
        <v/>
      </c>
    </row>
    <row r="54" spans="3:4" ht="15.75" x14ac:dyDescent="0.25">
      <c r="C54" s="46" t="str">
        <f t="shared" si="2"/>
        <v/>
      </c>
      <c r="D54" s="46" t="str">
        <f t="shared" si="3"/>
        <v/>
      </c>
    </row>
    <row r="55" spans="3:4" ht="15.75" x14ac:dyDescent="0.25">
      <c r="C55" s="46" t="str">
        <f t="shared" si="2"/>
        <v/>
      </c>
      <c r="D55" s="46" t="str">
        <f t="shared" si="3"/>
        <v/>
      </c>
    </row>
    <row r="56" spans="3:4" ht="15.75" x14ac:dyDescent="0.25">
      <c r="C56" s="46" t="str">
        <f t="shared" si="2"/>
        <v/>
      </c>
      <c r="D56" s="46" t="str">
        <f t="shared" si="3"/>
        <v/>
      </c>
    </row>
    <row r="57" spans="3:4" ht="15.75" x14ac:dyDescent="0.25">
      <c r="C57" s="46" t="str">
        <f t="shared" si="2"/>
        <v/>
      </c>
      <c r="D57" s="46" t="str">
        <f t="shared" si="3"/>
        <v/>
      </c>
    </row>
    <row r="58" spans="3:4" ht="15.75" x14ac:dyDescent="0.25">
      <c r="C58" s="46" t="str">
        <f t="shared" si="2"/>
        <v/>
      </c>
      <c r="D58" s="46" t="str">
        <f t="shared" si="3"/>
        <v/>
      </c>
    </row>
    <row r="59" spans="3:4" ht="15.75" x14ac:dyDescent="0.25">
      <c r="C59" s="46" t="str">
        <f t="shared" si="2"/>
        <v/>
      </c>
      <c r="D59" s="46" t="str">
        <f t="shared" si="3"/>
        <v/>
      </c>
    </row>
    <row r="60" spans="3:4" ht="15.75" x14ac:dyDescent="0.25">
      <c r="C60" s="46" t="str">
        <f t="shared" si="2"/>
        <v/>
      </c>
      <c r="D60" s="46" t="str">
        <f t="shared" si="3"/>
        <v/>
      </c>
    </row>
    <row r="61" spans="3:4" ht="15.75" x14ac:dyDescent="0.25">
      <c r="C61" s="46" t="str">
        <f t="shared" si="2"/>
        <v/>
      </c>
      <c r="D61" s="46" t="str">
        <f t="shared" si="3"/>
        <v/>
      </c>
    </row>
    <row r="62" spans="3:4" ht="15.75" x14ac:dyDescent="0.25">
      <c r="C62" s="46" t="str">
        <f t="shared" si="2"/>
        <v/>
      </c>
      <c r="D62" s="46" t="str">
        <f t="shared" si="3"/>
        <v/>
      </c>
    </row>
    <row r="63" spans="3:4" ht="15.75" x14ac:dyDescent="0.25">
      <c r="C63" s="46" t="str">
        <f t="shared" si="2"/>
        <v/>
      </c>
      <c r="D63" s="46" t="str">
        <f t="shared" si="3"/>
        <v/>
      </c>
    </row>
    <row r="64" spans="3:4" ht="15.75" x14ac:dyDescent="0.25">
      <c r="C64" s="46" t="str">
        <f t="shared" si="2"/>
        <v/>
      </c>
      <c r="D64" s="46" t="str">
        <f t="shared" si="3"/>
        <v/>
      </c>
    </row>
    <row r="65" spans="3:4" ht="15.75" x14ac:dyDescent="0.25">
      <c r="C65" s="46" t="str">
        <f t="shared" si="2"/>
        <v/>
      </c>
      <c r="D65" s="46" t="str">
        <f t="shared" si="3"/>
        <v/>
      </c>
    </row>
    <row r="66" spans="3:4" ht="15.75" x14ac:dyDescent="0.25">
      <c r="C66" s="46" t="str">
        <f t="shared" si="2"/>
        <v/>
      </c>
      <c r="D66" s="46" t="str">
        <f t="shared" si="3"/>
        <v/>
      </c>
    </row>
    <row r="67" spans="3:4" ht="15.75" x14ac:dyDescent="0.25">
      <c r="C67" s="46" t="str">
        <f t="shared" si="2"/>
        <v/>
      </c>
      <c r="D67" s="46" t="str">
        <f t="shared" si="3"/>
        <v/>
      </c>
    </row>
    <row r="68" spans="3:4" ht="15.75" x14ac:dyDescent="0.25">
      <c r="C68" s="46" t="str">
        <f t="shared" si="2"/>
        <v/>
      </c>
      <c r="D68" s="46" t="str">
        <f t="shared" si="3"/>
        <v/>
      </c>
    </row>
    <row r="69" spans="3:4" ht="15.75" x14ac:dyDescent="0.25">
      <c r="C69" s="46" t="str">
        <f t="shared" si="2"/>
        <v/>
      </c>
      <c r="D69" s="46" t="str">
        <f t="shared" si="3"/>
        <v/>
      </c>
    </row>
    <row r="70" spans="3:4" ht="15.75" x14ac:dyDescent="0.25">
      <c r="C70" s="46" t="str">
        <f t="shared" si="2"/>
        <v/>
      </c>
      <c r="D70" s="46" t="str">
        <f t="shared" si="3"/>
        <v/>
      </c>
    </row>
    <row r="71" spans="3:4" ht="15.75" x14ac:dyDescent="0.25">
      <c r="C71" s="46" t="str">
        <f t="shared" si="2"/>
        <v/>
      </c>
      <c r="D71" s="46" t="str">
        <f t="shared" si="3"/>
        <v/>
      </c>
    </row>
    <row r="72" spans="3:4" ht="15.75" x14ac:dyDescent="0.25">
      <c r="C72" s="46" t="str">
        <f t="shared" si="2"/>
        <v/>
      </c>
      <c r="D72" s="46" t="str">
        <f t="shared" si="3"/>
        <v/>
      </c>
    </row>
    <row r="73" spans="3:4" ht="15.75" x14ac:dyDescent="0.25">
      <c r="C73" s="46" t="str">
        <f t="shared" si="2"/>
        <v/>
      </c>
      <c r="D73" s="46" t="str">
        <f t="shared" si="3"/>
        <v/>
      </c>
    </row>
    <row r="74" spans="3:4" ht="15.75" x14ac:dyDescent="0.25">
      <c r="C74" s="46" t="str">
        <f t="shared" si="2"/>
        <v/>
      </c>
      <c r="D74" s="46" t="str">
        <f t="shared" si="3"/>
        <v/>
      </c>
    </row>
    <row r="75" spans="3:4" ht="15.75" x14ac:dyDescent="0.25">
      <c r="C75" s="46" t="str">
        <f t="shared" si="2"/>
        <v/>
      </c>
      <c r="D75" s="46" t="str">
        <f t="shared" si="3"/>
        <v/>
      </c>
    </row>
    <row r="76" spans="3:4" ht="15.75" x14ac:dyDescent="0.25">
      <c r="C76" s="46" t="str">
        <f t="shared" si="2"/>
        <v/>
      </c>
      <c r="D76" s="46" t="str">
        <f t="shared" si="3"/>
        <v/>
      </c>
    </row>
    <row r="77" spans="3:4" ht="15.75" x14ac:dyDescent="0.25">
      <c r="C77" s="46" t="str">
        <f t="shared" si="2"/>
        <v/>
      </c>
      <c r="D77" s="46" t="str">
        <f t="shared" si="3"/>
        <v/>
      </c>
    </row>
    <row r="78" spans="3:4" ht="15.75" x14ac:dyDescent="0.25">
      <c r="C78" s="46" t="str">
        <f t="shared" si="2"/>
        <v/>
      </c>
      <c r="D78" s="46" t="str">
        <f t="shared" si="3"/>
        <v/>
      </c>
    </row>
    <row r="79" spans="3:4" ht="15.75" x14ac:dyDescent="0.25">
      <c r="C79" s="46" t="str">
        <f t="shared" si="2"/>
        <v/>
      </c>
      <c r="D79" s="46" t="str">
        <f t="shared" si="3"/>
        <v/>
      </c>
    </row>
    <row r="80" spans="3:4" ht="15.75" x14ac:dyDescent="0.25">
      <c r="C80" s="46" t="str">
        <f t="shared" ref="C80:C143" si="4">IF(COUNTIF(E80:BA80,"YES")=0,"",COUNTIF(E80:BA80,"YES"))</f>
        <v/>
      </c>
      <c r="D80" s="46" t="str">
        <f t="shared" ref="D80:D143" si="5">IF(COUNTIF(E80:BA80,"NO")=0,"",COUNTIF(E80:BA80,"NO"))</f>
        <v/>
      </c>
    </row>
    <row r="81" spans="3:4" ht="15.75" x14ac:dyDescent="0.25">
      <c r="C81" s="46" t="str">
        <f t="shared" si="4"/>
        <v/>
      </c>
      <c r="D81" s="46" t="str">
        <f t="shared" si="5"/>
        <v/>
      </c>
    </row>
    <row r="82" spans="3:4" ht="15.75" x14ac:dyDescent="0.25">
      <c r="C82" s="46" t="str">
        <f t="shared" si="4"/>
        <v/>
      </c>
      <c r="D82" s="46" t="str">
        <f t="shared" si="5"/>
        <v/>
      </c>
    </row>
    <row r="83" spans="3:4" ht="15.75" x14ac:dyDescent="0.25">
      <c r="C83" s="46" t="str">
        <f t="shared" si="4"/>
        <v/>
      </c>
      <c r="D83" s="46" t="str">
        <f t="shared" si="5"/>
        <v/>
      </c>
    </row>
    <row r="84" spans="3:4" ht="15.75" x14ac:dyDescent="0.25">
      <c r="C84" s="46" t="str">
        <f t="shared" si="4"/>
        <v/>
      </c>
      <c r="D84" s="46" t="str">
        <f t="shared" si="5"/>
        <v/>
      </c>
    </row>
    <row r="85" spans="3:4" ht="15.75" x14ac:dyDescent="0.25">
      <c r="C85" s="46" t="str">
        <f t="shared" si="4"/>
        <v/>
      </c>
      <c r="D85" s="46" t="str">
        <f t="shared" si="5"/>
        <v/>
      </c>
    </row>
    <row r="86" spans="3:4" ht="15.75" x14ac:dyDescent="0.25">
      <c r="C86" s="46" t="str">
        <f t="shared" si="4"/>
        <v/>
      </c>
      <c r="D86" s="46" t="str">
        <f t="shared" si="5"/>
        <v/>
      </c>
    </row>
    <row r="87" spans="3:4" ht="15.75" x14ac:dyDescent="0.25">
      <c r="C87" s="46" t="str">
        <f t="shared" si="4"/>
        <v/>
      </c>
      <c r="D87" s="46" t="str">
        <f t="shared" si="5"/>
        <v/>
      </c>
    </row>
    <row r="88" spans="3:4" ht="15.75" x14ac:dyDescent="0.25">
      <c r="C88" s="46" t="str">
        <f t="shared" si="4"/>
        <v/>
      </c>
      <c r="D88" s="46" t="str">
        <f t="shared" si="5"/>
        <v/>
      </c>
    </row>
    <row r="89" spans="3:4" ht="15.75" x14ac:dyDescent="0.25">
      <c r="C89" s="46" t="str">
        <f t="shared" si="4"/>
        <v/>
      </c>
      <c r="D89" s="46" t="str">
        <f t="shared" si="5"/>
        <v/>
      </c>
    </row>
    <row r="90" spans="3:4" ht="15.75" x14ac:dyDescent="0.25">
      <c r="C90" s="46" t="str">
        <f t="shared" si="4"/>
        <v/>
      </c>
      <c r="D90" s="46" t="str">
        <f t="shared" si="5"/>
        <v/>
      </c>
    </row>
    <row r="91" spans="3:4" ht="15.75" x14ac:dyDescent="0.25">
      <c r="C91" s="46" t="str">
        <f t="shared" si="4"/>
        <v/>
      </c>
      <c r="D91" s="46" t="str">
        <f t="shared" si="5"/>
        <v/>
      </c>
    </row>
    <row r="92" spans="3:4" ht="15.75" x14ac:dyDescent="0.25">
      <c r="C92" s="46" t="str">
        <f t="shared" si="4"/>
        <v/>
      </c>
      <c r="D92" s="46" t="str">
        <f t="shared" si="5"/>
        <v/>
      </c>
    </row>
    <row r="93" spans="3:4" ht="15.75" x14ac:dyDescent="0.25">
      <c r="C93" s="46" t="str">
        <f t="shared" si="4"/>
        <v/>
      </c>
      <c r="D93" s="46" t="str">
        <f t="shared" si="5"/>
        <v/>
      </c>
    </row>
    <row r="94" spans="3:4" ht="15.75" x14ac:dyDescent="0.25">
      <c r="C94" s="46" t="str">
        <f t="shared" si="4"/>
        <v/>
      </c>
      <c r="D94" s="46" t="str">
        <f t="shared" si="5"/>
        <v/>
      </c>
    </row>
    <row r="95" spans="3:4" ht="15.75" x14ac:dyDescent="0.25">
      <c r="C95" s="46" t="str">
        <f t="shared" si="4"/>
        <v/>
      </c>
      <c r="D95" s="46" t="str">
        <f t="shared" si="5"/>
        <v/>
      </c>
    </row>
    <row r="96" spans="3:4" ht="15.75" x14ac:dyDescent="0.25">
      <c r="C96" s="46" t="str">
        <f t="shared" si="4"/>
        <v/>
      </c>
      <c r="D96" s="46" t="str">
        <f t="shared" si="5"/>
        <v/>
      </c>
    </row>
    <row r="97" spans="3:4" ht="15.75" x14ac:dyDescent="0.25">
      <c r="C97" s="46" t="str">
        <f t="shared" si="4"/>
        <v/>
      </c>
      <c r="D97" s="46" t="str">
        <f t="shared" si="5"/>
        <v/>
      </c>
    </row>
    <row r="98" spans="3:4" ht="15.75" x14ac:dyDescent="0.25">
      <c r="C98" s="46" t="str">
        <f t="shared" si="4"/>
        <v/>
      </c>
      <c r="D98" s="46" t="str">
        <f t="shared" si="5"/>
        <v/>
      </c>
    </row>
    <row r="99" spans="3:4" ht="15.75" x14ac:dyDescent="0.25">
      <c r="C99" s="46" t="str">
        <f t="shared" si="4"/>
        <v/>
      </c>
      <c r="D99" s="46" t="str">
        <f t="shared" si="5"/>
        <v/>
      </c>
    </row>
    <row r="100" spans="3:4" ht="15.75" x14ac:dyDescent="0.25">
      <c r="C100" s="46" t="str">
        <f t="shared" si="4"/>
        <v/>
      </c>
      <c r="D100" s="46" t="str">
        <f t="shared" si="5"/>
        <v/>
      </c>
    </row>
    <row r="101" spans="3:4" ht="15.75" x14ac:dyDescent="0.25">
      <c r="C101" s="46" t="str">
        <f t="shared" si="4"/>
        <v/>
      </c>
      <c r="D101" s="46" t="str">
        <f t="shared" si="5"/>
        <v/>
      </c>
    </row>
    <row r="102" spans="3:4" ht="15.75" x14ac:dyDescent="0.25">
      <c r="C102" s="46" t="str">
        <f t="shared" si="4"/>
        <v/>
      </c>
      <c r="D102" s="46" t="str">
        <f t="shared" si="5"/>
        <v/>
      </c>
    </row>
    <row r="103" spans="3:4" ht="15.75" x14ac:dyDescent="0.25">
      <c r="C103" s="46" t="str">
        <f t="shared" si="4"/>
        <v/>
      </c>
      <c r="D103" s="46" t="str">
        <f t="shared" si="5"/>
        <v/>
      </c>
    </row>
    <row r="104" spans="3:4" ht="15.75" x14ac:dyDescent="0.25">
      <c r="C104" s="46" t="str">
        <f t="shared" si="4"/>
        <v/>
      </c>
      <c r="D104" s="46" t="str">
        <f t="shared" si="5"/>
        <v/>
      </c>
    </row>
    <row r="105" spans="3:4" ht="15.75" x14ac:dyDescent="0.25">
      <c r="C105" s="46" t="str">
        <f t="shared" si="4"/>
        <v/>
      </c>
      <c r="D105" s="46" t="str">
        <f t="shared" si="5"/>
        <v/>
      </c>
    </row>
    <row r="106" spans="3:4" ht="15.75" x14ac:dyDescent="0.25">
      <c r="C106" s="46" t="str">
        <f t="shared" si="4"/>
        <v/>
      </c>
      <c r="D106" s="46" t="str">
        <f t="shared" si="5"/>
        <v/>
      </c>
    </row>
    <row r="107" spans="3:4" ht="15.75" x14ac:dyDescent="0.25">
      <c r="C107" s="46" t="str">
        <f t="shared" si="4"/>
        <v/>
      </c>
      <c r="D107" s="46" t="str">
        <f t="shared" si="5"/>
        <v/>
      </c>
    </row>
    <row r="108" spans="3:4" ht="15.75" x14ac:dyDescent="0.25">
      <c r="C108" s="46" t="str">
        <f t="shared" si="4"/>
        <v/>
      </c>
      <c r="D108" s="46" t="str">
        <f t="shared" si="5"/>
        <v/>
      </c>
    </row>
    <row r="109" spans="3:4" ht="15.75" x14ac:dyDescent="0.25">
      <c r="C109" s="46" t="str">
        <f t="shared" si="4"/>
        <v/>
      </c>
      <c r="D109" s="46" t="str">
        <f t="shared" si="5"/>
        <v/>
      </c>
    </row>
    <row r="110" spans="3:4" ht="15.75" x14ac:dyDescent="0.25">
      <c r="C110" s="46" t="str">
        <f t="shared" si="4"/>
        <v/>
      </c>
      <c r="D110" s="46" t="str">
        <f t="shared" si="5"/>
        <v/>
      </c>
    </row>
    <row r="111" spans="3:4" ht="15.75" x14ac:dyDescent="0.25">
      <c r="C111" s="46" t="str">
        <f t="shared" si="4"/>
        <v/>
      </c>
      <c r="D111" s="46" t="str">
        <f t="shared" si="5"/>
        <v/>
      </c>
    </row>
    <row r="112" spans="3:4" ht="15.75" x14ac:dyDescent="0.25">
      <c r="C112" s="46" t="str">
        <f t="shared" si="4"/>
        <v/>
      </c>
      <c r="D112" s="46" t="str">
        <f t="shared" si="5"/>
        <v/>
      </c>
    </row>
    <row r="113" spans="3:4" ht="15.75" x14ac:dyDescent="0.25">
      <c r="C113" s="46" t="str">
        <f t="shared" si="4"/>
        <v/>
      </c>
      <c r="D113" s="46" t="str">
        <f t="shared" si="5"/>
        <v/>
      </c>
    </row>
    <row r="114" spans="3:4" ht="15.75" x14ac:dyDescent="0.25">
      <c r="C114" s="46" t="str">
        <f t="shared" si="4"/>
        <v/>
      </c>
      <c r="D114" s="46" t="str">
        <f t="shared" si="5"/>
        <v/>
      </c>
    </row>
    <row r="115" spans="3:4" ht="15.75" x14ac:dyDescent="0.25">
      <c r="C115" s="46" t="str">
        <f t="shared" si="4"/>
        <v/>
      </c>
      <c r="D115" s="46" t="str">
        <f t="shared" si="5"/>
        <v/>
      </c>
    </row>
    <row r="116" spans="3:4" ht="15.75" x14ac:dyDescent="0.25">
      <c r="C116" s="46" t="str">
        <f t="shared" si="4"/>
        <v/>
      </c>
      <c r="D116" s="46" t="str">
        <f t="shared" si="5"/>
        <v/>
      </c>
    </row>
    <row r="117" spans="3:4" ht="15.75" x14ac:dyDescent="0.25">
      <c r="C117" s="46" t="str">
        <f t="shared" si="4"/>
        <v/>
      </c>
      <c r="D117" s="46" t="str">
        <f t="shared" si="5"/>
        <v/>
      </c>
    </row>
    <row r="118" spans="3:4" ht="15.75" x14ac:dyDescent="0.25">
      <c r="C118" s="46" t="str">
        <f t="shared" si="4"/>
        <v/>
      </c>
      <c r="D118" s="46" t="str">
        <f t="shared" si="5"/>
        <v/>
      </c>
    </row>
    <row r="119" spans="3:4" ht="15.75" x14ac:dyDescent="0.25">
      <c r="C119" s="46" t="str">
        <f t="shared" si="4"/>
        <v/>
      </c>
      <c r="D119" s="46" t="str">
        <f t="shared" si="5"/>
        <v/>
      </c>
    </row>
    <row r="120" spans="3:4" ht="15.75" x14ac:dyDescent="0.25">
      <c r="C120" s="46" t="str">
        <f t="shared" si="4"/>
        <v/>
      </c>
      <c r="D120" s="46" t="str">
        <f t="shared" si="5"/>
        <v/>
      </c>
    </row>
    <row r="121" spans="3:4" ht="15.75" x14ac:dyDescent="0.25">
      <c r="C121" s="46" t="str">
        <f t="shared" si="4"/>
        <v/>
      </c>
      <c r="D121" s="46" t="str">
        <f t="shared" si="5"/>
        <v/>
      </c>
    </row>
    <row r="122" spans="3:4" ht="15.75" x14ac:dyDescent="0.25">
      <c r="C122" s="46" t="str">
        <f t="shared" si="4"/>
        <v/>
      </c>
      <c r="D122" s="46" t="str">
        <f t="shared" si="5"/>
        <v/>
      </c>
    </row>
    <row r="123" spans="3:4" ht="15.75" x14ac:dyDescent="0.25">
      <c r="C123" s="46" t="str">
        <f t="shared" si="4"/>
        <v/>
      </c>
      <c r="D123" s="46" t="str">
        <f t="shared" si="5"/>
        <v/>
      </c>
    </row>
    <row r="124" spans="3:4" ht="15.75" x14ac:dyDescent="0.25">
      <c r="C124" s="46" t="str">
        <f t="shared" si="4"/>
        <v/>
      </c>
      <c r="D124" s="46" t="str">
        <f t="shared" si="5"/>
        <v/>
      </c>
    </row>
    <row r="125" spans="3:4" ht="15.75" x14ac:dyDescent="0.25">
      <c r="C125" s="46" t="str">
        <f t="shared" si="4"/>
        <v/>
      </c>
      <c r="D125" s="46" t="str">
        <f t="shared" si="5"/>
        <v/>
      </c>
    </row>
    <row r="126" spans="3:4" ht="15.75" x14ac:dyDescent="0.25">
      <c r="C126" s="46" t="str">
        <f t="shared" si="4"/>
        <v/>
      </c>
      <c r="D126" s="46" t="str">
        <f t="shared" si="5"/>
        <v/>
      </c>
    </row>
    <row r="127" spans="3:4" ht="15.75" x14ac:dyDescent="0.25">
      <c r="C127" s="46" t="str">
        <f t="shared" si="4"/>
        <v/>
      </c>
      <c r="D127" s="46" t="str">
        <f t="shared" si="5"/>
        <v/>
      </c>
    </row>
    <row r="128" spans="3:4" ht="15.75" x14ac:dyDescent="0.25">
      <c r="C128" s="46" t="str">
        <f t="shared" si="4"/>
        <v/>
      </c>
      <c r="D128" s="46" t="str">
        <f t="shared" si="5"/>
        <v/>
      </c>
    </row>
    <row r="129" spans="3:4" ht="15.75" x14ac:dyDescent="0.25">
      <c r="C129" s="46" t="str">
        <f t="shared" si="4"/>
        <v/>
      </c>
      <c r="D129" s="46" t="str">
        <f t="shared" si="5"/>
        <v/>
      </c>
    </row>
    <row r="130" spans="3:4" ht="15.75" x14ac:dyDescent="0.25">
      <c r="C130" s="46" t="str">
        <f t="shared" si="4"/>
        <v/>
      </c>
      <c r="D130" s="46" t="str">
        <f t="shared" si="5"/>
        <v/>
      </c>
    </row>
    <row r="131" spans="3:4" ht="15.75" x14ac:dyDescent="0.25">
      <c r="C131" s="46" t="str">
        <f t="shared" si="4"/>
        <v/>
      </c>
      <c r="D131" s="46" t="str">
        <f t="shared" si="5"/>
        <v/>
      </c>
    </row>
    <row r="132" spans="3:4" ht="15.75" x14ac:dyDescent="0.25">
      <c r="C132" s="46" t="str">
        <f t="shared" si="4"/>
        <v/>
      </c>
      <c r="D132" s="46" t="str">
        <f t="shared" si="5"/>
        <v/>
      </c>
    </row>
    <row r="133" spans="3:4" ht="15.75" x14ac:dyDescent="0.25">
      <c r="C133" s="46" t="str">
        <f t="shared" si="4"/>
        <v/>
      </c>
      <c r="D133" s="46" t="str">
        <f t="shared" si="5"/>
        <v/>
      </c>
    </row>
    <row r="134" spans="3:4" ht="15.75" x14ac:dyDescent="0.25">
      <c r="C134" s="46" t="str">
        <f t="shared" si="4"/>
        <v/>
      </c>
      <c r="D134" s="46" t="str">
        <f t="shared" si="5"/>
        <v/>
      </c>
    </row>
    <row r="135" spans="3:4" ht="15.75" x14ac:dyDescent="0.25">
      <c r="C135" s="46" t="str">
        <f t="shared" si="4"/>
        <v/>
      </c>
      <c r="D135" s="46" t="str">
        <f t="shared" si="5"/>
        <v/>
      </c>
    </row>
    <row r="136" spans="3:4" ht="15.75" x14ac:dyDescent="0.25">
      <c r="C136" s="46" t="str">
        <f t="shared" si="4"/>
        <v/>
      </c>
      <c r="D136" s="46" t="str">
        <f t="shared" si="5"/>
        <v/>
      </c>
    </row>
    <row r="137" spans="3:4" ht="15.75" x14ac:dyDescent="0.25">
      <c r="C137" s="46" t="str">
        <f t="shared" si="4"/>
        <v/>
      </c>
      <c r="D137" s="46" t="str">
        <f t="shared" si="5"/>
        <v/>
      </c>
    </row>
    <row r="138" spans="3:4" ht="15.75" x14ac:dyDescent="0.25">
      <c r="C138" s="46" t="str">
        <f t="shared" si="4"/>
        <v/>
      </c>
      <c r="D138" s="46" t="str">
        <f t="shared" si="5"/>
        <v/>
      </c>
    </row>
    <row r="139" spans="3:4" ht="15.75" x14ac:dyDescent="0.25">
      <c r="C139" s="46" t="str">
        <f t="shared" si="4"/>
        <v/>
      </c>
      <c r="D139" s="46" t="str">
        <f t="shared" si="5"/>
        <v/>
      </c>
    </row>
    <row r="140" spans="3:4" ht="15.75" x14ac:dyDescent="0.25">
      <c r="C140" s="46" t="str">
        <f t="shared" si="4"/>
        <v/>
      </c>
      <c r="D140" s="46" t="str">
        <f t="shared" si="5"/>
        <v/>
      </c>
    </row>
    <row r="141" spans="3:4" ht="15.75" x14ac:dyDescent="0.25">
      <c r="C141" s="46" t="str">
        <f t="shared" si="4"/>
        <v/>
      </c>
      <c r="D141" s="46" t="str">
        <f t="shared" si="5"/>
        <v/>
      </c>
    </row>
    <row r="142" spans="3:4" ht="15.75" x14ac:dyDescent="0.25">
      <c r="C142" s="46" t="str">
        <f t="shared" si="4"/>
        <v/>
      </c>
      <c r="D142" s="46" t="str">
        <f t="shared" si="5"/>
        <v/>
      </c>
    </row>
    <row r="143" spans="3:4" ht="15.75" x14ac:dyDescent="0.25">
      <c r="C143" s="46" t="str">
        <f t="shared" si="4"/>
        <v/>
      </c>
      <c r="D143" s="46" t="str">
        <f t="shared" si="5"/>
        <v/>
      </c>
    </row>
    <row r="144" spans="3:4" ht="15.75" x14ac:dyDescent="0.25">
      <c r="C144" s="46" t="str">
        <f t="shared" ref="C144:C207" si="6">IF(COUNTIF(E144:BA144,"YES")=0,"",COUNTIF(E144:BA144,"YES"))</f>
        <v/>
      </c>
      <c r="D144" s="46" t="str">
        <f t="shared" ref="D144:D207" si="7">IF(COUNTIF(E144:BA144,"NO")=0,"",COUNTIF(E144:BA144,"NO"))</f>
        <v/>
      </c>
    </row>
    <row r="145" spans="3:4" ht="15.75" x14ac:dyDescent="0.25">
      <c r="C145" s="46" t="str">
        <f t="shared" si="6"/>
        <v/>
      </c>
      <c r="D145" s="46" t="str">
        <f t="shared" si="7"/>
        <v/>
      </c>
    </row>
    <row r="146" spans="3:4" ht="15.75" x14ac:dyDescent="0.25">
      <c r="C146" s="46" t="str">
        <f t="shared" si="6"/>
        <v/>
      </c>
      <c r="D146" s="46" t="str">
        <f t="shared" si="7"/>
        <v/>
      </c>
    </row>
    <row r="147" spans="3:4" ht="15.75" x14ac:dyDescent="0.25">
      <c r="C147" s="46" t="str">
        <f t="shared" si="6"/>
        <v/>
      </c>
      <c r="D147" s="46" t="str">
        <f t="shared" si="7"/>
        <v/>
      </c>
    </row>
    <row r="148" spans="3:4" ht="15.75" x14ac:dyDescent="0.25">
      <c r="C148" s="46" t="str">
        <f t="shared" si="6"/>
        <v/>
      </c>
      <c r="D148" s="46" t="str">
        <f t="shared" si="7"/>
        <v/>
      </c>
    </row>
    <row r="149" spans="3:4" ht="15.75" x14ac:dyDescent="0.25">
      <c r="C149" s="46" t="str">
        <f t="shared" si="6"/>
        <v/>
      </c>
      <c r="D149" s="46" t="str">
        <f t="shared" si="7"/>
        <v/>
      </c>
    </row>
    <row r="150" spans="3:4" ht="15.75" x14ac:dyDescent="0.25">
      <c r="C150" s="46" t="str">
        <f t="shared" si="6"/>
        <v/>
      </c>
      <c r="D150" s="46" t="str">
        <f t="shared" si="7"/>
        <v/>
      </c>
    </row>
    <row r="151" spans="3:4" ht="15.75" x14ac:dyDescent="0.25">
      <c r="C151" s="46" t="str">
        <f t="shared" si="6"/>
        <v/>
      </c>
      <c r="D151" s="46" t="str">
        <f t="shared" si="7"/>
        <v/>
      </c>
    </row>
    <row r="152" spans="3:4" ht="15.75" x14ac:dyDescent="0.25">
      <c r="C152" s="46" t="str">
        <f t="shared" si="6"/>
        <v/>
      </c>
      <c r="D152" s="46" t="str">
        <f t="shared" si="7"/>
        <v/>
      </c>
    </row>
    <row r="153" spans="3:4" ht="15.75" x14ac:dyDescent="0.25">
      <c r="C153" s="46" t="str">
        <f t="shared" si="6"/>
        <v/>
      </c>
      <c r="D153" s="46" t="str">
        <f t="shared" si="7"/>
        <v/>
      </c>
    </row>
    <row r="154" spans="3:4" ht="15.75" x14ac:dyDescent="0.25">
      <c r="C154" s="46" t="str">
        <f t="shared" si="6"/>
        <v/>
      </c>
      <c r="D154" s="46" t="str">
        <f t="shared" si="7"/>
        <v/>
      </c>
    </row>
    <row r="155" spans="3:4" ht="15.75" x14ac:dyDescent="0.25">
      <c r="C155" s="46" t="str">
        <f t="shared" si="6"/>
        <v/>
      </c>
      <c r="D155" s="46" t="str">
        <f t="shared" si="7"/>
        <v/>
      </c>
    </row>
    <row r="156" spans="3:4" ht="15.75" x14ac:dyDescent="0.25">
      <c r="C156" s="46" t="str">
        <f t="shared" si="6"/>
        <v/>
      </c>
      <c r="D156" s="46" t="str">
        <f t="shared" si="7"/>
        <v/>
      </c>
    </row>
    <row r="157" spans="3:4" ht="15.75" x14ac:dyDescent="0.25">
      <c r="C157" s="46" t="str">
        <f t="shared" si="6"/>
        <v/>
      </c>
      <c r="D157" s="46" t="str">
        <f t="shared" si="7"/>
        <v/>
      </c>
    </row>
    <row r="158" spans="3:4" ht="15.75" x14ac:dyDescent="0.25">
      <c r="C158" s="46" t="str">
        <f t="shared" si="6"/>
        <v/>
      </c>
      <c r="D158" s="46" t="str">
        <f t="shared" si="7"/>
        <v/>
      </c>
    </row>
    <row r="159" spans="3:4" ht="15.75" x14ac:dyDescent="0.25">
      <c r="C159" s="46" t="str">
        <f t="shared" si="6"/>
        <v/>
      </c>
      <c r="D159" s="46" t="str">
        <f t="shared" si="7"/>
        <v/>
      </c>
    </row>
    <row r="160" spans="3:4" ht="15.75" x14ac:dyDescent="0.25">
      <c r="C160" s="46" t="str">
        <f t="shared" si="6"/>
        <v/>
      </c>
      <c r="D160" s="46" t="str">
        <f t="shared" si="7"/>
        <v/>
      </c>
    </row>
    <row r="161" spans="3:4" ht="15.75" x14ac:dyDescent="0.25">
      <c r="C161" s="46" t="str">
        <f t="shared" si="6"/>
        <v/>
      </c>
      <c r="D161" s="46" t="str">
        <f t="shared" si="7"/>
        <v/>
      </c>
    </row>
    <row r="162" spans="3:4" ht="15.75" x14ac:dyDescent="0.25">
      <c r="C162" s="46" t="str">
        <f t="shared" si="6"/>
        <v/>
      </c>
      <c r="D162" s="46" t="str">
        <f t="shared" si="7"/>
        <v/>
      </c>
    </row>
    <row r="163" spans="3:4" ht="15.75" x14ac:dyDescent="0.25">
      <c r="C163" s="46" t="str">
        <f t="shared" si="6"/>
        <v/>
      </c>
      <c r="D163" s="46" t="str">
        <f t="shared" si="7"/>
        <v/>
      </c>
    </row>
    <row r="164" spans="3:4" ht="15.75" x14ac:dyDescent="0.25">
      <c r="C164" s="46" t="str">
        <f t="shared" si="6"/>
        <v/>
      </c>
      <c r="D164" s="46" t="str">
        <f t="shared" si="7"/>
        <v/>
      </c>
    </row>
    <row r="165" spans="3:4" ht="15.75" x14ac:dyDescent="0.25">
      <c r="C165" s="46" t="str">
        <f t="shared" si="6"/>
        <v/>
      </c>
      <c r="D165" s="46" t="str">
        <f t="shared" si="7"/>
        <v/>
      </c>
    </row>
    <row r="166" spans="3:4" ht="15.75" x14ac:dyDescent="0.25">
      <c r="C166" s="46" t="str">
        <f t="shared" si="6"/>
        <v/>
      </c>
      <c r="D166" s="46" t="str">
        <f t="shared" si="7"/>
        <v/>
      </c>
    </row>
    <row r="167" spans="3:4" ht="15.75" x14ac:dyDescent="0.25">
      <c r="C167" s="46" t="str">
        <f t="shared" si="6"/>
        <v/>
      </c>
      <c r="D167" s="46" t="str">
        <f t="shared" si="7"/>
        <v/>
      </c>
    </row>
    <row r="168" spans="3:4" ht="15.75" x14ac:dyDescent="0.25">
      <c r="C168" s="46" t="str">
        <f t="shared" si="6"/>
        <v/>
      </c>
      <c r="D168" s="46" t="str">
        <f t="shared" si="7"/>
        <v/>
      </c>
    </row>
    <row r="169" spans="3:4" ht="15.75" x14ac:dyDescent="0.25">
      <c r="C169" s="46" t="str">
        <f t="shared" si="6"/>
        <v/>
      </c>
      <c r="D169" s="46" t="str">
        <f t="shared" si="7"/>
        <v/>
      </c>
    </row>
    <row r="170" spans="3:4" ht="15.75" x14ac:dyDescent="0.25">
      <c r="C170" s="46" t="str">
        <f t="shared" si="6"/>
        <v/>
      </c>
      <c r="D170" s="46" t="str">
        <f t="shared" si="7"/>
        <v/>
      </c>
    </row>
    <row r="171" spans="3:4" ht="15.75" x14ac:dyDescent="0.25">
      <c r="C171" s="46" t="str">
        <f t="shared" si="6"/>
        <v/>
      </c>
      <c r="D171" s="46" t="str">
        <f t="shared" si="7"/>
        <v/>
      </c>
    </row>
    <row r="172" spans="3:4" ht="15.75" x14ac:dyDescent="0.25">
      <c r="C172" s="46" t="str">
        <f t="shared" si="6"/>
        <v/>
      </c>
      <c r="D172" s="46" t="str">
        <f t="shared" si="7"/>
        <v/>
      </c>
    </row>
    <row r="173" spans="3:4" ht="15.75" x14ac:dyDescent="0.25">
      <c r="C173" s="46" t="str">
        <f t="shared" si="6"/>
        <v/>
      </c>
      <c r="D173" s="46" t="str">
        <f t="shared" si="7"/>
        <v/>
      </c>
    </row>
    <row r="174" spans="3:4" ht="15.75" x14ac:dyDescent="0.25">
      <c r="C174" s="46" t="str">
        <f t="shared" si="6"/>
        <v/>
      </c>
      <c r="D174" s="46" t="str">
        <f t="shared" si="7"/>
        <v/>
      </c>
    </row>
    <row r="175" spans="3:4" ht="15.75" x14ac:dyDescent="0.25">
      <c r="C175" s="46" t="str">
        <f t="shared" si="6"/>
        <v/>
      </c>
      <c r="D175" s="46" t="str">
        <f t="shared" si="7"/>
        <v/>
      </c>
    </row>
    <row r="176" spans="3:4" ht="15.75" x14ac:dyDescent="0.25">
      <c r="C176" s="46" t="str">
        <f t="shared" si="6"/>
        <v/>
      </c>
      <c r="D176" s="46" t="str">
        <f t="shared" si="7"/>
        <v/>
      </c>
    </row>
    <row r="177" spans="3:4" ht="15.75" x14ac:dyDescent="0.25">
      <c r="C177" s="46" t="str">
        <f t="shared" si="6"/>
        <v/>
      </c>
      <c r="D177" s="46" t="str">
        <f t="shared" si="7"/>
        <v/>
      </c>
    </row>
    <row r="178" spans="3:4" ht="15.75" x14ac:dyDescent="0.25">
      <c r="C178" s="46" t="str">
        <f t="shared" si="6"/>
        <v/>
      </c>
      <c r="D178" s="46" t="str">
        <f t="shared" si="7"/>
        <v/>
      </c>
    </row>
    <row r="179" spans="3:4" ht="15.75" x14ac:dyDescent="0.25">
      <c r="C179" s="46" t="str">
        <f t="shared" si="6"/>
        <v/>
      </c>
      <c r="D179" s="46" t="str">
        <f t="shared" si="7"/>
        <v/>
      </c>
    </row>
    <row r="180" spans="3:4" ht="15.75" x14ac:dyDescent="0.25">
      <c r="C180" s="46" t="str">
        <f t="shared" si="6"/>
        <v/>
      </c>
      <c r="D180" s="46" t="str">
        <f t="shared" si="7"/>
        <v/>
      </c>
    </row>
    <row r="181" spans="3:4" ht="15.75" x14ac:dyDescent="0.25">
      <c r="C181" s="46" t="str">
        <f t="shared" si="6"/>
        <v/>
      </c>
      <c r="D181" s="46" t="str">
        <f t="shared" si="7"/>
        <v/>
      </c>
    </row>
    <row r="182" spans="3:4" ht="15.75" x14ac:dyDescent="0.25">
      <c r="C182" s="46" t="str">
        <f t="shared" si="6"/>
        <v/>
      </c>
      <c r="D182" s="46" t="str">
        <f t="shared" si="7"/>
        <v/>
      </c>
    </row>
    <row r="183" spans="3:4" ht="15.75" x14ac:dyDescent="0.25">
      <c r="C183" s="46" t="str">
        <f t="shared" si="6"/>
        <v/>
      </c>
      <c r="D183" s="46" t="str">
        <f t="shared" si="7"/>
        <v/>
      </c>
    </row>
    <row r="184" spans="3:4" ht="15.75" x14ac:dyDescent="0.25">
      <c r="C184" s="46" t="str">
        <f t="shared" si="6"/>
        <v/>
      </c>
      <c r="D184" s="46" t="str">
        <f t="shared" si="7"/>
        <v/>
      </c>
    </row>
    <row r="185" spans="3:4" ht="15.75" x14ac:dyDescent="0.25">
      <c r="C185" s="46" t="str">
        <f t="shared" si="6"/>
        <v/>
      </c>
      <c r="D185" s="46" t="str">
        <f t="shared" si="7"/>
        <v/>
      </c>
    </row>
    <row r="186" spans="3:4" ht="15.75" x14ac:dyDescent="0.25">
      <c r="C186" s="46" t="str">
        <f t="shared" si="6"/>
        <v/>
      </c>
      <c r="D186" s="46" t="str">
        <f t="shared" si="7"/>
        <v/>
      </c>
    </row>
    <row r="187" spans="3:4" ht="15.75" x14ac:dyDescent="0.25">
      <c r="C187" s="46" t="str">
        <f t="shared" si="6"/>
        <v/>
      </c>
      <c r="D187" s="46" t="str">
        <f t="shared" si="7"/>
        <v/>
      </c>
    </row>
    <row r="188" spans="3:4" ht="15.75" x14ac:dyDescent="0.25">
      <c r="C188" s="46" t="str">
        <f t="shared" si="6"/>
        <v/>
      </c>
      <c r="D188" s="46" t="str">
        <f t="shared" si="7"/>
        <v/>
      </c>
    </row>
    <row r="189" spans="3:4" ht="15.75" x14ac:dyDescent="0.25">
      <c r="C189" s="46" t="str">
        <f t="shared" si="6"/>
        <v/>
      </c>
      <c r="D189" s="46" t="str">
        <f t="shared" si="7"/>
        <v/>
      </c>
    </row>
    <row r="190" spans="3:4" ht="15.75" x14ac:dyDescent="0.25">
      <c r="C190" s="46" t="str">
        <f t="shared" si="6"/>
        <v/>
      </c>
      <c r="D190" s="46" t="str">
        <f t="shared" si="7"/>
        <v/>
      </c>
    </row>
    <row r="191" spans="3:4" ht="15.75" x14ac:dyDescent="0.25">
      <c r="C191" s="46" t="str">
        <f t="shared" si="6"/>
        <v/>
      </c>
      <c r="D191" s="46" t="str">
        <f t="shared" si="7"/>
        <v/>
      </c>
    </row>
    <row r="192" spans="3:4" ht="15.75" x14ac:dyDescent="0.25">
      <c r="C192" s="46" t="str">
        <f t="shared" si="6"/>
        <v/>
      </c>
      <c r="D192" s="46" t="str">
        <f t="shared" si="7"/>
        <v/>
      </c>
    </row>
    <row r="193" spans="3:4" ht="15.75" x14ac:dyDescent="0.25">
      <c r="C193" s="46" t="str">
        <f t="shared" si="6"/>
        <v/>
      </c>
      <c r="D193" s="46" t="str">
        <f t="shared" si="7"/>
        <v/>
      </c>
    </row>
    <row r="194" spans="3:4" ht="15.75" x14ac:dyDescent="0.25">
      <c r="C194" s="46" t="str">
        <f t="shared" si="6"/>
        <v/>
      </c>
      <c r="D194" s="46" t="str">
        <f t="shared" si="7"/>
        <v/>
      </c>
    </row>
    <row r="195" spans="3:4" ht="15.75" x14ac:dyDescent="0.25">
      <c r="C195" s="46" t="str">
        <f t="shared" si="6"/>
        <v/>
      </c>
      <c r="D195" s="46" t="str">
        <f t="shared" si="7"/>
        <v/>
      </c>
    </row>
    <row r="196" spans="3:4" ht="15.75" x14ac:dyDescent="0.25">
      <c r="C196" s="46" t="str">
        <f t="shared" si="6"/>
        <v/>
      </c>
      <c r="D196" s="46" t="str">
        <f t="shared" si="7"/>
        <v/>
      </c>
    </row>
    <row r="197" spans="3:4" ht="15.75" x14ac:dyDescent="0.25">
      <c r="C197" s="46" t="str">
        <f t="shared" si="6"/>
        <v/>
      </c>
      <c r="D197" s="46" t="str">
        <f t="shared" si="7"/>
        <v/>
      </c>
    </row>
    <row r="198" spans="3:4" ht="15.75" x14ac:dyDescent="0.25">
      <c r="C198" s="46" t="str">
        <f t="shared" si="6"/>
        <v/>
      </c>
      <c r="D198" s="46" t="str">
        <f t="shared" si="7"/>
        <v/>
      </c>
    </row>
    <row r="199" spans="3:4" ht="15.75" x14ac:dyDescent="0.25">
      <c r="C199" s="46" t="str">
        <f t="shared" si="6"/>
        <v/>
      </c>
      <c r="D199" s="46" t="str">
        <f t="shared" si="7"/>
        <v/>
      </c>
    </row>
    <row r="200" spans="3:4" ht="15.75" x14ac:dyDescent="0.25">
      <c r="C200" s="46" t="str">
        <f t="shared" si="6"/>
        <v/>
      </c>
      <c r="D200" s="46" t="str">
        <f t="shared" si="7"/>
        <v/>
      </c>
    </row>
    <row r="201" spans="3:4" ht="15.75" x14ac:dyDescent="0.25">
      <c r="C201" s="46" t="str">
        <f t="shared" si="6"/>
        <v/>
      </c>
      <c r="D201" s="46" t="str">
        <f t="shared" si="7"/>
        <v/>
      </c>
    </row>
    <row r="202" spans="3:4" ht="15.75" x14ac:dyDescent="0.25">
      <c r="C202" s="46" t="str">
        <f t="shared" si="6"/>
        <v/>
      </c>
      <c r="D202" s="46" t="str">
        <f t="shared" si="7"/>
        <v/>
      </c>
    </row>
    <row r="203" spans="3:4" ht="15.75" x14ac:dyDescent="0.25">
      <c r="C203" s="46" t="str">
        <f t="shared" si="6"/>
        <v/>
      </c>
      <c r="D203" s="46" t="str">
        <f t="shared" si="7"/>
        <v/>
      </c>
    </row>
    <row r="204" spans="3:4" ht="15.75" x14ac:dyDescent="0.25">
      <c r="C204" s="46" t="str">
        <f t="shared" si="6"/>
        <v/>
      </c>
      <c r="D204" s="46" t="str">
        <f t="shared" si="7"/>
        <v/>
      </c>
    </row>
    <row r="205" spans="3:4" ht="15.75" x14ac:dyDescent="0.25">
      <c r="C205" s="46" t="str">
        <f t="shared" si="6"/>
        <v/>
      </c>
      <c r="D205" s="46" t="str">
        <f t="shared" si="7"/>
        <v/>
      </c>
    </row>
    <row r="206" spans="3:4" ht="15.75" x14ac:dyDescent="0.25">
      <c r="C206" s="46" t="str">
        <f t="shared" si="6"/>
        <v/>
      </c>
      <c r="D206" s="46" t="str">
        <f t="shared" si="7"/>
        <v/>
      </c>
    </row>
    <row r="207" spans="3:4" ht="15.75" x14ac:dyDescent="0.25">
      <c r="C207" s="46" t="str">
        <f t="shared" si="6"/>
        <v/>
      </c>
      <c r="D207" s="46" t="str">
        <f t="shared" si="7"/>
        <v/>
      </c>
    </row>
    <row r="208" spans="3:4" ht="15.75" x14ac:dyDescent="0.25">
      <c r="C208" s="46" t="str">
        <f t="shared" ref="C208:C271" si="8">IF(COUNTIF(E208:BA208,"YES")=0,"",COUNTIF(E208:BA208,"YES"))</f>
        <v/>
      </c>
      <c r="D208" s="46" t="str">
        <f t="shared" ref="D208:D271" si="9">IF(COUNTIF(E208:BA208,"NO")=0,"",COUNTIF(E208:BA208,"NO"))</f>
        <v/>
      </c>
    </row>
    <row r="209" spans="3:4" ht="15.75" x14ac:dyDescent="0.25">
      <c r="C209" s="46" t="str">
        <f t="shared" si="8"/>
        <v/>
      </c>
      <c r="D209" s="46" t="str">
        <f t="shared" si="9"/>
        <v/>
      </c>
    </row>
    <row r="210" spans="3:4" ht="15.75" x14ac:dyDescent="0.25">
      <c r="C210" s="46" t="str">
        <f t="shared" si="8"/>
        <v/>
      </c>
      <c r="D210" s="46" t="str">
        <f t="shared" si="9"/>
        <v/>
      </c>
    </row>
    <row r="211" spans="3:4" ht="15.75" x14ac:dyDescent="0.25">
      <c r="C211" s="46" t="str">
        <f t="shared" si="8"/>
        <v/>
      </c>
      <c r="D211" s="46" t="str">
        <f t="shared" si="9"/>
        <v/>
      </c>
    </row>
    <row r="212" spans="3:4" ht="15.75" x14ac:dyDescent="0.25">
      <c r="C212" s="46" t="str">
        <f t="shared" si="8"/>
        <v/>
      </c>
      <c r="D212" s="46" t="str">
        <f t="shared" si="9"/>
        <v/>
      </c>
    </row>
    <row r="213" spans="3:4" ht="15.75" x14ac:dyDescent="0.25">
      <c r="C213" s="46" t="str">
        <f t="shared" si="8"/>
        <v/>
      </c>
      <c r="D213" s="46" t="str">
        <f t="shared" si="9"/>
        <v/>
      </c>
    </row>
    <row r="214" spans="3:4" ht="15.75" x14ac:dyDescent="0.25">
      <c r="C214" s="46" t="str">
        <f t="shared" si="8"/>
        <v/>
      </c>
      <c r="D214" s="46" t="str">
        <f t="shared" si="9"/>
        <v/>
      </c>
    </row>
    <row r="215" spans="3:4" ht="15.75" x14ac:dyDescent="0.25">
      <c r="C215" s="46" t="str">
        <f t="shared" si="8"/>
        <v/>
      </c>
      <c r="D215" s="46" t="str">
        <f t="shared" si="9"/>
        <v/>
      </c>
    </row>
    <row r="216" spans="3:4" ht="15.75" x14ac:dyDescent="0.25">
      <c r="C216" s="46" t="str">
        <f t="shared" si="8"/>
        <v/>
      </c>
      <c r="D216" s="46" t="str">
        <f t="shared" si="9"/>
        <v/>
      </c>
    </row>
    <row r="217" spans="3:4" ht="15.75" x14ac:dyDescent="0.25">
      <c r="C217" s="46" t="str">
        <f t="shared" si="8"/>
        <v/>
      </c>
      <c r="D217" s="46" t="str">
        <f t="shared" si="9"/>
        <v/>
      </c>
    </row>
    <row r="218" spans="3:4" ht="15.75" x14ac:dyDescent="0.25">
      <c r="C218" s="46" t="str">
        <f t="shared" si="8"/>
        <v/>
      </c>
      <c r="D218" s="46" t="str">
        <f t="shared" si="9"/>
        <v/>
      </c>
    </row>
    <row r="219" spans="3:4" ht="15.75" x14ac:dyDescent="0.25">
      <c r="C219" s="46" t="str">
        <f t="shared" si="8"/>
        <v/>
      </c>
      <c r="D219" s="46" t="str">
        <f t="shared" si="9"/>
        <v/>
      </c>
    </row>
    <row r="220" spans="3:4" ht="15.75" x14ac:dyDescent="0.25">
      <c r="C220" s="46" t="str">
        <f t="shared" si="8"/>
        <v/>
      </c>
      <c r="D220" s="46" t="str">
        <f t="shared" si="9"/>
        <v/>
      </c>
    </row>
    <row r="221" spans="3:4" ht="15.75" x14ac:dyDescent="0.25">
      <c r="C221" s="46" t="str">
        <f t="shared" si="8"/>
        <v/>
      </c>
      <c r="D221" s="46" t="str">
        <f t="shared" si="9"/>
        <v/>
      </c>
    </row>
    <row r="222" spans="3:4" ht="15.75" x14ac:dyDescent="0.25">
      <c r="C222" s="46" t="str">
        <f t="shared" si="8"/>
        <v/>
      </c>
      <c r="D222" s="46" t="str">
        <f t="shared" si="9"/>
        <v/>
      </c>
    </row>
    <row r="223" spans="3:4" ht="15.75" x14ac:dyDescent="0.25">
      <c r="C223" s="46" t="str">
        <f t="shared" si="8"/>
        <v/>
      </c>
      <c r="D223" s="46" t="str">
        <f t="shared" si="9"/>
        <v/>
      </c>
    </row>
    <row r="224" spans="3:4" ht="15.75" x14ac:dyDescent="0.25">
      <c r="C224" s="46" t="str">
        <f t="shared" si="8"/>
        <v/>
      </c>
      <c r="D224" s="46" t="str">
        <f t="shared" si="9"/>
        <v/>
      </c>
    </row>
    <row r="225" spans="3:4" ht="15.75" x14ac:dyDescent="0.25">
      <c r="C225" s="46" t="str">
        <f t="shared" si="8"/>
        <v/>
      </c>
      <c r="D225" s="46" t="str">
        <f t="shared" si="9"/>
        <v/>
      </c>
    </row>
    <row r="226" spans="3:4" ht="15.75" x14ac:dyDescent="0.25">
      <c r="C226" s="46" t="str">
        <f t="shared" si="8"/>
        <v/>
      </c>
      <c r="D226" s="46" t="str">
        <f t="shared" si="9"/>
        <v/>
      </c>
    </row>
    <row r="227" spans="3:4" ht="15.75" x14ac:dyDescent="0.25">
      <c r="C227" s="46" t="str">
        <f t="shared" si="8"/>
        <v/>
      </c>
      <c r="D227" s="46" t="str">
        <f t="shared" si="9"/>
        <v/>
      </c>
    </row>
    <row r="228" spans="3:4" ht="15.75" x14ac:dyDescent="0.25">
      <c r="C228" s="46" t="str">
        <f t="shared" si="8"/>
        <v/>
      </c>
      <c r="D228" s="46" t="str">
        <f t="shared" si="9"/>
        <v/>
      </c>
    </row>
    <row r="229" spans="3:4" ht="15.75" x14ac:dyDescent="0.25">
      <c r="C229" s="46" t="str">
        <f t="shared" si="8"/>
        <v/>
      </c>
      <c r="D229" s="46" t="str">
        <f t="shared" si="9"/>
        <v/>
      </c>
    </row>
    <row r="230" spans="3:4" ht="15.75" x14ac:dyDescent="0.25">
      <c r="C230" s="46" t="str">
        <f t="shared" si="8"/>
        <v/>
      </c>
      <c r="D230" s="46" t="str">
        <f t="shared" si="9"/>
        <v/>
      </c>
    </row>
    <row r="231" spans="3:4" ht="15.75" x14ac:dyDescent="0.25">
      <c r="C231" s="46" t="str">
        <f t="shared" si="8"/>
        <v/>
      </c>
      <c r="D231" s="46" t="str">
        <f t="shared" si="9"/>
        <v/>
      </c>
    </row>
    <row r="232" spans="3:4" ht="15.75" x14ac:dyDescent="0.25">
      <c r="C232" s="46" t="str">
        <f t="shared" si="8"/>
        <v/>
      </c>
      <c r="D232" s="46" t="str">
        <f t="shared" si="9"/>
        <v/>
      </c>
    </row>
    <row r="233" spans="3:4" ht="15.75" x14ac:dyDescent="0.25">
      <c r="C233" s="46" t="str">
        <f t="shared" si="8"/>
        <v/>
      </c>
      <c r="D233" s="46" t="str">
        <f t="shared" si="9"/>
        <v/>
      </c>
    </row>
    <row r="234" spans="3:4" ht="15.75" x14ac:dyDescent="0.25">
      <c r="C234" s="46" t="str">
        <f t="shared" si="8"/>
        <v/>
      </c>
      <c r="D234" s="46" t="str">
        <f t="shared" si="9"/>
        <v/>
      </c>
    </row>
    <row r="235" spans="3:4" ht="15.75" x14ac:dyDescent="0.25">
      <c r="C235" s="46" t="str">
        <f t="shared" si="8"/>
        <v/>
      </c>
      <c r="D235" s="46" t="str">
        <f t="shared" si="9"/>
        <v/>
      </c>
    </row>
    <row r="236" spans="3:4" ht="15.75" x14ac:dyDescent="0.25">
      <c r="C236" s="46" t="str">
        <f t="shared" si="8"/>
        <v/>
      </c>
      <c r="D236" s="46" t="str">
        <f t="shared" si="9"/>
        <v/>
      </c>
    </row>
    <row r="237" spans="3:4" ht="15.75" x14ac:dyDescent="0.25">
      <c r="C237" s="46" t="str">
        <f t="shared" si="8"/>
        <v/>
      </c>
      <c r="D237" s="46" t="str">
        <f t="shared" si="9"/>
        <v/>
      </c>
    </row>
    <row r="238" spans="3:4" ht="15.75" x14ac:dyDescent="0.25">
      <c r="C238" s="46" t="str">
        <f t="shared" si="8"/>
        <v/>
      </c>
      <c r="D238" s="46" t="str">
        <f t="shared" si="9"/>
        <v/>
      </c>
    </row>
    <row r="239" spans="3:4" ht="15.75" x14ac:dyDescent="0.25">
      <c r="C239" s="46" t="str">
        <f t="shared" si="8"/>
        <v/>
      </c>
      <c r="D239" s="46" t="str">
        <f t="shared" si="9"/>
        <v/>
      </c>
    </row>
    <row r="240" spans="3:4" ht="15.75" x14ac:dyDescent="0.25">
      <c r="C240" s="46" t="str">
        <f t="shared" si="8"/>
        <v/>
      </c>
      <c r="D240" s="46" t="str">
        <f t="shared" si="9"/>
        <v/>
      </c>
    </row>
    <row r="241" spans="3:4" ht="15.75" x14ac:dyDescent="0.25">
      <c r="C241" s="46" t="str">
        <f t="shared" si="8"/>
        <v/>
      </c>
      <c r="D241" s="46" t="str">
        <f t="shared" si="9"/>
        <v/>
      </c>
    </row>
    <row r="242" spans="3:4" ht="15.75" x14ac:dyDescent="0.25">
      <c r="C242" s="46" t="str">
        <f t="shared" si="8"/>
        <v/>
      </c>
      <c r="D242" s="46" t="str">
        <f t="shared" si="9"/>
        <v/>
      </c>
    </row>
    <row r="243" spans="3:4" ht="15.75" x14ac:dyDescent="0.25">
      <c r="C243" s="46" t="str">
        <f t="shared" si="8"/>
        <v/>
      </c>
      <c r="D243" s="46" t="str">
        <f t="shared" si="9"/>
        <v/>
      </c>
    </row>
    <row r="244" spans="3:4" ht="15.75" x14ac:dyDescent="0.25">
      <c r="C244" s="46" t="str">
        <f t="shared" si="8"/>
        <v/>
      </c>
      <c r="D244" s="46" t="str">
        <f t="shared" si="9"/>
        <v/>
      </c>
    </row>
    <row r="245" spans="3:4" ht="15.75" x14ac:dyDescent="0.25">
      <c r="C245" s="46" t="str">
        <f t="shared" si="8"/>
        <v/>
      </c>
      <c r="D245" s="46" t="str">
        <f t="shared" si="9"/>
        <v/>
      </c>
    </row>
    <row r="246" spans="3:4" ht="15.75" x14ac:dyDescent="0.25">
      <c r="C246" s="46" t="str">
        <f t="shared" si="8"/>
        <v/>
      </c>
      <c r="D246" s="46" t="str">
        <f t="shared" si="9"/>
        <v/>
      </c>
    </row>
    <row r="247" spans="3:4" ht="15.75" x14ac:dyDescent="0.25">
      <c r="C247" s="46" t="str">
        <f t="shared" si="8"/>
        <v/>
      </c>
      <c r="D247" s="46" t="str">
        <f t="shared" si="9"/>
        <v/>
      </c>
    </row>
    <row r="248" spans="3:4" ht="15.75" x14ac:dyDescent="0.25">
      <c r="C248" s="46" t="str">
        <f t="shared" si="8"/>
        <v/>
      </c>
      <c r="D248" s="46" t="str">
        <f t="shared" si="9"/>
        <v/>
      </c>
    </row>
    <row r="249" spans="3:4" ht="15.75" x14ac:dyDescent="0.25">
      <c r="C249" s="46" t="str">
        <f t="shared" si="8"/>
        <v/>
      </c>
      <c r="D249" s="46" t="str">
        <f t="shared" si="9"/>
        <v/>
      </c>
    </row>
    <row r="250" spans="3:4" ht="15.75" x14ac:dyDescent="0.25">
      <c r="C250" s="46" t="str">
        <f t="shared" si="8"/>
        <v/>
      </c>
      <c r="D250" s="46" t="str">
        <f t="shared" si="9"/>
        <v/>
      </c>
    </row>
    <row r="251" spans="3:4" ht="15.75" x14ac:dyDescent="0.25">
      <c r="C251" s="46" t="str">
        <f t="shared" si="8"/>
        <v/>
      </c>
      <c r="D251" s="46" t="str">
        <f t="shared" si="9"/>
        <v/>
      </c>
    </row>
    <row r="252" spans="3:4" ht="15.75" x14ac:dyDescent="0.25">
      <c r="C252" s="46" t="str">
        <f t="shared" si="8"/>
        <v/>
      </c>
      <c r="D252" s="46" t="str">
        <f t="shared" si="9"/>
        <v/>
      </c>
    </row>
    <row r="253" spans="3:4" ht="15.75" x14ac:dyDescent="0.25">
      <c r="C253" s="46" t="str">
        <f t="shared" si="8"/>
        <v/>
      </c>
      <c r="D253" s="46" t="str">
        <f t="shared" si="9"/>
        <v/>
      </c>
    </row>
    <row r="254" spans="3:4" ht="15.75" x14ac:dyDescent="0.25">
      <c r="C254" s="46" t="str">
        <f t="shared" si="8"/>
        <v/>
      </c>
      <c r="D254" s="46" t="str">
        <f t="shared" si="9"/>
        <v/>
      </c>
    </row>
    <row r="255" spans="3:4" ht="15.75" x14ac:dyDescent="0.25">
      <c r="C255" s="46" t="str">
        <f t="shared" si="8"/>
        <v/>
      </c>
      <c r="D255" s="46" t="str">
        <f t="shared" si="9"/>
        <v/>
      </c>
    </row>
    <row r="256" spans="3:4" ht="15.75" x14ac:dyDescent="0.25">
      <c r="C256" s="46" t="str">
        <f t="shared" si="8"/>
        <v/>
      </c>
      <c r="D256" s="46" t="str">
        <f t="shared" si="9"/>
        <v/>
      </c>
    </row>
    <row r="257" spans="3:4" ht="15.75" x14ac:dyDescent="0.25">
      <c r="C257" s="46" t="str">
        <f t="shared" si="8"/>
        <v/>
      </c>
      <c r="D257" s="46" t="str">
        <f t="shared" si="9"/>
        <v/>
      </c>
    </row>
    <row r="258" spans="3:4" ht="15.75" x14ac:dyDescent="0.25">
      <c r="C258" s="46" t="str">
        <f t="shared" si="8"/>
        <v/>
      </c>
      <c r="D258" s="46" t="str">
        <f t="shared" si="9"/>
        <v/>
      </c>
    </row>
    <row r="259" spans="3:4" ht="15.75" x14ac:dyDescent="0.25">
      <c r="C259" s="46" t="str">
        <f t="shared" si="8"/>
        <v/>
      </c>
      <c r="D259" s="46" t="str">
        <f t="shared" si="9"/>
        <v/>
      </c>
    </row>
    <row r="260" spans="3:4" ht="15.75" x14ac:dyDescent="0.25">
      <c r="C260" s="46" t="str">
        <f t="shared" si="8"/>
        <v/>
      </c>
      <c r="D260" s="46" t="str">
        <f t="shared" si="9"/>
        <v/>
      </c>
    </row>
    <row r="261" spans="3:4" ht="15.75" x14ac:dyDescent="0.25">
      <c r="C261" s="46" t="str">
        <f t="shared" si="8"/>
        <v/>
      </c>
      <c r="D261" s="46" t="str">
        <f t="shared" si="9"/>
        <v/>
      </c>
    </row>
    <row r="262" spans="3:4" ht="15.75" x14ac:dyDescent="0.25">
      <c r="C262" s="46" t="str">
        <f t="shared" si="8"/>
        <v/>
      </c>
      <c r="D262" s="46" t="str">
        <f t="shared" si="9"/>
        <v/>
      </c>
    </row>
    <row r="263" spans="3:4" ht="15.75" x14ac:dyDescent="0.25">
      <c r="C263" s="46" t="str">
        <f t="shared" si="8"/>
        <v/>
      </c>
      <c r="D263" s="46" t="str">
        <f t="shared" si="9"/>
        <v/>
      </c>
    </row>
    <row r="264" spans="3:4" ht="15.75" x14ac:dyDescent="0.25">
      <c r="C264" s="46" t="str">
        <f t="shared" si="8"/>
        <v/>
      </c>
      <c r="D264" s="46" t="str">
        <f t="shared" si="9"/>
        <v/>
      </c>
    </row>
    <row r="265" spans="3:4" ht="15.75" x14ac:dyDescent="0.25">
      <c r="C265" s="46" t="str">
        <f t="shared" si="8"/>
        <v/>
      </c>
      <c r="D265" s="46" t="str">
        <f t="shared" si="9"/>
        <v/>
      </c>
    </row>
    <row r="266" spans="3:4" ht="15.75" x14ac:dyDescent="0.25">
      <c r="C266" s="46" t="str">
        <f t="shared" si="8"/>
        <v/>
      </c>
      <c r="D266" s="46" t="str">
        <f t="shared" si="9"/>
        <v/>
      </c>
    </row>
    <row r="267" spans="3:4" ht="15.75" x14ac:dyDescent="0.25">
      <c r="C267" s="46" t="str">
        <f t="shared" si="8"/>
        <v/>
      </c>
      <c r="D267" s="46" t="str">
        <f t="shared" si="9"/>
        <v/>
      </c>
    </row>
    <row r="268" spans="3:4" ht="15.75" x14ac:dyDescent="0.25">
      <c r="C268" s="46" t="str">
        <f t="shared" si="8"/>
        <v/>
      </c>
      <c r="D268" s="46" t="str">
        <f t="shared" si="9"/>
        <v/>
      </c>
    </row>
    <row r="269" spans="3:4" ht="15.75" x14ac:dyDescent="0.25">
      <c r="C269" s="46" t="str">
        <f t="shared" si="8"/>
        <v/>
      </c>
      <c r="D269" s="46" t="str">
        <f t="shared" si="9"/>
        <v/>
      </c>
    </row>
    <row r="270" spans="3:4" ht="15.75" x14ac:dyDescent="0.25">
      <c r="C270" s="46" t="str">
        <f t="shared" si="8"/>
        <v/>
      </c>
      <c r="D270" s="46" t="str">
        <f t="shared" si="9"/>
        <v/>
      </c>
    </row>
    <row r="271" spans="3:4" ht="15.75" x14ac:dyDescent="0.25">
      <c r="C271" s="46" t="str">
        <f t="shared" si="8"/>
        <v/>
      </c>
      <c r="D271" s="46" t="str">
        <f t="shared" si="9"/>
        <v/>
      </c>
    </row>
    <row r="272" spans="3:4" ht="15.75" x14ac:dyDescent="0.25">
      <c r="C272" s="46" t="str">
        <f t="shared" ref="C272:C307" si="10">IF(COUNTIF(E272:BA272,"YES")=0,"",COUNTIF(E272:BA272,"YES"))</f>
        <v/>
      </c>
      <c r="D272" s="46" t="str">
        <f t="shared" ref="D272:D307" si="11">IF(COUNTIF(E272:BA272,"NO")=0,"",COUNTIF(E272:BA272,"NO"))</f>
        <v/>
      </c>
    </row>
    <row r="273" spans="3:4" ht="15.75" x14ac:dyDescent="0.25">
      <c r="C273" s="46" t="str">
        <f t="shared" si="10"/>
        <v/>
      </c>
      <c r="D273" s="46" t="str">
        <f t="shared" si="11"/>
        <v/>
      </c>
    </row>
    <row r="274" spans="3:4" ht="15.75" x14ac:dyDescent="0.25">
      <c r="C274" s="46" t="str">
        <f t="shared" si="10"/>
        <v/>
      </c>
      <c r="D274" s="46" t="str">
        <f t="shared" si="11"/>
        <v/>
      </c>
    </row>
    <row r="275" spans="3:4" ht="15.75" x14ac:dyDescent="0.25">
      <c r="C275" s="46" t="str">
        <f t="shared" si="10"/>
        <v/>
      </c>
      <c r="D275" s="46" t="str">
        <f t="shared" si="11"/>
        <v/>
      </c>
    </row>
    <row r="276" spans="3:4" ht="15.75" x14ac:dyDescent="0.25">
      <c r="C276" s="46" t="str">
        <f t="shared" si="10"/>
        <v/>
      </c>
      <c r="D276" s="46" t="str">
        <f t="shared" si="11"/>
        <v/>
      </c>
    </row>
    <row r="277" spans="3:4" ht="15.75" x14ac:dyDescent="0.25">
      <c r="C277" s="46" t="str">
        <f t="shared" si="10"/>
        <v/>
      </c>
      <c r="D277" s="46" t="str">
        <f t="shared" si="11"/>
        <v/>
      </c>
    </row>
    <row r="278" spans="3:4" ht="15.75" x14ac:dyDescent="0.25">
      <c r="C278" s="46" t="str">
        <f t="shared" si="10"/>
        <v/>
      </c>
      <c r="D278" s="46" t="str">
        <f t="shared" si="11"/>
        <v/>
      </c>
    </row>
    <row r="279" spans="3:4" ht="15.75" x14ac:dyDescent="0.25">
      <c r="C279" s="46" t="str">
        <f t="shared" si="10"/>
        <v/>
      </c>
      <c r="D279" s="46" t="str">
        <f t="shared" si="11"/>
        <v/>
      </c>
    </row>
    <row r="280" spans="3:4" ht="15.75" x14ac:dyDescent="0.25">
      <c r="C280" s="46" t="str">
        <f t="shared" si="10"/>
        <v/>
      </c>
      <c r="D280" s="46" t="str">
        <f t="shared" si="11"/>
        <v/>
      </c>
    </row>
    <row r="281" spans="3:4" ht="15.75" x14ac:dyDescent="0.25">
      <c r="C281" s="46" t="str">
        <f t="shared" si="10"/>
        <v/>
      </c>
      <c r="D281" s="46" t="str">
        <f t="shared" si="11"/>
        <v/>
      </c>
    </row>
    <row r="282" spans="3:4" ht="15.75" x14ac:dyDescent="0.25">
      <c r="C282" s="46" t="str">
        <f t="shared" si="10"/>
        <v/>
      </c>
      <c r="D282" s="46" t="str">
        <f t="shared" si="11"/>
        <v/>
      </c>
    </row>
    <row r="283" spans="3:4" ht="15.75" x14ac:dyDescent="0.25">
      <c r="C283" s="46" t="str">
        <f t="shared" si="10"/>
        <v/>
      </c>
      <c r="D283" s="46" t="str">
        <f t="shared" si="11"/>
        <v/>
      </c>
    </row>
    <row r="284" spans="3:4" ht="15.75" x14ac:dyDescent="0.25">
      <c r="C284" s="46" t="str">
        <f t="shared" si="10"/>
        <v/>
      </c>
      <c r="D284" s="46" t="str">
        <f t="shared" si="11"/>
        <v/>
      </c>
    </row>
    <row r="285" spans="3:4" ht="15.75" x14ac:dyDescent="0.25">
      <c r="C285" s="46" t="str">
        <f t="shared" si="10"/>
        <v/>
      </c>
      <c r="D285" s="46" t="str">
        <f t="shared" si="11"/>
        <v/>
      </c>
    </row>
    <row r="286" spans="3:4" ht="15.75" x14ac:dyDescent="0.25">
      <c r="C286" s="46" t="str">
        <f t="shared" si="10"/>
        <v/>
      </c>
      <c r="D286" s="46" t="str">
        <f t="shared" si="11"/>
        <v/>
      </c>
    </row>
    <row r="287" spans="3:4" ht="15.75" x14ac:dyDescent="0.25">
      <c r="C287" s="46" t="str">
        <f t="shared" si="10"/>
        <v/>
      </c>
      <c r="D287" s="46" t="str">
        <f t="shared" si="11"/>
        <v/>
      </c>
    </row>
    <row r="288" spans="3:4" ht="15.75" x14ac:dyDescent="0.25">
      <c r="C288" s="46" t="str">
        <f t="shared" si="10"/>
        <v/>
      </c>
      <c r="D288" s="46" t="str">
        <f t="shared" si="11"/>
        <v/>
      </c>
    </row>
    <row r="289" spans="3:4" ht="15.75" x14ac:dyDescent="0.25">
      <c r="C289" s="46" t="str">
        <f t="shared" si="10"/>
        <v/>
      </c>
      <c r="D289" s="46" t="str">
        <f t="shared" si="11"/>
        <v/>
      </c>
    </row>
    <row r="290" spans="3:4" ht="15.75" x14ac:dyDescent="0.25">
      <c r="C290" s="46" t="str">
        <f t="shared" si="10"/>
        <v/>
      </c>
      <c r="D290" s="46" t="str">
        <f t="shared" si="11"/>
        <v/>
      </c>
    </row>
    <row r="291" spans="3:4" ht="15.75" x14ac:dyDescent="0.25">
      <c r="C291" s="46" t="str">
        <f t="shared" si="10"/>
        <v/>
      </c>
      <c r="D291" s="46" t="str">
        <f t="shared" si="11"/>
        <v/>
      </c>
    </row>
    <row r="292" spans="3:4" ht="15.75" x14ac:dyDescent="0.25">
      <c r="C292" s="46" t="str">
        <f t="shared" si="10"/>
        <v/>
      </c>
      <c r="D292" s="46" t="str">
        <f t="shared" si="11"/>
        <v/>
      </c>
    </row>
    <row r="293" spans="3:4" ht="15.75" x14ac:dyDescent="0.25">
      <c r="C293" s="46" t="str">
        <f t="shared" si="10"/>
        <v/>
      </c>
      <c r="D293" s="46" t="str">
        <f t="shared" si="11"/>
        <v/>
      </c>
    </row>
    <row r="294" spans="3:4" ht="15.75" x14ac:dyDescent="0.25">
      <c r="C294" s="46" t="str">
        <f t="shared" si="10"/>
        <v/>
      </c>
      <c r="D294" s="46" t="str">
        <f t="shared" si="11"/>
        <v/>
      </c>
    </row>
    <row r="295" spans="3:4" ht="15.75" x14ac:dyDescent="0.25">
      <c r="C295" s="46" t="str">
        <f t="shared" si="10"/>
        <v/>
      </c>
      <c r="D295" s="46" t="str">
        <f t="shared" si="11"/>
        <v/>
      </c>
    </row>
    <row r="296" spans="3:4" ht="15.75" x14ac:dyDescent="0.25">
      <c r="C296" s="46" t="str">
        <f t="shared" si="10"/>
        <v/>
      </c>
      <c r="D296" s="46" t="str">
        <f t="shared" si="11"/>
        <v/>
      </c>
    </row>
    <row r="297" spans="3:4" ht="15.75" x14ac:dyDescent="0.25">
      <c r="C297" s="46" t="str">
        <f t="shared" si="10"/>
        <v/>
      </c>
      <c r="D297" s="46" t="str">
        <f t="shared" si="11"/>
        <v/>
      </c>
    </row>
    <row r="298" spans="3:4" ht="15.75" x14ac:dyDescent="0.25">
      <c r="C298" s="46" t="str">
        <f t="shared" si="10"/>
        <v/>
      </c>
      <c r="D298" s="46" t="str">
        <f t="shared" si="11"/>
        <v/>
      </c>
    </row>
    <row r="299" spans="3:4" ht="15.75" x14ac:dyDescent="0.25">
      <c r="C299" s="46" t="str">
        <f t="shared" si="10"/>
        <v/>
      </c>
      <c r="D299" s="46" t="str">
        <f t="shared" si="11"/>
        <v/>
      </c>
    </row>
    <row r="300" spans="3:4" ht="15.75" x14ac:dyDescent="0.25">
      <c r="C300" s="46" t="str">
        <f t="shared" si="10"/>
        <v/>
      </c>
      <c r="D300" s="46" t="str">
        <f t="shared" si="11"/>
        <v/>
      </c>
    </row>
    <row r="301" spans="3:4" ht="15.75" x14ac:dyDescent="0.25">
      <c r="C301" s="46" t="str">
        <f t="shared" si="10"/>
        <v/>
      </c>
      <c r="D301" s="46" t="str">
        <f t="shared" si="11"/>
        <v/>
      </c>
    </row>
    <row r="302" spans="3:4" ht="15.75" x14ac:dyDescent="0.25">
      <c r="C302" s="46" t="str">
        <f t="shared" si="10"/>
        <v/>
      </c>
      <c r="D302" s="46" t="str">
        <f t="shared" si="11"/>
        <v/>
      </c>
    </row>
    <row r="303" spans="3:4" ht="15.75" x14ac:dyDescent="0.25">
      <c r="C303" s="46" t="str">
        <f t="shared" si="10"/>
        <v/>
      </c>
      <c r="D303" s="46" t="str">
        <f t="shared" si="11"/>
        <v/>
      </c>
    </row>
    <row r="304" spans="3:4" ht="15.75" x14ac:dyDescent="0.25">
      <c r="C304" s="46" t="str">
        <f t="shared" si="10"/>
        <v/>
      </c>
      <c r="D304" s="46" t="str">
        <f t="shared" si="11"/>
        <v/>
      </c>
    </row>
    <row r="305" spans="3:4" ht="15.75" x14ac:dyDescent="0.25">
      <c r="C305" s="46" t="str">
        <f t="shared" si="10"/>
        <v/>
      </c>
      <c r="D305" s="46" t="str">
        <f t="shared" si="11"/>
        <v/>
      </c>
    </row>
    <row r="306" spans="3:4" ht="15.75" x14ac:dyDescent="0.25">
      <c r="C306" s="46" t="str">
        <f t="shared" si="10"/>
        <v/>
      </c>
      <c r="D306" s="46" t="str">
        <f t="shared" si="11"/>
        <v/>
      </c>
    </row>
    <row r="307" spans="3:4" ht="15.75" x14ac:dyDescent="0.25">
      <c r="C307" s="46" t="str">
        <f t="shared" si="10"/>
        <v/>
      </c>
      <c r="D307" s="46" t="str">
        <f t="shared" si="11"/>
        <v/>
      </c>
    </row>
  </sheetData>
  <phoneticPr fontId="4" type="noConversion"/>
  <conditionalFormatting sqref="E7:H25">
    <cfRule type="cellIs" dxfId="25" priority="1" stopIfTrue="1" operator="equal">
      <formula>"YES"</formula>
    </cfRule>
    <cfRule type="cellIs" dxfId="24" priority="2" stopIfTrue="1" operator="equal">
      <formula>"NO"</formula>
    </cfRule>
  </conditionalFormatting>
  <dataValidations count="1">
    <dataValidation type="list" allowBlank="1" showInputMessage="1" showErrorMessage="1" sqref="E7:H25" xr:uid="{00000000-0002-0000-1300-000000000000}">
      <formula1>$D$1:$D$3</formula1>
    </dataValidation>
  </dataValidations>
  <pageMargins left="0.75" right="0.75" top="1" bottom="1" header="0.4921259845" footer="0.4921259845"/>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15">
    <tabColor theme="7"/>
    <pageSetUpPr fitToPage="1"/>
  </sheetPr>
  <dimension ref="A1:H331"/>
  <sheetViews>
    <sheetView workbookViewId="0">
      <pane xSplit="2" ySplit="4" topLeftCell="C38"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 style="40" customWidth="1"/>
    <col min="2" max="2" width="90.85546875" style="57" customWidth="1"/>
    <col min="3" max="4" width="4.42578125" style="40" bestFit="1" customWidth="1"/>
    <col min="5" max="8" width="7" style="40" customWidth="1"/>
    <col min="9" max="16384" width="9.140625" style="40"/>
  </cols>
  <sheetData>
    <row r="1" spans="1:8" ht="0.75" customHeight="1" thickBot="1" x14ac:dyDescent="0.25">
      <c r="D1" s="40" t="s">
        <v>43</v>
      </c>
    </row>
    <row r="2" spans="1:8" hidden="1" x14ac:dyDescent="0.2">
      <c r="D2" s="40" t="s">
        <v>44</v>
      </c>
    </row>
    <row r="3" spans="1:8" ht="13.5" hidden="1" thickBot="1" x14ac:dyDescent="0.25">
      <c r="D3" s="40" t="s">
        <v>13</v>
      </c>
    </row>
    <row r="4" spans="1:8" ht="88.5" thickTop="1" thickBot="1" x14ac:dyDescent="0.4">
      <c r="A4" s="58"/>
      <c r="B4" s="47" t="s">
        <v>175</v>
      </c>
      <c r="C4" s="43" t="s">
        <v>46</v>
      </c>
      <c r="D4" s="43" t="s">
        <v>47</v>
      </c>
      <c r="E4" s="43" t="s">
        <v>176</v>
      </c>
      <c r="F4" s="43" t="s">
        <v>176</v>
      </c>
      <c r="G4" s="43" t="s">
        <v>176</v>
      </c>
      <c r="H4" s="43" t="s">
        <v>176</v>
      </c>
    </row>
    <row r="5" spans="1:8" ht="24" thickTop="1" x14ac:dyDescent="0.35">
      <c r="A5" s="59"/>
      <c r="B5" s="50" t="s">
        <v>85</v>
      </c>
      <c r="C5" s="51"/>
      <c r="D5" s="51"/>
      <c r="E5" s="51"/>
      <c r="F5" s="51"/>
      <c r="G5" s="51"/>
      <c r="H5" s="51"/>
    </row>
    <row r="6" spans="1:8" ht="14.25" customHeight="1" x14ac:dyDescent="0.25">
      <c r="A6" s="69" t="s">
        <v>190</v>
      </c>
      <c r="B6" s="70"/>
      <c r="C6" s="71" t="str">
        <f t="shared" ref="C6:C14" si="0">IF(COUNTIF(E6:BA6,"YES")=0,"",COUNTIF(E6:BA6,"YES"))</f>
        <v/>
      </c>
      <c r="D6" s="71" t="str">
        <f>IF(COUNTIF(E6:BA6,"NO")=0,"",COUNTIF(E6:BA6,"NO"))</f>
        <v/>
      </c>
      <c r="E6" s="72"/>
      <c r="F6" s="72"/>
      <c r="G6" s="72"/>
      <c r="H6" s="72"/>
    </row>
    <row r="7" spans="1:8" ht="15.75" x14ac:dyDescent="0.25">
      <c r="A7" s="60" t="s">
        <v>191</v>
      </c>
      <c r="B7" s="56" t="s">
        <v>114</v>
      </c>
      <c r="C7" s="44" t="str">
        <f t="shared" si="0"/>
        <v/>
      </c>
      <c r="D7" s="44" t="str">
        <f>IF(COUNTIF(E7:BA7,"NO")=0,"",COUNTIF(E7:BA7,"NO"))</f>
        <v/>
      </c>
      <c r="E7" s="41"/>
      <c r="F7" s="41"/>
      <c r="G7" s="41"/>
      <c r="H7" s="41"/>
    </row>
    <row r="8" spans="1:8" ht="15.75" x14ac:dyDescent="0.25">
      <c r="A8" s="60" t="s">
        <v>192</v>
      </c>
      <c r="B8" s="52" t="s">
        <v>544</v>
      </c>
      <c r="C8" s="44" t="str">
        <f t="shared" si="0"/>
        <v/>
      </c>
      <c r="D8" s="44" t="str">
        <f>IF(COUNTIF(E8:BA8,"NO")=0,"",COUNTIF(E8:BA8,"NO"))</f>
        <v/>
      </c>
      <c r="E8" s="41"/>
      <c r="F8" s="41"/>
      <c r="G8" s="41"/>
      <c r="H8" s="41"/>
    </row>
    <row r="9" spans="1:8" ht="15.75" x14ac:dyDescent="0.25">
      <c r="A9" s="60" t="s">
        <v>193</v>
      </c>
      <c r="B9" s="52" t="s">
        <v>115</v>
      </c>
      <c r="C9" s="44" t="str">
        <f t="shared" si="0"/>
        <v/>
      </c>
      <c r="D9" s="44"/>
      <c r="E9" s="41"/>
      <c r="F9" s="41"/>
      <c r="G9" s="41"/>
      <c r="H9" s="41"/>
    </row>
    <row r="10" spans="1:8" ht="15.75" x14ac:dyDescent="0.25">
      <c r="A10" s="60" t="s">
        <v>194</v>
      </c>
      <c r="B10" s="52" t="s">
        <v>116</v>
      </c>
      <c r="C10" s="44" t="str">
        <f t="shared" si="0"/>
        <v/>
      </c>
      <c r="D10" s="44" t="str">
        <f>IF(COUNTIF(E10:BA10,"NO")=0,"",COUNTIF(E10:BA10,"NO"))</f>
        <v/>
      </c>
      <c r="E10" s="41"/>
      <c r="F10" s="41"/>
      <c r="G10" s="41"/>
      <c r="H10" s="41"/>
    </row>
    <row r="11" spans="1:8" ht="15.75" x14ac:dyDescent="0.25">
      <c r="A11" s="60" t="s">
        <v>195</v>
      </c>
      <c r="B11" s="52" t="s">
        <v>117</v>
      </c>
      <c r="C11" s="44" t="str">
        <f t="shared" si="0"/>
        <v/>
      </c>
      <c r="D11" s="44" t="str">
        <f>IF(COUNTIF(E11:BA11,"NO")=0,"",COUNTIF(E11:BA11,"NO"))</f>
        <v/>
      </c>
      <c r="E11" s="41"/>
      <c r="F11" s="41"/>
      <c r="G11" s="41"/>
      <c r="H11" s="41"/>
    </row>
    <row r="12" spans="1:8" ht="15.75" x14ac:dyDescent="0.25">
      <c r="A12" s="60" t="s">
        <v>196</v>
      </c>
      <c r="B12" s="52" t="s">
        <v>118</v>
      </c>
      <c r="C12" s="44" t="str">
        <f t="shared" si="0"/>
        <v/>
      </c>
      <c r="D12" s="44" t="str">
        <f>IF(COUNTIF(E12:BA12,"NO")=0,"",COUNTIF(E12:BA12,"NO"))</f>
        <v/>
      </c>
      <c r="E12" s="41"/>
      <c r="F12" s="41"/>
      <c r="G12" s="41"/>
      <c r="H12" s="41"/>
    </row>
    <row r="13" spans="1:8" ht="15.75" x14ac:dyDescent="0.25">
      <c r="A13" s="60" t="s">
        <v>197</v>
      </c>
      <c r="B13" s="52" t="s">
        <v>119</v>
      </c>
      <c r="C13" s="44" t="str">
        <f t="shared" si="0"/>
        <v/>
      </c>
      <c r="D13" s="44" t="str">
        <f>IF(COUNTIF(E13:BA13,"NO")=0,"",COUNTIF(E13:BA13,"NO"))</f>
        <v/>
      </c>
      <c r="E13" s="41"/>
      <c r="F13" s="41"/>
      <c r="G13" s="41"/>
      <c r="H13" s="41"/>
    </row>
    <row r="14" spans="1:8" ht="15.75" x14ac:dyDescent="0.25">
      <c r="A14" s="60" t="s">
        <v>198</v>
      </c>
      <c r="B14" s="52" t="s">
        <v>189</v>
      </c>
      <c r="C14" s="44" t="str">
        <f t="shared" si="0"/>
        <v/>
      </c>
      <c r="D14" s="44" t="str">
        <f>IF(COUNTIF(E14:BA14,"NO")=0,"",COUNTIF(E14:BA14,"NO"))</f>
        <v/>
      </c>
      <c r="E14" s="41"/>
      <c r="F14" s="41"/>
      <c r="G14" s="41"/>
      <c r="H14" s="41"/>
    </row>
    <row r="15" spans="1:8" ht="15.75" x14ac:dyDescent="0.25">
      <c r="A15" s="69" t="s">
        <v>202</v>
      </c>
      <c r="B15" s="73"/>
      <c r="C15" s="71"/>
      <c r="D15" s="71"/>
      <c r="E15" s="72"/>
      <c r="F15" s="72"/>
      <c r="G15" s="72"/>
      <c r="H15" s="72"/>
    </row>
    <row r="16" spans="1:8" ht="15.75" x14ac:dyDescent="0.25">
      <c r="A16" s="61" t="s">
        <v>200</v>
      </c>
      <c r="B16" s="52" t="s">
        <v>545</v>
      </c>
      <c r="C16" s="44" t="str">
        <f t="shared" ref="C16:C78" si="1">IF(COUNTIF(E16:BA16,"YES")=0,"",COUNTIF(E16:BA16,"YES"))</f>
        <v/>
      </c>
      <c r="D16" s="44"/>
      <c r="E16" s="41"/>
      <c r="F16" s="41"/>
      <c r="G16" s="41"/>
      <c r="H16" s="41"/>
    </row>
    <row r="17" spans="1:8" ht="15.75" x14ac:dyDescent="0.25">
      <c r="A17" s="61" t="s">
        <v>201</v>
      </c>
      <c r="B17" s="52" t="s">
        <v>120</v>
      </c>
      <c r="C17" s="44" t="str">
        <f t="shared" si="1"/>
        <v/>
      </c>
      <c r="D17" s="44"/>
      <c r="E17" s="41"/>
      <c r="F17" s="41"/>
      <c r="G17" s="41"/>
      <c r="H17" s="41"/>
    </row>
    <row r="18" spans="1:8" ht="15.75" x14ac:dyDescent="0.25">
      <c r="A18" s="69" t="s">
        <v>203</v>
      </c>
      <c r="B18" s="73"/>
      <c r="C18" s="71" t="str">
        <f t="shared" si="1"/>
        <v/>
      </c>
      <c r="D18" s="71"/>
      <c r="E18" s="72"/>
      <c r="F18" s="72"/>
      <c r="G18" s="72"/>
      <c r="H18" s="72"/>
    </row>
    <row r="19" spans="1:8" ht="15.75" x14ac:dyDescent="0.25">
      <c r="A19" s="61" t="s">
        <v>204</v>
      </c>
      <c r="B19" s="63"/>
      <c r="C19" s="44" t="str">
        <f t="shared" si="1"/>
        <v/>
      </c>
      <c r="D19" s="44"/>
      <c r="E19" s="41"/>
      <c r="F19" s="41"/>
      <c r="G19" s="41"/>
      <c r="H19" s="41"/>
    </row>
    <row r="20" spans="1:8" ht="23.25" x14ac:dyDescent="0.35">
      <c r="A20" s="59"/>
      <c r="B20" s="74" t="s">
        <v>93</v>
      </c>
      <c r="C20" s="71" t="str">
        <f t="shared" si="1"/>
        <v/>
      </c>
      <c r="D20" s="71"/>
      <c r="E20" s="72"/>
      <c r="F20" s="72"/>
      <c r="G20" s="72"/>
      <c r="H20" s="72"/>
    </row>
    <row r="21" spans="1:8" ht="13.5" customHeight="1" x14ac:dyDescent="0.25">
      <c r="A21" s="69" t="s">
        <v>94</v>
      </c>
      <c r="B21" s="70"/>
      <c r="C21" s="71" t="str">
        <f t="shared" si="1"/>
        <v/>
      </c>
      <c r="D21" s="71" t="str">
        <f t="shared" ref="D21:D84" si="2">IF(COUNTIF(E21:BA21,"NO")=0,"",COUNTIF(E21:BA21,"NO"))</f>
        <v/>
      </c>
      <c r="E21" s="72"/>
      <c r="F21" s="72"/>
      <c r="G21" s="72"/>
      <c r="H21" s="72"/>
    </row>
    <row r="22" spans="1:8" ht="13.5" customHeight="1" x14ac:dyDescent="0.25">
      <c r="A22" s="60" t="s">
        <v>51</v>
      </c>
      <c r="B22" s="45"/>
      <c r="C22" s="44" t="str">
        <f t="shared" si="1"/>
        <v/>
      </c>
      <c r="D22" s="44" t="str">
        <f t="shared" si="2"/>
        <v/>
      </c>
      <c r="E22" s="41"/>
      <c r="F22" s="41"/>
      <c r="G22" s="41"/>
      <c r="H22" s="41"/>
    </row>
    <row r="23" spans="1:8" ht="15.75" x14ac:dyDescent="0.25">
      <c r="A23" s="55"/>
      <c r="B23" s="53"/>
      <c r="C23" s="44" t="str">
        <f t="shared" ref="C23:C42" si="3">IF(COUNTIF(E23:BA23,"YES")=0,"",COUNTIF(E23:BA23,"YES"))</f>
        <v/>
      </c>
      <c r="D23" s="44" t="str">
        <f t="shared" ref="D23:D42" si="4">IF(COUNTIF(E23:BA23,"NO")=0,"",COUNTIF(E23:BA23,"NO"))</f>
        <v/>
      </c>
      <c r="E23" s="41"/>
      <c r="F23" s="41"/>
      <c r="G23" s="41"/>
      <c r="H23" s="41"/>
    </row>
    <row r="24" spans="1:8" ht="15.75" x14ac:dyDescent="0.25">
      <c r="A24" s="55"/>
      <c r="B24" s="53"/>
      <c r="C24" s="44" t="str">
        <f t="shared" si="3"/>
        <v/>
      </c>
      <c r="D24" s="44" t="str">
        <f t="shared" si="4"/>
        <v/>
      </c>
      <c r="E24" s="41"/>
      <c r="F24" s="41"/>
      <c r="G24" s="41"/>
      <c r="H24" s="41"/>
    </row>
    <row r="25" spans="1:8" ht="15.75" x14ac:dyDescent="0.25">
      <c r="A25" s="55"/>
      <c r="B25" s="53"/>
      <c r="C25" s="44" t="str">
        <f t="shared" si="3"/>
        <v/>
      </c>
      <c r="D25" s="44" t="str">
        <f t="shared" si="4"/>
        <v/>
      </c>
      <c r="E25" s="41"/>
      <c r="F25" s="41"/>
      <c r="G25" s="41"/>
      <c r="H25" s="41"/>
    </row>
    <row r="26" spans="1:8" ht="15.75" x14ac:dyDescent="0.25">
      <c r="A26" s="55"/>
      <c r="B26" s="53"/>
      <c r="C26" s="44" t="str">
        <f t="shared" si="3"/>
        <v/>
      </c>
      <c r="D26" s="44" t="str">
        <f t="shared" si="4"/>
        <v/>
      </c>
      <c r="E26" s="41"/>
      <c r="F26" s="41"/>
      <c r="G26" s="41"/>
      <c r="H26" s="41"/>
    </row>
    <row r="27" spans="1:8" ht="15.75" x14ac:dyDescent="0.25">
      <c r="A27" s="55"/>
      <c r="B27" s="53"/>
      <c r="C27" s="44" t="str">
        <f t="shared" si="3"/>
        <v/>
      </c>
      <c r="D27" s="44" t="str">
        <f t="shared" si="4"/>
        <v/>
      </c>
      <c r="E27" s="41"/>
      <c r="F27" s="41"/>
      <c r="G27" s="41"/>
      <c r="H27" s="41"/>
    </row>
    <row r="28" spans="1:8" ht="15.75" x14ac:dyDescent="0.25">
      <c r="A28" s="55"/>
      <c r="B28" s="53"/>
      <c r="C28" s="44" t="str">
        <f t="shared" si="3"/>
        <v/>
      </c>
      <c r="D28" s="44" t="str">
        <f t="shared" si="4"/>
        <v/>
      </c>
      <c r="E28" s="41"/>
      <c r="F28" s="41"/>
      <c r="G28" s="41"/>
      <c r="H28" s="41"/>
    </row>
    <row r="29" spans="1:8" ht="15.75" x14ac:dyDescent="0.25">
      <c r="A29" s="55"/>
      <c r="B29" s="53"/>
      <c r="C29" s="44" t="str">
        <f t="shared" si="3"/>
        <v/>
      </c>
      <c r="D29" s="44" t="str">
        <f t="shared" si="4"/>
        <v/>
      </c>
      <c r="E29" s="41"/>
      <c r="F29" s="41"/>
      <c r="G29" s="41"/>
      <c r="H29" s="41"/>
    </row>
    <row r="30" spans="1:8" ht="15.75" x14ac:dyDescent="0.25">
      <c r="A30" s="55"/>
      <c r="B30" s="53"/>
      <c r="C30" s="44" t="str">
        <f t="shared" si="3"/>
        <v/>
      </c>
      <c r="D30" s="44" t="str">
        <f t="shared" si="4"/>
        <v/>
      </c>
      <c r="E30" s="41"/>
      <c r="F30" s="41"/>
      <c r="G30" s="41"/>
      <c r="H30" s="41"/>
    </row>
    <row r="31" spans="1:8" ht="15.75" x14ac:dyDescent="0.25">
      <c r="A31" s="55"/>
      <c r="B31" s="53"/>
      <c r="C31" s="44" t="str">
        <f t="shared" si="3"/>
        <v/>
      </c>
      <c r="D31" s="44" t="str">
        <f t="shared" si="4"/>
        <v/>
      </c>
      <c r="E31" s="41"/>
      <c r="F31" s="41"/>
      <c r="G31" s="41"/>
      <c r="H31" s="41"/>
    </row>
    <row r="32" spans="1:8" ht="15.75" x14ac:dyDescent="0.25">
      <c r="A32" s="55"/>
      <c r="B32" s="53"/>
      <c r="C32" s="44" t="str">
        <f t="shared" si="3"/>
        <v/>
      </c>
      <c r="D32" s="44" t="str">
        <f t="shared" si="4"/>
        <v/>
      </c>
      <c r="E32" s="41"/>
      <c r="F32" s="41"/>
      <c r="G32" s="41"/>
      <c r="H32" s="41"/>
    </row>
    <row r="33" spans="1:8" ht="15.75" x14ac:dyDescent="0.25">
      <c r="A33" s="55"/>
      <c r="B33" s="53"/>
      <c r="C33" s="44" t="str">
        <f t="shared" si="3"/>
        <v/>
      </c>
      <c r="D33" s="44" t="str">
        <f t="shared" si="4"/>
        <v/>
      </c>
      <c r="E33" s="41"/>
      <c r="F33" s="41"/>
      <c r="G33" s="41"/>
      <c r="H33" s="41"/>
    </row>
    <row r="34" spans="1:8" ht="15.75" x14ac:dyDescent="0.25">
      <c r="A34" s="55"/>
      <c r="B34" s="53"/>
      <c r="C34" s="44" t="str">
        <f t="shared" si="3"/>
        <v/>
      </c>
      <c r="D34" s="44" t="str">
        <f t="shared" si="4"/>
        <v/>
      </c>
      <c r="E34" s="41"/>
      <c r="F34" s="41"/>
      <c r="G34" s="41"/>
      <c r="H34" s="41"/>
    </row>
    <row r="35" spans="1:8" ht="15.75" x14ac:dyDescent="0.25">
      <c r="A35" s="55"/>
      <c r="B35" s="53"/>
      <c r="C35" s="44" t="str">
        <f t="shared" si="3"/>
        <v/>
      </c>
      <c r="D35" s="44" t="str">
        <f t="shared" si="4"/>
        <v/>
      </c>
      <c r="E35" s="41"/>
      <c r="F35" s="41"/>
      <c r="G35" s="41"/>
      <c r="H35" s="41"/>
    </row>
    <row r="36" spans="1:8" ht="15.75" x14ac:dyDescent="0.25">
      <c r="A36" s="55"/>
      <c r="B36" s="53"/>
      <c r="C36" s="44" t="str">
        <f t="shared" si="3"/>
        <v/>
      </c>
      <c r="D36" s="44" t="str">
        <f t="shared" si="4"/>
        <v/>
      </c>
      <c r="E36" s="41"/>
      <c r="F36" s="41"/>
      <c r="G36" s="41"/>
      <c r="H36" s="41"/>
    </row>
    <row r="37" spans="1:8" ht="15.75" x14ac:dyDescent="0.25">
      <c r="A37" s="55"/>
      <c r="B37" s="53"/>
      <c r="C37" s="44" t="str">
        <f t="shared" si="3"/>
        <v/>
      </c>
      <c r="D37" s="44" t="str">
        <f t="shared" si="4"/>
        <v/>
      </c>
      <c r="E37" s="41"/>
      <c r="F37" s="41"/>
      <c r="G37" s="41"/>
      <c r="H37" s="41"/>
    </row>
    <row r="38" spans="1:8" ht="15.75" x14ac:dyDescent="0.25">
      <c r="A38" s="55"/>
      <c r="B38" s="53"/>
      <c r="C38" s="44" t="str">
        <f t="shared" si="3"/>
        <v/>
      </c>
      <c r="D38" s="44" t="str">
        <f t="shared" si="4"/>
        <v/>
      </c>
      <c r="E38" s="41"/>
      <c r="F38" s="41"/>
      <c r="G38" s="41"/>
      <c r="H38" s="41"/>
    </row>
    <row r="39" spans="1:8" ht="15.75" x14ac:dyDescent="0.25">
      <c r="A39" s="55"/>
      <c r="B39" s="53"/>
      <c r="C39" s="44" t="str">
        <f t="shared" si="3"/>
        <v/>
      </c>
      <c r="D39" s="44" t="str">
        <f t="shared" si="4"/>
        <v/>
      </c>
      <c r="E39" s="41"/>
      <c r="F39" s="41"/>
      <c r="G39" s="41"/>
      <c r="H39" s="41"/>
    </row>
    <row r="40" spans="1:8" ht="15.75" x14ac:dyDescent="0.25">
      <c r="A40" s="55"/>
      <c r="B40" s="53"/>
      <c r="C40" s="44" t="str">
        <f t="shared" si="3"/>
        <v/>
      </c>
      <c r="D40" s="44" t="str">
        <f t="shared" si="4"/>
        <v/>
      </c>
      <c r="E40" s="41"/>
      <c r="F40" s="41"/>
      <c r="G40" s="41"/>
      <c r="H40" s="41"/>
    </row>
    <row r="41" spans="1:8" ht="15.75" x14ac:dyDescent="0.25">
      <c r="A41" s="55"/>
      <c r="B41" s="53"/>
      <c r="C41" s="44" t="str">
        <f t="shared" si="3"/>
        <v/>
      </c>
      <c r="D41" s="44" t="str">
        <f t="shared" si="4"/>
        <v/>
      </c>
      <c r="E41" s="41"/>
      <c r="F41" s="41"/>
      <c r="G41" s="41"/>
      <c r="H41" s="41"/>
    </row>
    <row r="42" spans="1:8" ht="15.75" x14ac:dyDescent="0.25">
      <c r="A42" s="55"/>
      <c r="B42" s="53"/>
      <c r="C42" s="44" t="str">
        <f t="shared" si="3"/>
        <v/>
      </c>
      <c r="D42" s="44" t="str">
        <f t="shared" si="4"/>
        <v/>
      </c>
      <c r="E42" s="41"/>
      <c r="F42" s="41"/>
      <c r="G42" s="41"/>
      <c r="H42" s="41"/>
    </row>
    <row r="43" spans="1:8" ht="15.75" x14ac:dyDescent="0.25">
      <c r="C43" s="46" t="str">
        <f t="shared" si="1"/>
        <v/>
      </c>
      <c r="D43" s="46" t="str">
        <f t="shared" si="2"/>
        <v/>
      </c>
    </row>
    <row r="44" spans="1:8" ht="15.75" x14ac:dyDescent="0.25">
      <c r="C44" s="46" t="str">
        <f t="shared" si="1"/>
        <v/>
      </c>
      <c r="D44" s="46" t="str">
        <f t="shared" si="2"/>
        <v/>
      </c>
    </row>
    <row r="45" spans="1:8" ht="15.75" x14ac:dyDescent="0.25">
      <c r="C45" s="46" t="str">
        <f t="shared" si="1"/>
        <v/>
      </c>
      <c r="D45" s="46" t="str">
        <f t="shared" si="2"/>
        <v/>
      </c>
    </row>
    <row r="46" spans="1:8" ht="15.75" x14ac:dyDescent="0.25">
      <c r="C46" s="46" t="str">
        <f t="shared" si="1"/>
        <v/>
      </c>
      <c r="D46" s="46" t="str">
        <f t="shared" si="2"/>
        <v/>
      </c>
    </row>
    <row r="47" spans="1:8" ht="15.75" x14ac:dyDescent="0.25">
      <c r="C47" s="46" t="str">
        <f t="shared" si="1"/>
        <v/>
      </c>
      <c r="D47" s="46" t="str">
        <f t="shared" si="2"/>
        <v/>
      </c>
    </row>
    <row r="48" spans="1:8" ht="15.75" x14ac:dyDescent="0.25">
      <c r="C48" s="46" t="str">
        <f t="shared" si="1"/>
        <v/>
      </c>
      <c r="D48" s="46" t="str">
        <f t="shared" si="2"/>
        <v/>
      </c>
    </row>
    <row r="49" spans="3:4" ht="15.75" x14ac:dyDescent="0.25">
      <c r="C49" s="46" t="str">
        <f t="shared" si="1"/>
        <v/>
      </c>
      <c r="D49" s="46" t="str">
        <f t="shared" si="2"/>
        <v/>
      </c>
    </row>
    <row r="50" spans="3:4" ht="15.75" x14ac:dyDescent="0.25">
      <c r="C50" s="46" t="str">
        <f t="shared" si="1"/>
        <v/>
      </c>
      <c r="D50" s="46" t="str">
        <f t="shared" si="2"/>
        <v/>
      </c>
    </row>
    <row r="51" spans="3:4" ht="15.75" x14ac:dyDescent="0.25">
      <c r="C51" s="46" t="str">
        <f t="shared" si="1"/>
        <v/>
      </c>
      <c r="D51" s="46" t="str">
        <f t="shared" si="2"/>
        <v/>
      </c>
    </row>
    <row r="52" spans="3:4" ht="15.75" x14ac:dyDescent="0.25">
      <c r="C52" s="46" t="str">
        <f t="shared" si="1"/>
        <v/>
      </c>
      <c r="D52" s="46" t="str">
        <f t="shared" si="2"/>
        <v/>
      </c>
    </row>
    <row r="53" spans="3:4" ht="15.75" x14ac:dyDescent="0.25">
      <c r="C53" s="46" t="str">
        <f t="shared" si="1"/>
        <v/>
      </c>
      <c r="D53" s="46" t="str">
        <f t="shared" si="2"/>
        <v/>
      </c>
    </row>
    <row r="54" spans="3:4" ht="15.75" x14ac:dyDescent="0.25">
      <c r="C54" s="46" t="str">
        <f t="shared" si="1"/>
        <v/>
      </c>
      <c r="D54" s="46" t="str">
        <f t="shared" si="2"/>
        <v/>
      </c>
    </row>
    <row r="55" spans="3:4" ht="15.75" x14ac:dyDescent="0.25">
      <c r="C55" s="46" t="str">
        <f t="shared" si="1"/>
        <v/>
      </c>
      <c r="D55" s="46" t="str">
        <f t="shared" si="2"/>
        <v/>
      </c>
    </row>
    <row r="56" spans="3:4" ht="15.75" x14ac:dyDescent="0.25">
      <c r="C56" s="46" t="str">
        <f t="shared" si="1"/>
        <v/>
      </c>
      <c r="D56" s="46" t="str">
        <f t="shared" si="2"/>
        <v/>
      </c>
    </row>
    <row r="57" spans="3:4" ht="15.75" x14ac:dyDescent="0.25">
      <c r="C57" s="46" t="str">
        <f t="shared" si="1"/>
        <v/>
      </c>
      <c r="D57" s="46" t="str">
        <f t="shared" si="2"/>
        <v/>
      </c>
    </row>
    <row r="58" spans="3:4" ht="15.75" x14ac:dyDescent="0.25">
      <c r="C58" s="46" t="str">
        <f t="shared" si="1"/>
        <v/>
      </c>
      <c r="D58" s="46" t="str">
        <f t="shared" si="2"/>
        <v/>
      </c>
    </row>
    <row r="59" spans="3:4" ht="15.75" x14ac:dyDescent="0.25">
      <c r="C59" s="46" t="str">
        <f t="shared" si="1"/>
        <v/>
      </c>
      <c r="D59" s="46" t="str">
        <f t="shared" si="2"/>
        <v/>
      </c>
    </row>
    <row r="60" spans="3:4" ht="15.75" x14ac:dyDescent="0.25">
      <c r="C60" s="46" t="str">
        <f t="shared" si="1"/>
        <v/>
      </c>
      <c r="D60" s="46" t="str">
        <f t="shared" si="2"/>
        <v/>
      </c>
    </row>
    <row r="61" spans="3:4" ht="15.75" x14ac:dyDescent="0.25">
      <c r="C61" s="46" t="str">
        <f t="shared" si="1"/>
        <v/>
      </c>
      <c r="D61" s="46" t="str">
        <f t="shared" si="2"/>
        <v/>
      </c>
    </row>
    <row r="62" spans="3:4" ht="15.75" x14ac:dyDescent="0.25">
      <c r="C62" s="46" t="str">
        <f t="shared" si="1"/>
        <v/>
      </c>
      <c r="D62" s="46" t="str">
        <f t="shared" si="2"/>
        <v/>
      </c>
    </row>
    <row r="63" spans="3:4" ht="15.75" x14ac:dyDescent="0.25">
      <c r="C63" s="46" t="str">
        <f t="shared" si="1"/>
        <v/>
      </c>
      <c r="D63" s="46" t="str">
        <f t="shared" si="2"/>
        <v/>
      </c>
    </row>
    <row r="64" spans="3:4" ht="15.75" x14ac:dyDescent="0.25">
      <c r="C64" s="46" t="str">
        <f t="shared" si="1"/>
        <v/>
      </c>
      <c r="D64" s="46" t="str">
        <f t="shared" si="2"/>
        <v/>
      </c>
    </row>
    <row r="65" spans="3:4" ht="15.75" x14ac:dyDescent="0.25">
      <c r="C65" s="46" t="str">
        <f t="shared" si="1"/>
        <v/>
      </c>
      <c r="D65" s="46" t="str">
        <f t="shared" si="2"/>
        <v/>
      </c>
    </row>
    <row r="66" spans="3:4" ht="15.75" x14ac:dyDescent="0.25">
      <c r="C66" s="46" t="str">
        <f t="shared" si="1"/>
        <v/>
      </c>
      <c r="D66" s="46" t="str">
        <f t="shared" si="2"/>
        <v/>
      </c>
    </row>
    <row r="67" spans="3:4" ht="15.75" x14ac:dyDescent="0.25">
      <c r="C67" s="46" t="str">
        <f t="shared" si="1"/>
        <v/>
      </c>
      <c r="D67" s="46" t="str">
        <f t="shared" si="2"/>
        <v/>
      </c>
    </row>
    <row r="68" spans="3:4" ht="15.75" x14ac:dyDescent="0.25">
      <c r="C68" s="46" t="str">
        <f t="shared" si="1"/>
        <v/>
      </c>
      <c r="D68" s="46" t="str">
        <f t="shared" si="2"/>
        <v/>
      </c>
    </row>
    <row r="69" spans="3:4" ht="15.75" x14ac:dyDescent="0.25">
      <c r="C69" s="46" t="str">
        <f t="shared" si="1"/>
        <v/>
      </c>
      <c r="D69" s="46" t="str">
        <f t="shared" si="2"/>
        <v/>
      </c>
    </row>
    <row r="70" spans="3:4" ht="15.75" x14ac:dyDescent="0.25">
      <c r="C70" s="46" t="str">
        <f t="shared" si="1"/>
        <v/>
      </c>
      <c r="D70" s="46" t="str">
        <f t="shared" si="2"/>
        <v/>
      </c>
    </row>
    <row r="71" spans="3:4" ht="15.75" x14ac:dyDescent="0.25">
      <c r="C71" s="46" t="str">
        <f t="shared" si="1"/>
        <v/>
      </c>
      <c r="D71" s="46" t="str">
        <f t="shared" si="2"/>
        <v/>
      </c>
    </row>
    <row r="72" spans="3:4" ht="15.75" x14ac:dyDescent="0.25">
      <c r="C72" s="46" t="str">
        <f t="shared" si="1"/>
        <v/>
      </c>
      <c r="D72" s="46" t="str">
        <f t="shared" si="2"/>
        <v/>
      </c>
    </row>
    <row r="73" spans="3:4" ht="15.75" x14ac:dyDescent="0.25">
      <c r="C73" s="46" t="str">
        <f t="shared" si="1"/>
        <v/>
      </c>
      <c r="D73" s="46" t="str">
        <f t="shared" si="2"/>
        <v/>
      </c>
    </row>
    <row r="74" spans="3:4" ht="15.75" x14ac:dyDescent="0.25">
      <c r="C74" s="46" t="str">
        <f t="shared" si="1"/>
        <v/>
      </c>
      <c r="D74" s="46" t="str">
        <f t="shared" si="2"/>
        <v/>
      </c>
    </row>
    <row r="75" spans="3:4" ht="15.75" x14ac:dyDescent="0.25">
      <c r="C75" s="46" t="str">
        <f t="shared" si="1"/>
        <v/>
      </c>
      <c r="D75" s="46" t="str">
        <f t="shared" si="2"/>
        <v/>
      </c>
    </row>
    <row r="76" spans="3:4" ht="15.75" x14ac:dyDescent="0.25">
      <c r="C76" s="46" t="str">
        <f t="shared" si="1"/>
        <v/>
      </c>
      <c r="D76" s="46" t="str">
        <f t="shared" si="2"/>
        <v/>
      </c>
    </row>
    <row r="77" spans="3:4" ht="15.75" x14ac:dyDescent="0.25">
      <c r="C77" s="46" t="str">
        <f t="shared" si="1"/>
        <v/>
      </c>
      <c r="D77" s="46" t="str">
        <f t="shared" si="2"/>
        <v/>
      </c>
    </row>
    <row r="78" spans="3:4" ht="15.75" x14ac:dyDescent="0.25">
      <c r="C78" s="46" t="str">
        <f t="shared" si="1"/>
        <v/>
      </c>
      <c r="D78" s="46" t="str">
        <f t="shared" si="2"/>
        <v/>
      </c>
    </row>
    <row r="79" spans="3:4" ht="15.75" x14ac:dyDescent="0.25">
      <c r="C79" s="46" t="str">
        <f t="shared" ref="C79:C142" si="5">IF(COUNTIF(E79:BA79,"YES")=0,"",COUNTIF(E79:BA79,"YES"))</f>
        <v/>
      </c>
      <c r="D79" s="46" t="str">
        <f t="shared" si="2"/>
        <v/>
      </c>
    </row>
    <row r="80" spans="3:4" ht="15.75" x14ac:dyDescent="0.25">
      <c r="C80" s="46" t="str">
        <f t="shared" si="5"/>
        <v/>
      </c>
      <c r="D80" s="46" t="str">
        <f t="shared" si="2"/>
        <v/>
      </c>
    </row>
    <row r="81" spans="3:4" ht="15.75" x14ac:dyDescent="0.25">
      <c r="C81" s="46" t="str">
        <f t="shared" si="5"/>
        <v/>
      </c>
      <c r="D81" s="46" t="str">
        <f t="shared" si="2"/>
        <v/>
      </c>
    </row>
    <row r="82" spans="3:4" ht="15.75" x14ac:dyDescent="0.25">
      <c r="C82" s="46" t="str">
        <f t="shared" si="5"/>
        <v/>
      </c>
      <c r="D82" s="46" t="str">
        <f t="shared" si="2"/>
        <v/>
      </c>
    </row>
    <row r="83" spans="3:4" ht="15.75" x14ac:dyDescent="0.25">
      <c r="C83" s="46" t="str">
        <f t="shared" si="5"/>
        <v/>
      </c>
      <c r="D83" s="46" t="str">
        <f t="shared" si="2"/>
        <v/>
      </c>
    </row>
    <row r="84" spans="3:4" ht="15.75" x14ac:dyDescent="0.25">
      <c r="C84" s="46" t="str">
        <f t="shared" si="5"/>
        <v/>
      </c>
      <c r="D84" s="46" t="str">
        <f t="shared" si="2"/>
        <v/>
      </c>
    </row>
    <row r="85" spans="3:4" ht="15.75" x14ac:dyDescent="0.25">
      <c r="C85" s="46" t="str">
        <f t="shared" si="5"/>
        <v/>
      </c>
      <c r="D85" s="46" t="str">
        <f t="shared" ref="D85:D148" si="6">IF(COUNTIF(E85:BA85,"NO")=0,"",COUNTIF(E85:BA85,"NO"))</f>
        <v/>
      </c>
    </row>
    <row r="86" spans="3:4" ht="15.75" x14ac:dyDescent="0.25">
      <c r="C86" s="46" t="str">
        <f t="shared" si="5"/>
        <v/>
      </c>
      <c r="D86" s="46" t="str">
        <f t="shared" si="6"/>
        <v/>
      </c>
    </row>
    <row r="87" spans="3:4" ht="15.75" x14ac:dyDescent="0.25">
      <c r="C87" s="46" t="str">
        <f t="shared" si="5"/>
        <v/>
      </c>
      <c r="D87" s="46" t="str">
        <f t="shared" si="6"/>
        <v/>
      </c>
    </row>
    <row r="88" spans="3:4" ht="15.75" x14ac:dyDescent="0.25">
      <c r="C88" s="46" t="str">
        <f t="shared" si="5"/>
        <v/>
      </c>
      <c r="D88" s="46" t="str">
        <f t="shared" si="6"/>
        <v/>
      </c>
    </row>
    <row r="89" spans="3:4" ht="15.75" x14ac:dyDescent="0.25">
      <c r="C89" s="46" t="str">
        <f t="shared" si="5"/>
        <v/>
      </c>
      <c r="D89" s="46" t="str">
        <f t="shared" si="6"/>
        <v/>
      </c>
    </row>
    <row r="90" spans="3:4" ht="15.75" x14ac:dyDescent="0.25">
      <c r="C90" s="46" t="str">
        <f t="shared" si="5"/>
        <v/>
      </c>
      <c r="D90" s="46" t="str">
        <f t="shared" si="6"/>
        <v/>
      </c>
    </row>
    <row r="91" spans="3:4" ht="15.75" x14ac:dyDescent="0.25">
      <c r="C91" s="46" t="str">
        <f t="shared" si="5"/>
        <v/>
      </c>
      <c r="D91" s="46" t="str">
        <f t="shared" si="6"/>
        <v/>
      </c>
    </row>
    <row r="92" spans="3:4" ht="15.75" x14ac:dyDescent="0.25">
      <c r="C92" s="46" t="str">
        <f t="shared" si="5"/>
        <v/>
      </c>
      <c r="D92" s="46" t="str">
        <f t="shared" si="6"/>
        <v/>
      </c>
    </row>
    <row r="93" spans="3:4" ht="15.75" x14ac:dyDescent="0.25">
      <c r="C93" s="46" t="str">
        <f t="shared" si="5"/>
        <v/>
      </c>
      <c r="D93" s="46" t="str">
        <f t="shared" si="6"/>
        <v/>
      </c>
    </row>
    <row r="94" spans="3:4" ht="15.75" x14ac:dyDescent="0.25">
      <c r="C94" s="46" t="str">
        <f t="shared" si="5"/>
        <v/>
      </c>
      <c r="D94" s="46" t="str">
        <f t="shared" si="6"/>
        <v/>
      </c>
    </row>
    <row r="95" spans="3:4" ht="15.75" x14ac:dyDescent="0.25">
      <c r="C95" s="46" t="str">
        <f t="shared" si="5"/>
        <v/>
      </c>
      <c r="D95" s="46" t="str">
        <f t="shared" si="6"/>
        <v/>
      </c>
    </row>
    <row r="96" spans="3:4" ht="15.75" x14ac:dyDescent="0.25">
      <c r="C96" s="46" t="str">
        <f t="shared" si="5"/>
        <v/>
      </c>
      <c r="D96" s="46" t="str">
        <f t="shared" si="6"/>
        <v/>
      </c>
    </row>
    <row r="97" spans="3:4" ht="15.75" x14ac:dyDescent="0.25">
      <c r="C97" s="46" t="str">
        <f t="shared" si="5"/>
        <v/>
      </c>
      <c r="D97" s="46" t="str">
        <f t="shared" si="6"/>
        <v/>
      </c>
    </row>
    <row r="98" spans="3:4" ht="15.75" x14ac:dyDescent="0.25">
      <c r="C98" s="46" t="str">
        <f t="shared" si="5"/>
        <v/>
      </c>
      <c r="D98" s="46" t="str">
        <f t="shared" si="6"/>
        <v/>
      </c>
    </row>
    <row r="99" spans="3:4" ht="15.75" x14ac:dyDescent="0.25">
      <c r="C99" s="46" t="str">
        <f t="shared" si="5"/>
        <v/>
      </c>
      <c r="D99" s="46" t="str">
        <f t="shared" si="6"/>
        <v/>
      </c>
    </row>
    <row r="100" spans="3:4" ht="15.75" x14ac:dyDescent="0.25">
      <c r="C100" s="46" t="str">
        <f t="shared" si="5"/>
        <v/>
      </c>
      <c r="D100" s="46" t="str">
        <f t="shared" si="6"/>
        <v/>
      </c>
    </row>
    <row r="101" spans="3:4" ht="15.75" x14ac:dyDescent="0.25">
      <c r="C101" s="46" t="str">
        <f t="shared" si="5"/>
        <v/>
      </c>
      <c r="D101" s="46" t="str">
        <f t="shared" si="6"/>
        <v/>
      </c>
    </row>
    <row r="102" spans="3:4" ht="15.75" x14ac:dyDescent="0.25">
      <c r="C102" s="46" t="str">
        <f t="shared" si="5"/>
        <v/>
      </c>
      <c r="D102" s="46" t="str">
        <f t="shared" si="6"/>
        <v/>
      </c>
    </row>
    <row r="103" spans="3:4" ht="15.75" x14ac:dyDescent="0.25">
      <c r="C103" s="46" t="str">
        <f t="shared" si="5"/>
        <v/>
      </c>
      <c r="D103" s="46" t="str">
        <f t="shared" si="6"/>
        <v/>
      </c>
    </row>
    <row r="104" spans="3:4" ht="15.75" x14ac:dyDescent="0.25">
      <c r="C104" s="46" t="str">
        <f t="shared" si="5"/>
        <v/>
      </c>
      <c r="D104" s="46" t="str">
        <f t="shared" si="6"/>
        <v/>
      </c>
    </row>
    <row r="105" spans="3:4" ht="15.75" x14ac:dyDescent="0.25">
      <c r="C105" s="46" t="str">
        <f t="shared" si="5"/>
        <v/>
      </c>
      <c r="D105" s="46" t="str">
        <f t="shared" si="6"/>
        <v/>
      </c>
    </row>
    <row r="106" spans="3:4" ht="15.75" x14ac:dyDescent="0.25">
      <c r="C106" s="46" t="str">
        <f t="shared" si="5"/>
        <v/>
      </c>
      <c r="D106" s="46" t="str">
        <f t="shared" si="6"/>
        <v/>
      </c>
    </row>
    <row r="107" spans="3:4" ht="15.75" x14ac:dyDescent="0.25">
      <c r="C107" s="46" t="str">
        <f t="shared" si="5"/>
        <v/>
      </c>
      <c r="D107" s="46" t="str">
        <f t="shared" si="6"/>
        <v/>
      </c>
    </row>
    <row r="108" spans="3:4" ht="15.75" x14ac:dyDescent="0.25">
      <c r="C108" s="46" t="str">
        <f t="shared" si="5"/>
        <v/>
      </c>
      <c r="D108" s="46" t="str">
        <f t="shared" si="6"/>
        <v/>
      </c>
    </row>
    <row r="109" spans="3:4" ht="15.75" x14ac:dyDescent="0.25">
      <c r="C109" s="46" t="str">
        <f t="shared" si="5"/>
        <v/>
      </c>
      <c r="D109" s="46" t="str">
        <f t="shared" si="6"/>
        <v/>
      </c>
    </row>
    <row r="110" spans="3:4" ht="15.75" x14ac:dyDescent="0.25">
      <c r="C110" s="46" t="str">
        <f t="shared" si="5"/>
        <v/>
      </c>
      <c r="D110" s="46" t="str">
        <f t="shared" si="6"/>
        <v/>
      </c>
    </row>
    <row r="111" spans="3:4" ht="15.75" x14ac:dyDescent="0.25">
      <c r="C111" s="46" t="str">
        <f t="shared" si="5"/>
        <v/>
      </c>
      <c r="D111" s="46" t="str">
        <f t="shared" si="6"/>
        <v/>
      </c>
    </row>
    <row r="112" spans="3:4" ht="15.75" x14ac:dyDescent="0.25">
      <c r="C112" s="46" t="str">
        <f t="shared" si="5"/>
        <v/>
      </c>
      <c r="D112" s="46" t="str">
        <f t="shared" si="6"/>
        <v/>
      </c>
    </row>
    <row r="113" spans="3:4" ht="15.75" x14ac:dyDescent="0.25">
      <c r="C113" s="46" t="str">
        <f t="shared" si="5"/>
        <v/>
      </c>
      <c r="D113" s="46" t="str">
        <f t="shared" si="6"/>
        <v/>
      </c>
    </row>
    <row r="114" spans="3:4" ht="15.75" x14ac:dyDescent="0.25">
      <c r="C114" s="46" t="str">
        <f t="shared" si="5"/>
        <v/>
      </c>
      <c r="D114" s="46" t="str">
        <f t="shared" si="6"/>
        <v/>
      </c>
    </row>
    <row r="115" spans="3:4" ht="15.75" x14ac:dyDescent="0.25">
      <c r="C115" s="46" t="str">
        <f t="shared" si="5"/>
        <v/>
      </c>
      <c r="D115" s="46" t="str">
        <f t="shared" si="6"/>
        <v/>
      </c>
    </row>
    <row r="116" spans="3:4" ht="15.75" x14ac:dyDescent="0.25">
      <c r="C116" s="46" t="str">
        <f t="shared" si="5"/>
        <v/>
      </c>
      <c r="D116" s="46" t="str">
        <f t="shared" si="6"/>
        <v/>
      </c>
    </row>
    <row r="117" spans="3:4" ht="15.75" x14ac:dyDescent="0.25">
      <c r="C117" s="46" t="str">
        <f t="shared" si="5"/>
        <v/>
      </c>
      <c r="D117" s="46" t="str">
        <f t="shared" si="6"/>
        <v/>
      </c>
    </row>
    <row r="118" spans="3:4" ht="15.75" x14ac:dyDescent="0.25">
      <c r="C118" s="46" t="str">
        <f t="shared" si="5"/>
        <v/>
      </c>
      <c r="D118" s="46" t="str">
        <f t="shared" si="6"/>
        <v/>
      </c>
    </row>
    <row r="119" spans="3:4" ht="15.75" x14ac:dyDescent="0.25">
      <c r="C119" s="46" t="str">
        <f t="shared" si="5"/>
        <v/>
      </c>
      <c r="D119" s="46" t="str">
        <f t="shared" si="6"/>
        <v/>
      </c>
    </row>
    <row r="120" spans="3:4" ht="15.75" x14ac:dyDescent="0.25">
      <c r="C120" s="46" t="str">
        <f t="shared" si="5"/>
        <v/>
      </c>
      <c r="D120" s="46" t="str">
        <f t="shared" si="6"/>
        <v/>
      </c>
    </row>
    <row r="121" spans="3:4" ht="15.75" x14ac:dyDescent="0.25">
      <c r="C121" s="46" t="str">
        <f t="shared" si="5"/>
        <v/>
      </c>
      <c r="D121" s="46" t="str">
        <f t="shared" si="6"/>
        <v/>
      </c>
    </row>
    <row r="122" spans="3:4" ht="15.75" x14ac:dyDescent="0.25">
      <c r="C122" s="46" t="str">
        <f t="shared" si="5"/>
        <v/>
      </c>
      <c r="D122" s="46" t="str">
        <f t="shared" si="6"/>
        <v/>
      </c>
    </row>
    <row r="123" spans="3:4" ht="15.75" x14ac:dyDescent="0.25">
      <c r="C123" s="46" t="str">
        <f t="shared" si="5"/>
        <v/>
      </c>
      <c r="D123" s="46" t="str">
        <f t="shared" si="6"/>
        <v/>
      </c>
    </row>
    <row r="124" spans="3:4" ht="15.75" x14ac:dyDescent="0.25">
      <c r="C124" s="46" t="str">
        <f t="shared" si="5"/>
        <v/>
      </c>
      <c r="D124" s="46" t="str">
        <f t="shared" si="6"/>
        <v/>
      </c>
    </row>
    <row r="125" spans="3:4" ht="15.75" x14ac:dyDescent="0.25">
      <c r="C125" s="46" t="str">
        <f t="shared" si="5"/>
        <v/>
      </c>
      <c r="D125" s="46" t="str">
        <f t="shared" si="6"/>
        <v/>
      </c>
    </row>
    <row r="126" spans="3:4" ht="15.75" x14ac:dyDescent="0.25">
      <c r="C126" s="46" t="str">
        <f t="shared" si="5"/>
        <v/>
      </c>
      <c r="D126" s="46" t="str">
        <f t="shared" si="6"/>
        <v/>
      </c>
    </row>
    <row r="127" spans="3:4" ht="15.75" x14ac:dyDescent="0.25">
      <c r="C127" s="46" t="str">
        <f t="shared" si="5"/>
        <v/>
      </c>
      <c r="D127" s="46" t="str">
        <f t="shared" si="6"/>
        <v/>
      </c>
    </row>
    <row r="128" spans="3:4" ht="15.75" x14ac:dyDescent="0.25">
      <c r="C128" s="46" t="str">
        <f t="shared" si="5"/>
        <v/>
      </c>
      <c r="D128" s="46" t="str">
        <f t="shared" si="6"/>
        <v/>
      </c>
    </row>
    <row r="129" spans="3:4" ht="15.75" x14ac:dyDescent="0.25">
      <c r="C129" s="46" t="str">
        <f t="shared" si="5"/>
        <v/>
      </c>
      <c r="D129" s="46" t="str">
        <f t="shared" si="6"/>
        <v/>
      </c>
    </row>
    <row r="130" spans="3:4" ht="15.75" x14ac:dyDescent="0.25">
      <c r="C130" s="46" t="str">
        <f t="shared" si="5"/>
        <v/>
      </c>
      <c r="D130" s="46" t="str">
        <f t="shared" si="6"/>
        <v/>
      </c>
    </row>
    <row r="131" spans="3:4" ht="15.75" x14ac:dyDescent="0.25">
      <c r="C131" s="46" t="str">
        <f t="shared" si="5"/>
        <v/>
      </c>
      <c r="D131" s="46" t="str">
        <f t="shared" si="6"/>
        <v/>
      </c>
    </row>
    <row r="132" spans="3:4" ht="15.75" x14ac:dyDescent="0.25">
      <c r="C132" s="46" t="str">
        <f t="shared" si="5"/>
        <v/>
      </c>
      <c r="D132" s="46" t="str">
        <f t="shared" si="6"/>
        <v/>
      </c>
    </row>
    <row r="133" spans="3:4" ht="15.75" x14ac:dyDescent="0.25">
      <c r="C133" s="46" t="str">
        <f t="shared" si="5"/>
        <v/>
      </c>
      <c r="D133" s="46" t="str">
        <f t="shared" si="6"/>
        <v/>
      </c>
    </row>
    <row r="134" spans="3:4" ht="15.75" x14ac:dyDescent="0.25">
      <c r="C134" s="46" t="str">
        <f t="shared" si="5"/>
        <v/>
      </c>
      <c r="D134" s="46" t="str">
        <f t="shared" si="6"/>
        <v/>
      </c>
    </row>
    <row r="135" spans="3:4" ht="15.75" x14ac:dyDescent="0.25">
      <c r="C135" s="46" t="str">
        <f t="shared" si="5"/>
        <v/>
      </c>
      <c r="D135" s="46" t="str">
        <f t="shared" si="6"/>
        <v/>
      </c>
    </row>
    <row r="136" spans="3:4" ht="15.75" x14ac:dyDescent="0.25">
      <c r="C136" s="46" t="str">
        <f t="shared" si="5"/>
        <v/>
      </c>
      <c r="D136" s="46" t="str">
        <f t="shared" si="6"/>
        <v/>
      </c>
    </row>
    <row r="137" spans="3:4" ht="15.75" x14ac:dyDescent="0.25">
      <c r="C137" s="46" t="str">
        <f t="shared" si="5"/>
        <v/>
      </c>
      <c r="D137" s="46" t="str">
        <f t="shared" si="6"/>
        <v/>
      </c>
    </row>
    <row r="138" spans="3:4" ht="15.75" x14ac:dyDescent="0.25">
      <c r="C138" s="46" t="str">
        <f t="shared" si="5"/>
        <v/>
      </c>
      <c r="D138" s="46" t="str">
        <f t="shared" si="6"/>
        <v/>
      </c>
    </row>
    <row r="139" spans="3:4" ht="15.75" x14ac:dyDescent="0.25">
      <c r="C139" s="46" t="str">
        <f t="shared" si="5"/>
        <v/>
      </c>
      <c r="D139" s="46" t="str">
        <f t="shared" si="6"/>
        <v/>
      </c>
    </row>
    <row r="140" spans="3:4" ht="15.75" x14ac:dyDescent="0.25">
      <c r="C140" s="46" t="str">
        <f t="shared" si="5"/>
        <v/>
      </c>
      <c r="D140" s="46" t="str">
        <f t="shared" si="6"/>
        <v/>
      </c>
    </row>
    <row r="141" spans="3:4" ht="15.75" x14ac:dyDescent="0.25">
      <c r="C141" s="46" t="str">
        <f t="shared" si="5"/>
        <v/>
      </c>
      <c r="D141" s="46" t="str">
        <f t="shared" si="6"/>
        <v/>
      </c>
    </row>
    <row r="142" spans="3:4" ht="15.75" x14ac:dyDescent="0.25">
      <c r="C142" s="46" t="str">
        <f t="shared" si="5"/>
        <v/>
      </c>
      <c r="D142" s="46" t="str">
        <f t="shared" si="6"/>
        <v/>
      </c>
    </row>
    <row r="143" spans="3:4" ht="15.75" x14ac:dyDescent="0.25">
      <c r="C143" s="46" t="str">
        <f t="shared" ref="C143:C206" si="7">IF(COUNTIF(E143:BA143,"YES")=0,"",COUNTIF(E143:BA143,"YES"))</f>
        <v/>
      </c>
      <c r="D143" s="46" t="str">
        <f t="shared" si="6"/>
        <v/>
      </c>
    </row>
    <row r="144" spans="3:4" ht="15.75" x14ac:dyDescent="0.25">
      <c r="C144" s="46" t="str">
        <f t="shared" si="7"/>
        <v/>
      </c>
      <c r="D144" s="46" t="str">
        <f t="shared" si="6"/>
        <v/>
      </c>
    </row>
    <row r="145" spans="3:4" ht="15.75" x14ac:dyDescent="0.25">
      <c r="C145" s="46" t="str">
        <f t="shared" si="7"/>
        <v/>
      </c>
      <c r="D145" s="46" t="str">
        <f t="shared" si="6"/>
        <v/>
      </c>
    </row>
    <row r="146" spans="3:4" ht="15.75" x14ac:dyDescent="0.25">
      <c r="C146" s="46" t="str">
        <f t="shared" si="7"/>
        <v/>
      </c>
      <c r="D146" s="46" t="str">
        <f t="shared" si="6"/>
        <v/>
      </c>
    </row>
    <row r="147" spans="3:4" ht="15.75" x14ac:dyDescent="0.25">
      <c r="C147" s="46" t="str">
        <f t="shared" si="7"/>
        <v/>
      </c>
      <c r="D147" s="46" t="str">
        <f t="shared" si="6"/>
        <v/>
      </c>
    </row>
    <row r="148" spans="3:4" ht="15.75" x14ac:dyDescent="0.25">
      <c r="C148" s="46" t="str">
        <f t="shared" si="7"/>
        <v/>
      </c>
      <c r="D148" s="46" t="str">
        <f t="shared" si="6"/>
        <v/>
      </c>
    </row>
    <row r="149" spans="3:4" ht="15.75" x14ac:dyDescent="0.25">
      <c r="C149" s="46" t="str">
        <f t="shared" si="7"/>
        <v/>
      </c>
      <c r="D149" s="46" t="str">
        <f t="shared" ref="D149:D212" si="8">IF(COUNTIF(E149:BA149,"NO")=0,"",COUNTIF(E149:BA149,"NO"))</f>
        <v/>
      </c>
    </row>
    <row r="150" spans="3:4" ht="15.75" x14ac:dyDescent="0.25">
      <c r="C150" s="46" t="str">
        <f t="shared" si="7"/>
        <v/>
      </c>
      <c r="D150" s="46" t="str">
        <f t="shared" si="8"/>
        <v/>
      </c>
    </row>
    <row r="151" spans="3:4" ht="15.75" x14ac:dyDescent="0.25">
      <c r="C151" s="46" t="str">
        <f t="shared" si="7"/>
        <v/>
      </c>
      <c r="D151" s="46" t="str">
        <f t="shared" si="8"/>
        <v/>
      </c>
    </row>
    <row r="152" spans="3:4" ht="15.75" x14ac:dyDescent="0.25">
      <c r="C152" s="46" t="str">
        <f t="shared" si="7"/>
        <v/>
      </c>
      <c r="D152" s="46" t="str">
        <f t="shared" si="8"/>
        <v/>
      </c>
    </row>
    <row r="153" spans="3:4" ht="15.75" x14ac:dyDescent="0.25">
      <c r="C153" s="46" t="str">
        <f t="shared" si="7"/>
        <v/>
      </c>
      <c r="D153" s="46" t="str">
        <f t="shared" si="8"/>
        <v/>
      </c>
    </row>
    <row r="154" spans="3:4" ht="15.75" x14ac:dyDescent="0.25">
      <c r="C154" s="46" t="str">
        <f t="shared" si="7"/>
        <v/>
      </c>
      <c r="D154" s="46" t="str">
        <f t="shared" si="8"/>
        <v/>
      </c>
    </row>
    <row r="155" spans="3:4" ht="15.75" x14ac:dyDescent="0.25">
      <c r="C155" s="46" t="str">
        <f t="shared" si="7"/>
        <v/>
      </c>
      <c r="D155" s="46" t="str">
        <f t="shared" si="8"/>
        <v/>
      </c>
    </row>
    <row r="156" spans="3:4" ht="15.75" x14ac:dyDescent="0.25">
      <c r="C156" s="46" t="str">
        <f t="shared" si="7"/>
        <v/>
      </c>
      <c r="D156" s="46" t="str">
        <f t="shared" si="8"/>
        <v/>
      </c>
    </row>
    <row r="157" spans="3:4" ht="15.75" x14ac:dyDescent="0.25">
      <c r="C157" s="46" t="str">
        <f t="shared" si="7"/>
        <v/>
      </c>
      <c r="D157" s="46" t="str">
        <f t="shared" si="8"/>
        <v/>
      </c>
    </row>
    <row r="158" spans="3:4" ht="15.75" x14ac:dyDescent="0.25">
      <c r="C158" s="46" t="str">
        <f t="shared" si="7"/>
        <v/>
      </c>
      <c r="D158" s="46" t="str">
        <f t="shared" si="8"/>
        <v/>
      </c>
    </row>
    <row r="159" spans="3:4" ht="15.75" x14ac:dyDescent="0.25">
      <c r="C159" s="46" t="str">
        <f t="shared" si="7"/>
        <v/>
      </c>
      <c r="D159" s="46" t="str">
        <f t="shared" si="8"/>
        <v/>
      </c>
    </row>
    <row r="160" spans="3:4" ht="15.75" x14ac:dyDescent="0.25">
      <c r="C160" s="46" t="str">
        <f t="shared" si="7"/>
        <v/>
      </c>
      <c r="D160" s="46" t="str">
        <f t="shared" si="8"/>
        <v/>
      </c>
    </row>
    <row r="161" spans="3:4" ht="15.75" x14ac:dyDescent="0.25">
      <c r="C161" s="46" t="str">
        <f t="shared" si="7"/>
        <v/>
      </c>
      <c r="D161" s="46" t="str">
        <f t="shared" si="8"/>
        <v/>
      </c>
    </row>
    <row r="162" spans="3:4" ht="15.75" x14ac:dyDescent="0.25">
      <c r="C162" s="46" t="str">
        <f t="shared" si="7"/>
        <v/>
      </c>
      <c r="D162" s="46" t="str">
        <f t="shared" si="8"/>
        <v/>
      </c>
    </row>
    <row r="163" spans="3:4" ht="15.75" x14ac:dyDescent="0.25">
      <c r="C163" s="46" t="str">
        <f t="shared" si="7"/>
        <v/>
      </c>
      <c r="D163" s="46" t="str">
        <f t="shared" si="8"/>
        <v/>
      </c>
    </row>
    <row r="164" spans="3:4" ht="15.75" x14ac:dyDescent="0.25">
      <c r="C164" s="46" t="str">
        <f t="shared" si="7"/>
        <v/>
      </c>
      <c r="D164" s="46" t="str">
        <f t="shared" si="8"/>
        <v/>
      </c>
    </row>
    <row r="165" spans="3:4" ht="15.75" x14ac:dyDescent="0.25">
      <c r="C165" s="46" t="str">
        <f t="shared" si="7"/>
        <v/>
      </c>
      <c r="D165" s="46" t="str">
        <f t="shared" si="8"/>
        <v/>
      </c>
    </row>
    <row r="166" spans="3:4" ht="15.75" x14ac:dyDescent="0.25">
      <c r="C166" s="46" t="str">
        <f t="shared" si="7"/>
        <v/>
      </c>
      <c r="D166" s="46" t="str">
        <f t="shared" si="8"/>
        <v/>
      </c>
    </row>
    <row r="167" spans="3:4" ht="15.75" x14ac:dyDescent="0.25">
      <c r="C167" s="46" t="str">
        <f t="shared" si="7"/>
        <v/>
      </c>
      <c r="D167" s="46" t="str">
        <f t="shared" si="8"/>
        <v/>
      </c>
    </row>
    <row r="168" spans="3:4" ht="15.75" x14ac:dyDescent="0.25">
      <c r="C168" s="46" t="str">
        <f t="shared" si="7"/>
        <v/>
      </c>
      <c r="D168" s="46" t="str">
        <f t="shared" si="8"/>
        <v/>
      </c>
    </row>
    <row r="169" spans="3:4" ht="15.75" x14ac:dyDescent="0.25">
      <c r="C169" s="46" t="str">
        <f t="shared" si="7"/>
        <v/>
      </c>
      <c r="D169" s="46" t="str">
        <f t="shared" si="8"/>
        <v/>
      </c>
    </row>
    <row r="170" spans="3:4" ht="15.75" x14ac:dyDescent="0.25">
      <c r="C170" s="46" t="str">
        <f t="shared" si="7"/>
        <v/>
      </c>
      <c r="D170" s="46" t="str">
        <f t="shared" si="8"/>
        <v/>
      </c>
    </row>
    <row r="171" spans="3:4" ht="15.75" x14ac:dyDescent="0.25">
      <c r="C171" s="46" t="str">
        <f t="shared" si="7"/>
        <v/>
      </c>
      <c r="D171" s="46" t="str">
        <f t="shared" si="8"/>
        <v/>
      </c>
    </row>
    <row r="172" spans="3:4" ht="15.75" x14ac:dyDescent="0.25">
      <c r="C172" s="46" t="str">
        <f t="shared" si="7"/>
        <v/>
      </c>
      <c r="D172" s="46" t="str">
        <f t="shared" si="8"/>
        <v/>
      </c>
    </row>
    <row r="173" spans="3:4" ht="15.75" x14ac:dyDescent="0.25">
      <c r="C173" s="46" t="str">
        <f t="shared" si="7"/>
        <v/>
      </c>
      <c r="D173" s="46" t="str">
        <f t="shared" si="8"/>
        <v/>
      </c>
    </row>
    <row r="174" spans="3:4" ht="15.75" x14ac:dyDescent="0.25">
      <c r="C174" s="46" t="str">
        <f t="shared" si="7"/>
        <v/>
      </c>
      <c r="D174" s="46" t="str">
        <f t="shared" si="8"/>
        <v/>
      </c>
    </row>
    <row r="175" spans="3:4" ht="15.75" x14ac:dyDescent="0.25">
      <c r="C175" s="46" t="str">
        <f t="shared" si="7"/>
        <v/>
      </c>
      <c r="D175" s="46" t="str">
        <f t="shared" si="8"/>
        <v/>
      </c>
    </row>
    <row r="176" spans="3:4" ht="15.75" x14ac:dyDescent="0.25">
      <c r="C176" s="46" t="str">
        <f t="shared" si="7"/>
        <v/>
      </c>
      <c r="D176" s="46" t="str">
        <f t="shared" si="8"/>
        <v/>
      </c>
    </row>
    <row r="177" spans="3:4" ht="15.75" x14ac:dyDescent="0.25">
      <c r="C177" s="46" t="str">
        <f t="shared" si="7"/>
        <v/>
      </c>
      <c r="D177" s="46" t="str">
        <f t="shared" si="8"/>
        <v/>
      </c>
    </row>
    <row r="178" spans="3:4" ht="15.75" x14ac:dyDescent="0.25">
      <c r="C178" s="46" t="str">
        <f t="shared" si="7"/>
        <v/>
      </c>
      <c r="D178" s="46" t="str">
        <f t="shared" si="8"/>
        <v/>
      </c>
    </row>
    <row r="179" spans="3:4" ht="15.75" x14ac:dyDescent="0.25">
      <c r="C179" s="46" t="str">
        <f t="shared" si="7"/>
        <v/>
      </c>
      <c r="D179" s="46" t="str">
        <f t="shared" si="8"/>
        <v/>
      </c>
    </row>
    <row r="180" spans="3:4" ht="15.75" x14ac:dyDescent="0.25">
      <c r="C180" s="46" t="str">
        <f t="shared" si="7"/>
        <v/>
      </c>
      <c r="D180" s="46" t="str">
        <f t="shared" si="8"/>
        <v/>
      </c>
    </row>
    <row r="181" spans="3:4" ht="15.75" x14ac:dyDescent="0.25">
      <c r="C181" s="46" t="str">
        <f t="shared" si="7"/>
        <v/>
      </c>
      <c r="D181" s="46" t="str">
        <f t="shared" si="8"/>
        <v/>
      </c>
    </row>
    <row r="182" spans="3:4" ht="15.75" x14ac:dyDescent="0.25">
      <c r="C182" s="46" t="str">
        <f t="shared" si="7"/>
        <v/>
      </c>
      <c r="D182" s="46" t="str">
        <f t="shared" si="8"/>
        <v/>
      </c>
    </row>
    <row r="183" spans="3:4" ht="15.75" x14ac:dyDescent="0.25">
      <c r="C183" s="46" t="str">
        <f t="shared" si="7"/>
        <v/>
      </c>
      <c r="D183" s="46" t="str">
        <f t="shared" si="8"/>
        <v/>
      </c>
    </row>
    <row r="184" spans="3:4" ht="15.75" x14ac:dyDescent="0.25">
      <c r="C184" s="46" t="str">
        <f t="shared" si="7"/>
        <v/>
      </c>
      <c r="D184" s="46" t="str">
        <f t="shared" si="8"/>
        <v/>
      </c>
    </row>
    <row r="185" spans="3:4" ht="15.75" x14ac:dyDescent="0.25">
      <c r="C185" s="46" t="str">
        <f t="shared" si="7"/>
        <v/>
      </c>
      <c r="D185" s="46" t="str">
        <f t="shared" si="8"/>
        <v/>
      </c>
    </row>
    <row r="186" spans="3:4" ht="15.75" x14ac:dyDescent="0.25">
      <c r="C186" s="46" t="str">
        <f t="shared" si="7"/>
        <v/>
      </c>
      <c r="D186" s="46" t="str">
        <f t="shared" si="8"/>
        <v/>
      </c>
    </row>
    <row r="187" spans="3:4" ht="15.75" x14ac:dyDescent="0.25">
      <c r="C187" s="46" t="str">
        <f t="shared" si="7"/>
        <v/>
      </c>
      <c r="D187" s="46" t="str">
        <f t="shared" si="8"/>
        <v/>
      </c>
    </row>
    <row r="188" spans="3:4" ht="15.75" x14ac:dyDescent="0.25">
      <c r="C188" s="46" t="str">
        <f t="shared" si="7"/>
        <v/>
      </c>
      <c r="D188" s="46" t="str">
        <f t="shared" si="8"/>
        <v/>
      </c>
    </row>
    <row r="189" spans="3:4" ht="15.75" x14ac:dyDescent="0.25">
      <c r="C189" s="46" t="str">
        <f t="shared" si="7"/>
        <v/>
      </c>
      <c r="D189" s="46" t="str">
        <f t="shared" si="8"/>
        <v/>
      </c>
    </row>
    <row r="190" spans="3:4" ht="15.75" x14ac:dyDescent="0.25">
      <c r="C190" s="46" t="str">
        <f t="shared" si="7"/>
        <v/>
      </c>
      <c r="D190" s="46" t="str">
        <f t="shared" si="8"/>
        <v/>
      </c>
    </row>
    <row r="191" spans="3:4" ht="15.75" x14ac:dyDescent="0.25">
      <c r="C191" s="46" t="str">
        <f t="shared" si="7"/>
        <v/>
      </c>
      <c r="D191" s="46" t="str">
        <f t="shared" si="8"/>
        <v/>
      </c>
    </row>
    <row r="192" spans="3:4" ht="15.75" x14ac:dyDescent="0.25">
      <c r="C192" s="46" t="str">
        <f t="shared" si="7"/>
        <v/>
      </c>
      <c r="D192" s="46" t="str">
        <f t="shared" si="8"/>
        <v/>
      </c>
    </row>
    <row r="193" spans="3:4" ht="15.75" x14ac:dyDescent="0.25">
      <c r="C193" s="46" t="str">
        <f t="shared" si="7"/>
        <v/>
      </c>
      <c r="D193" s="46" t="str">
        <f t="shared" si="8"/>
        <v/>
      </c>
    </row>
    <row r="194" spans="3:4" ht="15.75" x14ac:dyDescent="0.25">
      <c r="C194" s="46" t="str">
        <f t="shared" si="7"/>
        <v/>
      </c>
      <c r="D194" s="46" t="str">
        <f t="shared" si="8"/>
        <v/>
      </c>
    </row>
    <row r="195" spans="3:4" ht="15.75" x14ac:dyDescent="0.25">
      <c r="C195" s="46" t="str">
        <f t="shared" si="7"/>
        <v/>
      </c>
      <c r="D195" s="46" t="str">
        <f t="shared" si="8"/>
        <v/>
      </c>
    </row>
    <row r="196" spans="3:4" ht="15.75" x14ac:dyDescent="0.25">
      <c r="C196" s="46" t="str">
        <f t="shared" si="7"/>
        <v/>
      </c>
      <c r="D196" s="46" t="str">
        <f t="shared" si="8"/>
        <v/>
      </c>
    </row>
    <row r="197" spans="3:4" ht="15.75" x14ac:dyDescent="0.25">
      <c r="C197" s="46" t="str">
        <f t="shared" si="7"/>
        <v/>
      </c>
      <c r="D197" s="46" t="str">
        <f t="shared" si="8"/>
        <v/>
      </c>
    </row>
    <row r="198" spans="3:4" ht="15.75" x14ac:dyDescent="0.25">
      <c r="C198" s="46" t="str">
        <f t="shared" si="7"/>
        <v/>
      </c>
      <c r="D198" s="46" t="str">
        <f t="shared" si="8"/>
        <v/>
      </c>
    </row>
    <row r="199" spans="3:4" ht="15.75" x14ac:dyDescent="0.25">
      <c r="C199" s="46" t="str">
        <f t="shared" si="7"/>
        <v/>
      </c>
      <c r="D199" s="46" t="str">
        <f t="shared" si="8"/>
        <v/>
      </c>
    </row>
    <row r="200" spans="3:4" ht="15.75" x14ac:dyDescent="0.25">
      <c r="C200" s="46" t="str">
        <f t="shared" si="7"/>
        <v/>
      </c>
      <c r="D200" s="46" t="str">
        <f t="shared" si="8"/>
        <v/>
      </c>
    </row>
    <row r="201" spans="3:4" ht="15.75" x14ac:dyDescent="0.25">
      <c r="C201" s="46" t="str">
        <f t="shared" si="7"/>
        <v/>
      </c>
      <c r="D201" s="46" t="str">
        <f t="shared" si="8"/>
        <v/>
      </c>
    </row>
    <row r="202" spans="3:4" ht="15.75" x14ac:dyDescent="0.25">
      <c r="C202" s="46" t="str">
        <f t="shared" si="7"/>
        <v/>
      </c>
      <c r="D202" s="46" t="str">
        <f t="shared" si="8"/>
        <v/>
      </c>
    </row>
    <row r="203" spans="3:4" ht="15.75" x14ac:dyDescent="0.25">
      <c r="C203" s="46" t="str">
        <f t="shared" si="7"/>
        <v/>
      </c>
      <c r="D203" s="46" t="str">
        <f t="shared" si="8"/>
        <v/>
      </c>
    </row>
    <row r="204" spans="3:4" ht="15.75" x14ac:dyDescent="0.25">
      <c r="C204" s="46" t="str">
        <f t="shared" si="7"/>
        <v/>
      </c>
      <c r="D204" s="46" t="str">
        <f t="shared" si="8"/>
        <v/>
      </c>
    </row>
    <row r="205" spans="3:4" ht="15.75" x14ac:dyDescent="0.25">
      <c r="C205" s="46" t="str">
        <f t="shared" si="7"/>
        <v/>
      </c>
      <c r="D205" s="46" t="str">
        <f t="shared" si="8"/>
        <v/>
      </c>
    </row>
    <row r="206" spans="3:4" ht="15.75" x14ac:dyDescent="0.25">
      <c r="C206" s="46" t="str">
        <f t="shared" si="7"/>
        <v/>
      </c>
      <c r="D206" s="46" t="str">
        <f t="shared" si="8"/>
        <v/>
      </c>
    </row>
    <row r="207" spans="3:4" ht="15.75" x14ac:dyDescent="0.25">
      <c r="C207" s="46" t="str">
        <f t="shared" ref="C207:C270" si="9">IF(COUNTIF(E207:BA207,"YES")=0,"",COUNTIF(E207:BA207,"YES"))</f>
        <v/>
      </c>
      <c r="D207" s="46" t="str">
        <f t="shared" si="8"/>
        <v/>
      </c>
    </row>
    <row r="208" spans="3:4" ht="15.75" x14ac:dyDescent="0.25">
      <c r="C208" s="46" t="str">
        <f t="shared" si="9"/>
        <v/>
      </c>
      <c r="D208" s="46" t="str">
        <f t="shared" si="8"/>
        <v/>
      </c>
    </row>
    <row r="209" spans="3:4" ht="15.75" x14ac:dyDescent="0.25">
      <c r="C209" s="46" t="str">
        <f t="shared" si="9"/>
        <v/>
      </c>
      <c r="D209" s="46" t="str">
        <f t="shared" si="8"/>
        <v/>
      </c>
    </row>
    <row r="210" spans="3:4" ht="15.75" x14ac:dyDescent="0.25">
      <c r="C210" s="46" t="str">
        <f t="shared" si="9"/>
        <v/>
      </c>
      <c r="D210" s="46" t="str">
        <f t="shared" si="8"/>
        <v/>
      </c>
    </row>
    <row r="211" spans="3:4" ht="15.75" x14ac:dyDescent="0.25">
      <c r="C211" s="46" t="str">
        <f t="shared" si="9"/>
        <v/>
      </c>
      <c r="D211" s="46" t="str">
        <f t="shared" si="8"/>
        <v/>
      </c>
    </row>
    <row r="212" spans="3:4" ht="15.75" x14ac:dyDescent="0.25">
      <c r="C212" s="46" t="str">
        <f t="shared" si="9"/>
        <v/>
      </c>
      <c r="D212" s="46" t="str">
        <f t="shared" si="8"/>
        <v/>
      </c>
    </row>
    <row r="213" spans="3:4" ht="15.75" x14ac:dyDescent="0.25">
      <c r="C213" s="46" t="str">
        <f t="shared" si="9"/>
        <v/>
      </c>
      <c r="D213" s="46" t="str">
        <f t="shared" ref="D213:D276" si="10">IF(COUNTIF(E213:BA213,"NO")=0,"",COUNTIF(E213:BA213,"NO"))</f>
        <v/>
      </c>
    </row>
    <row r="214" spans="3:4" ht="15.75" x14ac:dyDescent="0.25">
      <c r="C214" s="46" t="str">
        <f t="shared" si="9"/>
        <v/>
      </c>
      <c r="D214" s="46" t="str">
        <f t="shared" si="10"/>
        <v/>
      </c>
    </row>
    <row r="215" spans="3:4" ht="15.75" x14ac:dyDescent="0.25">
      <c r="C215" s="46" t="str">
        <f t="shared" si="9"/>
        <v/>
      </c>
      <c r="D215" s="46" t="str">
        <f t="shared" si="10"/>
        <v/>
      </c>
    </row>
    <row r="216" spans="3:4" ht="15.75" x14ac:dyDescent="0.25">
      <c r="C216" s="46" t="str">
        <f t="shared" si="9"/>
        <v/>
      </c>
      <c r="D216" s="46" t="str">
        <f t="shared" si="10"/>
        <v/>
      </c>
    </row>
    <row r="217" spans="3:4" ht="15.75" x14ac:dyDescent="0.25">
      <c r="C217" s="46" t="str">
        <f t="shared" si="9"/>
        <v/>
      </c>
      <c r="D217" s="46" t="str">
        <f t="shared" si="10"/>
        <v/>
      </c>
    </row>
    <row r="218" spans="3:4" ht="15.75" x14ac:dyDescent="0.25">
      <c r="C218" s="46" t="str">
        <f t="shared" si="9"/>
        <v/>
      </c>
      <c r="D218" s="46" t="str">
        <f t="shared" si="10"/>
        <v/>
      </c>
    </row>
    <row r="219" spans="3:4" ht="15.75" x14ac:dyDescent="0.25">
      <c r="C219" s="46" t="str">
        <f t="shared" si="9"/>
        <v/>
      </c>
      <c r="D219" s="46" t="str">
        <f t="shared" si="10"/>
        <v/>
      </c>
    </row>
    <row r="220" spans="3:4" ht="15.75" x14ac:dyDescent="0.25">
      <c r="C220" s="46" t="str">
        <f t="shared" si="9"/>
        <v/>
      </c>
      <c r="D220" s="46" t="str">
        <f t="shared" si="10"/>
        <v/>
      </c>
    </row>
    <row r="221" spans="3:4" ht="15.75" x14ac:dyDescent="0.25">
      <c r="C221" s="46" t="str">
        <f t="shared" si="9"/>
        <v/>
      </c>
      <c r="D221" s="46" t="str">
        <f t="shared" si="10"/>
        <v/>
      </c>
    </row>
    <row r="222" spans="3:4" ht="15.75" x14ac:dyDescent="0.25">
      <c r="C222" s="46" t="str">
        <f t="shared" si="9"/>
        <v/>
      </c>
      <c r="D222" s="46" t="str">
        <f t="shared" si="10"/>
        <v/>
      </c>
    </row>
    <row r="223" spans="3:4" ht="15.75" x14ac:dyDescent="0.25">
      <c r="C223" s="46" t="str">
        <f t="shared" si="9"/>
        <v/>
      </c>
      <c r="D223" s="46" t="str">
        <f t="shared" si="10"/>
        <v/>
      </c>
    </row>
    <row r="224" spans="3:4" ht="15.75" x14ac:dyDescent="0.25">
      <c r="C224" s="46" t="str">
        <f t="shared" si="9"/>
        <v/>
      </c>
      <c r="D224" s="46" t="str">
        <f t="shared" si="10"/>
        <v/>
      </c>
    </row>
    <row r="225" spans="3:4" ht="15.75" x14ac:dyDescent="0.25">
      <c r="C225" s="46" t="str">
        <f t="shared" si="9"/>
        <v/>
      </c>
      <c r="D225" s="46" t="str">
        <f t="shared" si="10"/>
        <v/>
      </c>
    </row>
    <row r="226" spans="3:4" ht="15.75" x14ac:dyDescent="0.25">
      <c r="C226" s="46" t="str">
        <f t="shared" si="9"/>
        <v/>
      </c>
      <c r="D226" s="46" t="str">
        <f t="shared" si="10"/>
        <v/>
      </c>
    </row>
    <row r="227" spans="3:4" ht="15.75" x14ac:dyDescent="0.25">
      <c r="C227" s="46" t="str">
        <f t="shared" si="9"/>
        <v/>
      </c>
      <c r="D227" s="46" t="str">
        <f t="shared" si="10"/>
        <v/>
      </c>
    </row>
    <row r="228" spans="3:4" ht="15.75" x14ac:dyDescent="0.25">
      <c r="C228" s="46" t="str">
        <f t="shared" si="9"/>
        <v/>
      </c>
      <c r="D228" s="46" t="str">
        <f t="shared" si="10"/>
        <v/>
      </c>
    </row>
    <row r="229" spans="3:4" ht="15.75" x14ac:dyDescent="0.25">
      <c r="C229" s="46" t="str">
        <f t="shared" si="9"/>
        <v/>
      </c>
      <c r="D229" s="46" t="str">
        <f t="shared" si="10"/>
        <v/>
      </c>
    </row>
    <row r="230" spans="3:4" ht="15.75" x14ac:dyDescent="0.25">
      <c r="C230" s="46" t="str">
        <f t="shared" si="9"/>
        <v/>
      </c>
      <c r="D230" s="46" t="str">
        <f t="shared" si="10"/>
        <v/>
      </c>
    </row>
    <row r="231" spans="3:4" ht="15.75" x14ac:dyDescent="0.25">
      <c r="C231" s="46" t="str">
        <f t="shared" si="9"/>
        <v/>
      </c>
      <c r="D231" s="46" t="str">
        <f t="shared" si="10"/>
        <v/>
      </c>
    </row>
    <row r="232" spans="3:4" ht="15.75" x14ac:dyDescent="0.25">
      <c r="C232" s="46" t="str">
        <f t="shared" si="9"/>
        <v/>
      </c>
      <c r="D232" s="46" t="str">
        <f t="shared" si="10"/>
        <v/>
      </c>
    </row>
    <row r="233" spans="3:4" ht="15.75" x14ac:dyDescent="0.25">
      <c r="C233" s="46" t="str">
        <f t="shared" si="9"/>
        <v/>
      </c>
      <c r="D233" s="46" t="str">
        <f t="shared" si="10"/>
        <v/>
      </c>
    </row>
    <row r="234" spans="3:4" ht="15.75" x14ac:dyDescent="0.25">
      <c r="C234" s="46" t="str">
        <f t="shared" si="9"/>
        <v/>
      </c>
      <c r="D234" s="46" t="str">
        <f t="shared" si="10"/>
        <v/>
      </c>
    </row>
    <row r="235" spans="3:4" ht="15.75" x14ac:dyDescent="0.25">
      <c r="C235" s="46" t="str">
        <f t="shared" si="9"/>
        <v/>
      </c>
      <c r="D235" s="46" t="str">
        <f t="shared" si="10"/>
        <v/>
      </c>
    </row>
    <row r="236" spans="3:4" ht="15.75" x14ac:dyDescent="0.25">
      <c r="C236" s="46" t="str">
        <f t="shared" si="9"/>
        <v/>
      </c>
      <c r="D236" s="46" t="str">
        <f t="shared" si="10"/>
        <v/>
      </c>
    </row>
    <row r="237" spans="3:4" ht="15.75" x14ac:dyDescent="0.25">
      <c r="C237" s="46" t="str">
        <f t="shared" si="9"/>
        <v/>
      </c>
      <c r="D237" s="46" t="str">
        <f t="shared" si="10"/>
        <v/>
      </c>
    </row>
    <row r="238" spans="3:4" ht="15.75" x14ac:dyDescent="0.25">
      <c r="C238" s="46" t="str">
        <f t="shared" si="9"/>
        <v/>
      </c>
      <c r="D238" s="46" t="str">
        <f t="shared" si="10"/>
        <v/>
      </c>
    </row>
    <row r="239" spans="3:4" ht="15.75" x14ac:dyDescent="0.25">
      <c r="C239" s="46" t="str">
        <f t="shared" si="9"/>
        <v/>
      </c>
      <c r="D239" s="46" t="str">
        <f t="shared" si="10"/>
        <v/>
      </c>
    </row>
    <row r="240" spans="3:4" ht="15.75" x14ac:dyDescent="0.25">
      <c r="C240" s="46" t="str">
        <f t="shared" si="9"/>
        <v/>
      </c>
      <c r="D240" s="46" t="str">
        <f t="shared" si="10"/>
        <v/>
      </c>
    </row>
    <row r="241" spans="3:4" ht="15.75" x14ac:dyDescent="0.25">
      <c r="C241" s="46" t="str">
        <f t="shared" si="9"/>
        <v/>
      </c>
      <c r="D241" s="46" t="str">
        <f t="shared" si="10"/>
        <v/>
      </c>
    </row>
    <row r="242" spans="3:4" ht="15.75" x14ac:dyDescent="0.25">
      <c r="C242" s="46" t="str">
        <f t="shared" si="9"/>
        <v/>
      </c>
      <c r="D242" s="46" t="str">
        <f t="shared" si="10"/>
        <v/>
      </c>
    </row>
    <row r="243" spans="3:4" ht="15.75" x14ac:dyDescent="0.25">
      <c r="C243" s="46" t="str">
        <f t="shared" si="9"/>
        <v/>
      </c>
      <c r="D243" s="46" t="str">
        <f t="shared" si="10"/>
        <v/>
      </c>
    </row>
    <row r="244" spans="3:4" ht="15.75" x14ac:dyDescent="0.25">
      <c r="C244" s="46" t="str">
        <f t="shared" si="9"/>
        <v/>
      </c>
      <c r="D244" s="46" t="str">
        <f t="shared" si="10"/>
        <v/>
      </c>
    </row>
    <row r="245" spans="3:4" ht="15.75" x14ac:dyDescent="0.25">
      <c r="C245" s="46" t="str">
        <f t="shared" si="9"/>
        <v/>
      </c>
      <c r="D245" s="46" t="str">
        <f t="shared" si="10"/>
        <v/>
      </c>
    </row>
    <row r="246" spans="3:4" ht="15.75" x14ac:dyDescent="0.25">
      <c r="C246" s="46" t="str">
        <f t="shared" si="9"/>
        <v/>
      </c>
      <c r="D246" s="46" t="str">
        <f t="shared" si="10"/>
        <v/>
      </c>
    </row>
    <row r="247" spans="3:4" ht="15.75" x14ac:dyDescent="0.25">
      <c r="C247" s="46" t="str">
        <f t="shared" si="9"/>
        <v/>
      </c>
      <c r="D247" s="46" t="str">
        <f t="shared" si="10"/>
        <v/>
      </c>
    </row>
    <row r="248" spans="3:4" ht="15.75" x14ac:dyDescent="0.25">
      <c r="C248" s="46" t="str">
        <f t="shared" si="9"/>
        <v/>
      </c>
      <c r="D248" s="46" t="str">
        <f t="shared" si="10"/>
        <v/>
      </c>
    </row>
    <row r="249" spans="3:4" ht="15.75" x14ac:dyDescent="0.25">
      <c r="C249" s="46" t="str">
        <f t="shared" si="9"/>
        <v/>
      </c>
      <c r="D249" s="46" t="str">
        <f t="shared" si="10"/>
        <v/>
      </c>
    </row>
    <row r="250" spans="3:4" ht="15.75" x14ac:dyDescent="0.25">
      <c r="C250" s="46" t="str">
        <f t="shared" si="9"/>
        <v/>
      </c>
      <c r="D250" s="46" t="str">
        <f t="shared" si="10"/>
        <v/>
      </c>
    </row>
    <row r="251" spans="3:4" ht="15.75" x14ac:dyDescent="0.25">
      <c r="C251" s="46" t="str">
        <f t="shared" si="9"/>
        <v/>
      </c>
      <c r="D251" s="46" t="str">
        <f t="shared" si="10"/>
        <v/>
      </c>
    </row>
    <row r="252" spans="3:4" ht="15.75" x14ac:dyDescent="0.25">
      <c r="C252" s="46" t="str">
        <f t="shared" si="9"/>
        <v/>
      </c>
      <c r="D252" s="46" t="str">
        <f t="shared" si="10"/>
        <v/>
      </c>
    </row>
    <row r="253" spans="3:4" ht="15.75" x14ac:dyDescent="0.25">
      <c r="C253" s="46" t="str">
        <f t="shared" si="9"/>
        <v/>
      </c>
      <c r="D253" s="46" t="str">
        <f t="shared" si="10"/>
        <v/>
      </c>
    </row>
    <row r="254" spans="3:4" ht="15.75" x14ac:dyDescent="0.25">
      <c r="C254" s="46" t="str">
        <f t="shared" si="9"/>
        <v/>
      </c>
      <c r="D254" s="46" t="str">
        <f t="shared" si="10"/>
        <v/>
      </c>
    </row>
    <row r="255" spans="3:4" ht="15.75" x14ac:dyDescent="0.25">
      <c r="C255" s="46" t="str">
        <f t="shared" si="9"/>
        <v/>
      </c>
      <c r="D255" s="46" t="str">
        <f t="shared" si="10"/>
        <v/>
      </c>
    </row>
    <row r="256" spans="3:4" ht="15.75" x14ac:dyDescent="0.25">
      <c r="C256" s="46" t="str">
        <f t="shared" si="9"/>
        <v/>
      </c>
      <c r="D256" s="46" t="str">
        <f t="shared" si="10"/>
        <v/>
      </c>
    </row>
    <row r="257" spans="3:4" ht="15.75" x14ac:dyDescent="0.25">
      <c r="C257" s="46" t="str">
        <f t="shared" si="9"/>
        <v/>
      </c>
      <c r="D257" s="46" t="str">
        <f t="shared" si="10"/>
        <v/>
      </c>
    </row>
    <row r="258" spans="3:4" ht="15.75" x14ac:dyDescent="0.25">
      <c r="C258" s="46" t="str">
        <f t="shared" si="9"/>
        <v/>
      </c>
      <c r="D258" s="46" t="str">
        <f t="shared" si="10"/>
        <v/>
      </c>
    </row>
    <row r="259" spans="3:4" ht="15.75" x14ac:dyDescent="0.25">
      <c r="C259" s="46" t="str">
        <f t="shared" si="9"/>
        <v/>
      </c>
      <c r="D259" s="46" t="str">
        <f t="shared" si="10"/>
        <v/>
      </c>
    </row>
    <row r="260" spans="3:4" ht="15.75" x14ac:dyDescent="0.25">
      <c r="C260" s="46" t="str">
        <f t="shared" si="9"/>
        <v/>
      </c>
      <c r="D260" s="46" t="str">
        <f t="shared" si="10"/>
        <v/>
      </c>
    </row>
    <row r="261" spans="3:4" ht="15.75" x14ac:dyDescent="0.25">
      <c r="C261" s="46" t="str">
        <f t="shared" si="9"/>
        <v/>
      </c>
      <c r="D261" s="46" t="str">
        <f t="shared" si="10"/>
        <v/>
      </c>
    </row>
    <row r="262" spans="3:4" ht="15.75" x14ac:dyDescent="0.25">
      <c r="C262" s="46" t="str">
        <f t="shared" si="9"/>
        <v/>
      </c>
      <c r="D262" s="46" t="str">
        <f t="shared" si="10"/>
        <v/>
      </c>
    </row>
    <row r="263" spans="3:4" ht="15.75" x14ac:dyDescent="0.25">
      <c r="C263" s="46" t="str">
        <f t="shared" si="9"/>
        <v/>
      </c>
      <c r="D263" s="46" t="str">
        <f t="shared" si="10"/>
        <v/>
      </c>
    </row>
    <row r="264" spans="3:4" ht="15.75" x14ac:dyDescent="0.25">
      <c r="C264" s="46" t="str">
        <f t="shared" si="9"/>
        <v/>
      </c>
      <c r="D264" s="46" t="str">
        <f t="shared" si="10"/>
        <v/>
      </c>
    </row>
    <row r="265" spans="3:4" ht="15.75" x14ac:dyDescent="0.25">
      <c r="C265" s="46" t="str">
        <f t="shared" si="9"/>
        <v/>
      </c>
      <c r="D265" s="46" t="str">
        <f t="shared" si="10"/>
        <v/>
      </c>
    </row>
    <row r="266" spans="3:4" ht="15.75" x14ac:dyDescent="0.25">
      <c r="C266" s="46" t="str">
        <f t="shared" si="9"/>
        <v/>
      </c>
      <c r="D266" s="46" t="str">
        <f t="shared" si="10"/>
        <v/>
      </c>
    </row>
    <row r="267" spans="3:4" ht="15.75" x14ac:dyDescent="0.25">
      <c r="C267" s="46" t="str">
        <f t="shared" si="9"/>
        <v/>
      </c>
      <c r="D267" s="46" t="str">
        <f t="shared" si="10"/>
        <v/>
      </c>
    </row>
    <row r="268" spans="3:4" ht="15.75" x14ac:dyDescent="0.25">
      <c r="C268" s="46" t="str">
        <f t="shared" si="9"/>
        <v/>
      </c>
      <c r="D268" s="46" t="str">
        <f t="shared" si="10"/>
        <v/>
      </c>
    </row>
    <row r="269" spans="3:4" ht="15.75" x14ac:dyDescent="0.25">
      <c r="C269" s="46" t="str">
        <f t="shared" si="9"/>
        <v/>
      </c>
      <c r="D269" s="46" t="str">
        <f t="shared" si="10"/>
        <v/>
      </c>
    </row>
    <row r="270" spans="3:4" ht="15.75" x14ac:dyDescent="0.25">
      <c r="C270" s="46" t="str">
        <f t="shared" si="9"/>
        <v/>
      </c>
      <c r="D270" s="46" t="str">
        <f t="shared" si="10"/>
        <v/>
      </c>
    </row>
    <row r="271" spans="3:4" ht="15.75" x14ac:dyDescent="0.25">
      <c r="C271" s="46" t="str">
        <f t="shared" ref="C271:C331" si="11">IF(COUNTIF(E271:BA271,"YES")=0,"",COUNTIF(E271:BA271,"YES"))</f>
        <v/>
      </c>
      <c r="D271" s="46" t="str">
        <f t="shared" si="10"/>
        <v/>
      </c>
    </row>
    <row r="272" spans="3:4" ht="15.75" x14ac:dyDescent="0.25">
      <c r="C272" s="46" t="str">
        <f t="shared" si="11"/>
        <v/>
      </c>
      <c r="D272" s="46" t="str">
        <f t="shared" si="10"/>
        <v/>
      </c>
    </row>
    <row r="273" spans="3:4" ht="15.75" x14ac:dyDescent="0.25">
      <c r="C273" s="46" t="str">
        <f t="shared" si="11"/>
        <v/>
      </c>
      <c r="D273" s="46" t="str">
        <f t="shared" si="10"/>
        <v/>
      </c>
    </row>
    <row r="274" spans="3:4" ht="15.75" x14ac:dyDescent="0.25">
      <c r="C274" s="46" t="str">
        <f t="shared" si="11"/>
        <v/>
      </c>
      <c r="D274" s="46" t="str">
        <f t="shared" si="10"/>
        <v/>
      </c>
    </row>
    <row r="275" spans="3:4" ht="15.75" x14ac:dyDescent="0.25">
      <c r="C275" s="46" t="str">
        <f t="shared" si="11"/>
        <v/>
      </c>
      <c r="D275" s="46" t="str">
        <f t="shared" si="10"/>
        <v/>
      </c>
    </row>
    <row r="276" spans="3:4" ht="15.75" x14ac:dyDescent="0.25">
      <c r="C276" s="46" t="str">
        <f t="shared" si="11"/>
        <v/>
      </c>
      <c r="D276" s="46" t="str">
        <f t="shared" si="10"/>
        <v/>
      </c>
    </row>
    <row r="277" spans="3:4" ht="15.75" x14ac:dyDescent="0.25">
      <c r="C277" s="46" t="str">
        <f t="shared" si="11"/>
        <v/>
      </c>
      <c r="D277" s="46" t="str">
        <f t="shared" ref="D277:D331" si="12">IF(COUNTIF(E277:BA277,"NO")=0,"",COUNTIF(E277:BA277,"NO"))</f>
        <v/>
      </c>
    </row>
    <row r="278" spans="3:4" ht="15.75" x14ac:dyDescent="0.25">
      <c r="C278" s="46" t="str">
        <f t="shared" si="11"/>
        <v/>
      </c>
      <c r="D278" s="46" t="str">
        <f t="shared" si="12"/>
        <v/>
      </c>
    </row>
    <row r="279" spans="3:4" ht="15.75" x14ac:dyDescent="0.25">
      <c r="C279" s="46" t="str">
        <f t="shared" si="11"/>
        <v/>
      </c>
      <c r="D279" s="46" t="str">
        <f t="shared" si="12"/>
        <v/>
      </c>
    </row>
    <row r="280" spans="3:4" ht="15.75" x14ac:dyDescent="0.25">
      <c r="C280" s="46" t="str">
        <f t="shared" si="11"/>
        <v/>
      </c>
      <c r="D280" s="46" t="str">
        <f t="shared" si="12"/>
        <v/>
      </c>
    </row>
    <row r="281" spans="3:4" ht="15.75" x14ac:dyDescent="0.25">
      <c r="C281" s="46" t="str">
        <f t="shared" si="11"/>
        <v/>
      </c>
      <c r="D281" s="46" t="str">
        <f t="shared" si="12"/>
        <v/>
      </c>
    </row>
    <row r="282" spans="3:4" ht="15.75" x14ac:dyDescent="0.25">
      <c r="C282" s="46" t="str">
        <f t="shared" si="11"/>
        <v/>
      </c>
      <c r="D282" s="46" t="str">
        <f t="shared" si="12"/>
        <v/>
      </c>
    </row>
    <row r="283" spans="3:4" ht="15.75" x14ac:dyDescent="0.25">
      <c r="C283" s="46" t="str">
        <f t="shared" si="11"/>
        <v/>
      </c>
      <c r="D283" s="46" t="str">
        <f t="shared" si="12"/>
        <v/>
      </c>
    </row>
    <row r="284" spans="3:4" ht="15.75" x14ac:dyDescent="0.25">
      <c r="C284" s="46" t="str">
        <f t="shared" si="11"/>
        <v/>
      </c>
      <c r="D284" s="46" t="str">
        <f t="shared" si="12"/>
        <v/>
      </c>
    </row>
    <row r="285" spans="3:4" ht="15.75" x14ac:dyDescent="0.25">
      <c r="C285" s="46" t="str">
        <f t="shared" si="11"/>
        <v/>
      </c>
      <c r="D285" s="46" t="str">
        <f t="shared" si="12"/>
        <v/>
      </c>
    </row>
    <row r="286" spans="3:4" ht="15.75" x14ac:dyDescent="0.25">
      <c r="C286" s="46" t="str">
        <f t="shared" si="11"/>
        <v/>
      </c>
      <c r="D286" s="46" t="str">
        <f t="shared" si="12"/>
        <v/>
      </c>
    </row>
    <row r="287" spans="3:4" ht="15.75" x14ac:dyDescent="0.25">
      <c r="C287" s="46" t="str">
        <f t="shared" si="11"/>
        <v/>
      </c>
      <c r="D287" s="46" t="str">
        <f t="shared" si="12"/>
        <v/>
      </c>
    </row>
    <row r="288" spans="3:4" ht="15.75" x14ac:dyDescent="0.25">
      <c r="C288" s="46" t="str">
        <f t="shared" si="11"/>
        <v/>
      </c>
      <c r="D288" s="46" t="str">
        <f t="shared" si="12"/>
        <v/>
      </c>
    </row>
    <row r="289" spans="3:4" ht="15.75" x14ac:dyDescent="0.25">
      <c r="C289" s="46" t="str">
        <f t="shared" si="11"/>
        <v/>
      </c>
      <c r="D289" s="46" t="str">
        <f t="shared" si="12"/>
        <v/>
      </c>
    </row>
    <row r="290" spans="3:4" ht="15.75" x14ac:dyDescent="0.25">
      <c r="C290" s="46" t="str">
        <f t="shared" si="11"/>
        <v/>
      </c>
      <c r="D290" s="46" t="str">
        <f t="shared" si="12"/>
        <v/>
      </c>
    </row>
    <row r="291" spans="3:4" ht="15.75" x14ac:dyDescent="0.25">
      <c r="C291" s="46" t="str">
        <f t="shared" si="11"/>
        <v/>
      </c>
      <c r="D291" s="46" t="str">
        <f t="shared" si="12"/>
        <v/>
      </c>
    </row>
    <row r="292" spans="3:4" ht="15.75" x14ac:dyDescent="0.25">
      <c r="C292" s="46" t="str">
        <f t="shared" si="11"/>
        <v/>
      </c>
      <c r="D292" s="46" t="str">
        <f t="shared" si="12"/>
        <v/>
      </c>
    </row>
    <row r="293" spans="3:4" ht="15.75" x14ac:dyDescent="0.25">
      <c r="C293" s="46" t="str">
        <f t="shared" si="11"/>
        <v/>
      </c>
      <c r="D293" s="46" t="str">
        <f t="shared" si="12"/>
        <v/>
      </c>
    </row>
    <row r="294" spans="3:4" ht="15.75" x14ac:dyDescent="0.25">
      <c r="C294" s="46" t="str">
        <f t="shared" si="11"/>
        <v/>
      </c>
      <c r="D294" s="46" t="str">
        <f t="shared" si="12"/>
        <v/>
      </c>
    </row>
    <row r="295" spans="3:4" ht="15.75" x14ac:dyDescent="0.25">
      <c r="C295" s="46" t="str">
        <f t="shared" si="11"/>
        <v/>
      </c>
      <c r="D295" s="46" t="str">
        <f t="shared" si="12"/>
        <v/>
      </c>
    </row>
    <row r="296" spans="3:4" ht="15.75" x14ac:dyDescent="0.25">
      <c r="C296" s="46" t="str">
        <f t="shared" si="11"/>
        <v/>
      </c>
      <c r="D296" s="46" t="str">
        <f t="shared" si="12"/>
        <v/>
      </c>
    </row>
    <row r="297" spans="3:4" ht="15.75" x14ac:dyDescent="0.25">
      <c r="C297" s="46" t="str">
        <f t="shared" si="11"/>
        <v/>
      </c>
      <c r="D297" s="46" t="str">
        <f t="shared" si="12"/>
        <v/>
      </c>
    </row>
    <row r="298" spans="3:4" ht="15.75" x14ac:dyDescent="0.25">
      <c r="C298" s="46" t="str">
        <f t="shared" si="11"/>
        <v/>
      </c>
      <c r="D298" s="46" t="str">
        <f t="shared" si="12"/>
        <v/>
      </c>
    </row>
    <row r="299" spans="3:4" ht="15.75" x14ac:dyDescent="0.25">
      <c r="C299" s="46" t="str">
        <f t="shared" si="11"/>
        <v/>
      </c>
      <c r="D299" s="46" t="str">
        <f t="shared" si="12"/>
        <v/>
      </c>
    </row>
    <row r="300" spans="3:4" ht="15.75" x14ac:dyDescent="0.25">
      <c r="C300" s="46" t="str">
        <f t="shared" si="11"/>
        <v/>
      </c>
      <c r="D300" s="46" t="str">
        <f t="shared" si="12"/>
        <v/>
      </c>
    </row>
    <row r="301" spans="3:4" ht="15.75" x14ac:dyDescent="0.25">
      <c r="C301" s="46" t="str">
        <f t="shared" si="11"/>
        <v/>
      </c>
      <c r="D301" s="46" t="str">
        <f t="shared" si="12"/>
        <v/>
      </c>
    </row>
    <row r="302" spans="3:4" ht="15.75" x14ac:dyDescent="0.25">
      <c r="C302" s="46" t="str">
        <f t="shared" si="11"/>
        <v/>
      </c>
      <c r="D302" s="46" t="str">
        <f t="shared" si="12"/>
        <v/>
      </c>
    </row>
    <row r="303" spans="3:4" ht="15.75" x14ac:dyDescent="0.25">
      <c r="C303" s="46" t="str">
        <f t="shared" si="11"/>
        <v/>
      </c>
      <c r="D303" s="46" t="str">
        <f t="shared" si="12"/>
        <v/>
      </c>
    </row>
    <row r="304" spans="3:4" ht="15.75" x14ac:dyDescent="0.25">
      <c r="C304" s="46" t="str">
        <f t="shared" si="11"/>
        <v/>
      </c>
      <c r="D304" s="46" t="str">
        <f t="shared" si="12"/>
        <v/>
      </c>
    </row>
    <row r="305" spans="3:4" ht="15.75" x14ac:dyDescent="0.25">
      <c r="C305" s="46" t="str">
        <f t="shared" si="11"/>
        <v/>
      </c>
      <c r="D305" s="46" t="str">
        <f t="shared" si="12"/>
        <v/>
      </c>
    </row>
    <row r="306" spans="3:4" ht="15.75" x14ac:dyDescent="0.25">
      <c r="C306" s="46" t="str">
        <f t="shared" si="11"/>
        <v/>
      </c>
      <c r="D306" s="46" t="str">
        <f t="shared" si="12"/>
        <v/>
      </c>
    </row>
    <row r="307" spans="3:4" ht="15.75" x14ac:dyDescent="0.25">
      <c r="C307" s="46" t="str">
        <f t="shared" si="11"/>
        <v/>
      </c>
      <c r="D307" s="46" t="str">
        <f t="shared" si="12"/>
        <v/>
      </c>
    </row>
    <row r="308" spans="3:4" ht="15.75" x14ac:dyDescent="0.25">
      <c r="C308" s="46" t="str">
        <f t="shared" si="11"/>
        <v/>
      </c>
      <c r="D308" s="46" t="str">
        <f t="shared" si="12"/>
        <v/>
      </c>
    </row>
    <row r="309" spans="3:4" ht="15.75" x14ac:dyDescent="0.25">
      <c r="C309" s="46" t="str">
        <f t="shared" si="11"/>
        <v/>
      </c>
      <c r="D309" s="46" t="str">
        <f t="shared" si="12"/>
        <v/>
      </c>
    </row>
    <row r="310" spans="3:4" ht="15.75" x14ac:dyDescent="0.25">
      <c r="C310" s="46" t="str">
        <f t="shared" si="11"/>
        <v/>
      </c>
      <c r="D310" s="46" t="str">
        <f t="shared" si="12"/>
        <v/>
      </c>
    </row>
    <row r="311" spans="3:4" ht="15.75" x14ac:dyDescent="0.25">
      <c r="C311" s="46" t="str">
        <f t="shared" si="11"/>
        <v/>
      </c>
      <c r="D311" s="46" t="str">
        <f t="shared" si="12"/>
        <v/>
      </c>
    </row>
    <row r="312" spans="3:4" ht="15.75" x14ac:dyDescent="0.25">
      <c r="C312" s="46" t="str">
        <f t="shared" si="11"/>
        <v/>
      </c>
      <c r="D312" s="46" t="str">
        <f t="shared" si="12"/>
        <v/>
      </c>
    </row>
    <row r="313" spans="3:4" ht="15.75" x14ac:dyDescent="0.25">
      <c r="C313" s="46" t="str">
        <f t="shared" si="11"/>
        <v/>
      </c>
      <c r="D313" s="46" t="str">
        <f t="shared" si="12"/>
        <v/>
      </c>
    </row>
    <row r="314" spans="3:4" ht="15.75" x14ac:dyDescent="0.25">
      <c r="C314" s="46" t="str">
        <f t="shared" si="11"/>
        <v/>
      </c>
      <c r="D314" s="46" t="str">
        <f t="shared" si="12"/>
        <v/>
      </c>
    </row>
    <row r="315" spans="3:4" ht="15.75" x14ac:dyDescent="0.25">
      <c r="C315" s="46" t="str">
        <f t="shared" si="11"/>
        <v/>
      </c>
      <c r="D315" s="46" t="str">
        <f t="shared" si="12"/>
        <v/>
      </c>
    </row>
    <row r="316" spans="3:4" ht="15.75" x14ac:dyDescent="0.25">
      <c r="C316" s="46" t="str">
        <f t="shared" si="11"/>
        <v/>
      </c>
      <c r="D316" s="46" t="str">
        <f t="shared" si="12"/>
        <v/>
      </c>
    </row>
    <row r="317" spans="3:4" ht="15.75" x14ac:dyDescent="0.25">
      <c r="C317" s="46" t="str">
        <f t="shared" si="11"/>
        <v/>
      </c>
      <c r="D317" s="46" t="str">
        <f t="shared" si="12"/>
        <v/>
      </c>
    </row>
    <row r="318" spans="3:4" ht="15.75" x14ac:dyDescent="0.25">
      <c r="C318" s="46" t="str">
        <f t="shared" si="11"/>
        <v/>
      </c>
      <c r="D318" s="46" t="str">
        <f t="shared" si="12"/>
        <v/>
      </c>
    </row>
    <row r="319" spans="3:4" ht="15.75" x14ac:dyDescent="0.25">
      <c r="C319" s="46" t="str">
        <f t="shared" si="11"/>
        <v/>
      </c>
      <c r="D319" s="46" t="str">
        <f t="shared" si="12"/>
        <v/>
      </c>
    </row>
    <row r="320" spans="3:4" ht="15.75" x14ac:dyDescent="0.25">
      <c r="C320" s="46" t="str">
        <f t="shared" si="11"/>
        <v/>
      </c>
      <c r="D320" s="46" t="str">
        <f t="shared" si="12"/>
        <v/>
      </c>
    </row>
    <row r="321" spans="3:4" ht="15.75" x14ac:dyDescent="0.25">
      <c r="C321" s="46" t="str">
        <f t="shared" si="11"/>
        <v/>
      </c>
      <c r="D321" s="46" t="str">
        <f t="shared" si="12"/>
        <v/>
      </c>
    </row>
    <row r="322" spans="3:4" ht="15.75" x14ac:dyDescent="0.25">
      <c r="C322" s="46" t="str">
        <f t="shared" si="11"/>
        <v/>
      </c>
      <c r="D322" s="46" t="str">
        <f t="shared" si="12"/>
        <v/>
      </c>
    </row>
    <row r="323" spans="3:4" ht="15.75" x14ac:dyDescent="0.25">
      <c r="C323" s="46" t="str">
        <f t="shared" si="11"/>
        <v/>
      </c>
      <c r="D323" s="46" t="str">
        <f t="shared" si="12"/>
        <v/>
      </c>
    </row>
    <row r="324" spans="3:4" ht="15.75" x14ac:dyDescent="0.25">
      <c r="C324" s="46" t="str">
        <f t="shared" si="11"/>
        <v/>
      </c>
      <c r="D324" s="46" t="str">
        <f t="shared" si="12"/>
        <v/>
      </c>
    </row>
    <row r="325" spans="3:4" ht="15.75" x14ac:dyDescent="0.25">
      <c r="C325" s="46" t="str">
        <f t="shared" si="11"/>
        <v/>
      </c>
      <c r="D325" s="46" t="str">
        <f t="shared" si="12"/>
        <v/>
      </c>
    </row>
    <row r="326" spans="3:4" ht="15.75" x14ac:dyDescent="0.25">
      <c r="C326" s="46" t="str">
        <f t="shared" si="11"/>
        <v/>
      </c>
      <c r="D326" s="46" t="str">
        <f t="shared" si="12"/>
        <v/>
      </c>
    </row>
    <row r="327" spans="3:4" ht="15.75" x14ac:dyDescent="0.25">
      <c r="C327" s="46" t="str">
        <f t="shared" si="11"/>
        <v/>
      </c>
      <c r="D327" s="46" t="str">
        <f t="shared" si="12"/>
        <v/>
      </c>
    </row>
    <row r="328" spans="3:4" ht="15.75" x14ac:dyDescent="0.25">
      <c r="C328" s="46" t="str">
        <f t="shared" si="11"/>
        <v/>
      </c>
      <c r="D328" s="46" t="str">
        <f t="shared" si="12"/>
        <v/>
      </c>
    </row>
    <row r="329" spans="3:4" ht="15.75" x14ac:dyDescent="0.25">
      <c r="C329" s="46" t="str">
        <f t="shared" si="11"/>
        <v/>
      </c>
      <c r="D329" s="46" t="str">
        <f t="shared" si="12"/>
        <v/>
      </c>
    </row>
    <row r="330" spans="3:4" ht="15.75" x14ac:dyDescent="0.25">
      <c r="C330" s="46" t="str">
        <f t="shared" si="11"/>
        <v/>
      </c>
      <c r="D330" s="46" t="str">
        <f t="shared" si="12"/>
        <v/>
      </c>
    </row>
    <row r="331" spans="3:4" ht="15.75" x14ac:dyDescent="0.25">
      <c r="C331" s="46" t="str">
        <f t="shared" si="11"/>
        <v/>
      </c>
      <c r="D331" s="46" t="str">
        <f t="shared" si="12"/>
        <v/>
      </c>
    </row>
  </sheetData>
  <phoneticPr fontId="4" type="noConversion"/>
  <conditionalFormatting sqref="E7:H13 E15:H42">
    <cfRule type="cellIs" dxfId="23" priority="3" stopIfTrue="1" operator="equal">
      <formula>"YES"</formula>
    </cfRule>
    <cfRule type="cellIs" dxfId="22" priority="4" stopIfTrue="1" operator="equal">
      <formula>"NO"</formula>
    </cfRule>
  </conditionalFormatting>
  <conditionalFormatting sqref="E14:H14">
    <cfRule type="cellIs" dxfId="21" priority="1" stopIfTrue="1" operator="equal">
      <formula>"YES"</formula>
    </cfRule>
    <cfRule type="cellIs" dxfId="20" priority="2" stopIfTrue="1" operator="equal">
      <formula>"NO"</formula>
    </cfRule>
  </conditionalFormatting>
  <dataValidations count="1">
    <dataValidation type="list" allowBlank="1" showInputMessage="1" showErrorMessage="1" sqref="E7:H42" xr:uid="{00000000-0002-0000-1400-000000000000}">
      <formula1>$D$1:$D$3</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euil25">
    <tabColor theme="7"/>
    <pageSetUpPr fitToPage="1"/>
  </sheetPr>
  <dimension ref="A1:H326"/>
  <sheetViews>
    <sheetView workbookViewId="0">
      <pane xSplit="2" ySplit="4" topLeftCell="C5" activePane="bottomRight" state="frozen"/>
      <selection activeCell="B11" sqref="B11"/>
      <selection pane="topRight" activeCell="B11" sqref="B11"/>
      <selection pane="bottomLeft" activeCell="B11" sqref="B11"/>
      <selection pane="bottomRight" activeCell="B11" sqref="B11"/>
    </sheetView>
  </sheetViews>
  <sheetFormatPr defaultColWidth="9.140625" defaultRowHeight="12.75" x14ac:dyDescent="0.2"/>
  <cols>
    <col min="1" max="1" width="7" style="40" customWidth="1"/>
    <col min="2" max="2" width="90.85546875" style="57" customWidth="1"/>
    <col min="3" max="4" width="4.42578125" style="40" bestFit="1" customWidth="1"/>
    <col min="5" max="8" width="7" style="40" customWidth="1"/>
    <col min="9" max="16384" width="9.140625" style="40"/>
  </cols>
  <sheetData>
    <row r="1" spans="1:8" ht="0.75" customHeight="1" thickBot="1" x14ac:dyDescent="0.25">
      <c r="D1" s="40" t="s">
        <v>43</v>
      </c>
    </row>
    <row r="2" spans="1:8" ht="13.5" hidden="1" thickBot="1" x14ac:dyDescent="0.25">
      <c r="D2" s="40" t="s">
        <v>44</v>
      </c>
    </row>
    <row r="3" spans="1:8" ht="13.5" hidden="1" thickBot="1" x14ac:dyDescent="0.25">
      <c r="D3" s="40" t="s">
        <v>13</v>
      </c>
    </row>
    <row r="4" spans="1:8" ht="88.5" thickTop="1" thickBot="1" x14ac:dyDescent="0.4">
      <c r="A4" s="58"/>
      <c r="B4" s="47" t="s">
        <v>571</v>
      </c>
      <c r="C4" s="43" t="s">
        <v>46</v>
      </c>
      <c r="D4" s="43" t="s">
        <v>47</v>
      </c>
      <c r="E4" s="43" t="s">
        <v>176</v>
      </c>
      <c r="F4" s="43" t="s">
        <v>176</v>
      </c>
      <c r="G4" s="43" t="s">
        <v>176</v>
      </c>
      <c r="H4" s="43" t="s">
        <v>176</v>
      </c>
    </row>
    <row r="5" spans="1:8" ht="24" thickTop="1" x14ac:dyDescent="0.35">
      <c r="A5" s="59"/>
      <c r="B5" s="50" t="s">
        <v>85</v>
      </c>
      <c r="C5" s="51"/>
      <c r="D5" s="51"/>
      <c r="E5" s="51"/>
      <c r="F5" s="51"/>
      <c r="G5" s="51"/>
      <c r="H5" s="51"/>
    </row>
    <row r="6" spans="1:8" ht="14.25" customHeight="1" x14ac:dyDescent="0.25">
      <c r="A6" s="69" t="s">
        <v>190</v>
      </c>
      <c r="B6" s="70"/>
      <c r="C6" s="71" t="str">
        <f t="shared" ref="C6:C12" si="0">IF(COUNTIF(E6:BA6,"YES")=0,"",COUNTIF(E6:BA6,"YES"))</f>
        <v/>
      </c>
      <c r="D6" s="71" t="str">
        <f>IF(COUNTIF(E6:BA6,"NO")=0,"",COUNTIF(E6:BA6,"NO"))</f>
        <v/>
      </c>
      <c r="E6" s="72"/>
      <c r="F6" s="72"/>
      <c r="G6" s="72"/>
      <c r="H6" s="72"/>
    </row>
    <row r="7" spans="1:8" ht="25.5" x14ac:dyDescent="0.25">
      <c r="A7" s="60" t="s">
        <v>191</v>
      </c>
      <c r="B7" s="259" t="s">
        <v>553</v>
      </c>
      <c r="C7" s="44" t="str">
        <f t="shared" si="0"/>
        <v/>
      </c>
      <c r="D7" s="44" t="str">
        <f>IF(COUNTIF(E7:BA7,"NO")=0,"",COUNTIF(E7:BA7,"NO"))</f>
        <v/>
      </c>
      <c r="E7" s="41"/>
      <c r="F7" s="41"/>
      <c r="G7" s="41"/>
      <c r="H7" s="41"/>
    </row>
    <row r="8" spans="1:8" ht="15.75" x14ac:dyDescent="0.25">
      <c r="A8" s="60" t="s">
        <v>192</v>
      </c>
      <c r="B8" s="52" t="s">
        <v>544</v>
      </c>
      <c r="C8" s="44" t="str">
        <f t="shared" si="0"/>
        <v/>
      </c>
      <c r="D8" s="44" t="str">
        <f>IF(COUNTIF(E8:BA8,"NO")=0,"",COUNTIF(E8:BA8,"NO"))</f>
        <v/>
      </c>
      <c r="E8" s="41"/>
      <c r="F8" s="41"/>
      <c r="G8" s="41"/>
      <c r="H8" s="41"/>
    </row>
    <row r="9" spans="1:8" ht="15.75" x14ac:dyDescent="0.25">
      <c r="A9" s="60" t="s">
        <v>193</v>
      </c>
      <c r="B9" s="52" t="s">
        <v>115</v>
      </c>
      <c r="C9" s="44" t="str">
        <f t="shared" si="0"/>
        <v/>
      </c>
      <c r="D9" s="44"/>
      <c r="E9" s="41"/>
      <c r="F9" s="41"/>
      <c r="G9" s="41"/>
      <c r="H9" s="41"/>
    </row>
    <row r="10" spans="1:8" ht="15.75" x14ac:dyDescent="0.25">
      <c r="A10" s="60" t="s">
        <v>195</v>
      </c>
      <c r="B10" s="52" t="s">
        <v>117</v>
      </c>
      <c r="C10" s="44" t="str">
        <f t="shared" si="0"/>
        <v/>
      </c>
      <c r="D10" s="44" t="str">
        <f>IF(COUNTIF(E10:BA10,"NO")=0,"",COUNTIF(E10:BA10,"NO"))</f>
        <v/>
      </c>
      <c r="E10" s="41"/>
      <c r="F10" s="41"/>
      <c r="G10" s="41"/>
      <c r="H10" s="41"/>
    </row>
    <row r="11" spans="1:8" ht="15.75" x14ac:dyDescent="0.25">
      <c r="A11" s="60" t="s">
        <v>197</v>
      </c>
      <c r="B11" s="52" t="s">
        <v>119</v>
      </c>
      <c r="C11" s="44" t="str">
        <f t="shared" si="0"/>
        <v/>
      </c>
      <c r="D11" s="44" t="str">
        <f>IF(COUNTIF(E11:BA11,"NO")=0,"",COUNTIF(E11:BA11,"NO"))</f>
        <v/>
      </c>
      <c r="E11" s="41"/>
      <c r="F11" s="41"/>
      <c r="G11" s="41"/>
      <c r="H11" s="41"/>
    </row>
    <row r="12" spans="1:8" ht="15.75" x14ac:dyDescent="0.25">
      <c r="A12" s="60" t="s">
        <v>198</v>
      </c>
      <c r="B12" s="52" t="s">
        <v>189</v>
      </c>
      <c r="C12" s="44" t="str">
        <f t="shared" si="0"/>
        <v/>
      </c>
      <c r="D12" s="44" t="str">
        <f>IF(COUNTIF(E12:BA12,"NO")=0,"",COUNTIF(E12:BA12,"NO"))</f>
        <v/>
      </c>
      <c r="E12" s="41"/>
      <c r="F12" s="41"/>
      <c r="G12" s="41"/>
      <c r="H12" s="41"/>
    </row>
    <row r="13" spans="1:8" ht="15.75" x14ac:dyDescent="0.25">
      <c r="A13" s="69" t="s">
        <v>202</v>
      </c>
      <c r="B13" s="73"/>
      <c r="C13" s="71"/>
      <c r="D13" s="71"/>
      <c r="E13" s="72"/>
      <c r="F13" s="72"/>
      <c r="G13" s="72"/>
      <c r="H13" s="72"/>
    </row>
    <row r="14" spans="1:8" ht="15.75" x14ac:dyDescent="0.25">
      <c r="A14" s="61"/>
      <c r="B14" s="52"/>
      <c r="C14" s="44"/>
      <c r="D14" s="44"/>
      <c r="E14" s="41"/>
      <c r="F14" s="41"/>
      <c r="G14" s="41"/>
      <c r="H14" s="41"/>
    </row>
    <row r="15" spans="1:8" ht="15.75" x14ac:dyDescent="0.25">
      <c r="A15" s="69" t="s">
        <v>203</v>
      </c>
      <c r="B15" s="73"/>
      <c r="C15" s="71" t="str">
        <f t="shared" ref="C15:C74" si="1">IF(COUNTIF(E15:BA15,"YES")=0,"",COUNTIF(E15:BA15,"YES"))</f>
        <v/>
      </c>
      <c r="D15" s="71"/>
      <c r="E15" s="72"/>
      <c r="F15" s="72"/>
      <c r="G15" s="72"/>
      <c r="H15" s="72"/>
    </row>
    <row r="16" spans="1:8" ht="15.75" x14ac:dyDescent="0.25">
      <c r="A16" s="61" t="s">
        <v>204</v>
      </c>
      <c r="B16" s="63"/>
      <c r="C16" s="44" t="str">
        <f t="shared" si="1"/>
        <v/>
      </c>
      <c r="D16" s="44"/>
      <c r="E16" s="41"/>
      <c r="F16" s="41"/>
      <c r="G16" s="41"/>
      <c r="H16" s="41"/>
    </row>
    <row r="17" spans="1:8" ht="23.25" x14ac:dyDescent="0.35">
      <c r="A17" s="59"/>
      <c r="B17" s="74" t="s">
        <v>93</v>
      </c>
      <c r="C17" s="71" t="str">
        <f t="shared" si="1"/>
        <v/>
      </c>
      <c r="D17" s="71"/>
      <c r="E17" s="72"/>
      <c r="F17" s="72"/>
      <c r="G17" s="72"/>
      <c r="H17" s="72"/>
    </row>
    <row r="18" spans="1:8" ht="13.5" customHeight="1" x14ac:dyDescent="0.25">
      <c r="A18" s="69" t="s">
        <v>94</v>
      </c>
      <c r="B18" s="70"/>
      <c r="C18" s="71" t="str">
        <f t="shared" si="1"/>
        <v/>
      </c>
      <c r="D18" s="71" t="str">
        <f t="shared" ref="D18:D79" si="2">IF(COUNTIF(E18:BA18,"NO")=0,"",COUNTIF(E18:BA18,"NO"))</f>
        <v/>
      </c>
      <c r="E18" s="72"/>
      <c r="F18" s="72"/>
      <c r="G18" s="72"/>
      <c r="H18" s="72"/>
    </row>
    <row r="19" spans="1:8" ht="13.5" customHeight="1" x14ac:dyDescent="0.25">
      <c r="A19" s="60" t="s">
        <v>51</v>
      </c>
      <c r="B19" s="45" t="s">
        <v>557</v>
      </c>
      <c r="C19" s="44" t="str">
        <f t="shared" si="1"/>
        <v/>
      </c>
      <c r="D19" s="44" t="str">
        <f t="shared" si="2"/>
        <v/>
      </c>
      <c r="E19" s="41"/>
      <c r="F19" s="41"/>
      <c r="G19" s="41"/>
      <c r="H19" s="41"/>
    </row>
    <row r="20" spans="1:8" ht="15.75" x14ac:dyDescent="0.25">
      <c r="A20" s="60" t="s">
        <v>52</v>
      </c>
      <c r="B20" s="278" t="s">
        <v>554</v>
      </c>
      <c r="C20" s="44" t="str">
        <f t="shared" si="1"/>
        <v/>
      </c>
      <c r="D20" s="44" t="str">
        <f t="shared" si="2"/>
        <v/>
      </c>
      <c r="E20" s="41"/>
      <c r="F20" s="41"/>
      <c r="G20" s="41"/>
      <c r="H20" s="41"/>
    </row>
    <row r="21" spans="1:8" ht="15.75" x14ac:dyDescent="0.25">
      <c r="A21" s="60" t="s">
        <v>53</v>
      </c>
      <c r="B21" s="278" t="s">
        <v>555</v>
      </c>
      <c r="C21" s="44" t="str">
        <f t="shared" si="1"/>
        <v/>
      </c>
      <c r="D21" s="44" t="str">
        <f t="shared" si="2"/>
        <v/>
      </c>
      <c r="E21" s="41"/>
      <c r="F21" s="41"/>
      <c r="G21" s="41"/>
      <c r="H21" s="41"/>
    </row>
    <row r="22" spans="1:8" ht="15.75" x14ac:dyDescent="0.25">
      <c r="A22" s="60" t="s">
        <v>73</v>
      </c>
      <c r="B22" s="278" t="s">
        <v>556</v>
      </c>
      <c r="C22" s="44" t="str">
        <f t="shared" si="1"/>
        <v/>
      </c>
      <c r="D22" s="44" t="str">
        <f t="shared" si="2"/>
        <v/>
      </c>
      <c r="E22" s="41"/>
      <c r="F22" s="41"/>
      <c r="G22" s="41"/>
      <c r="H22" s="41"/>
    </row>
    <row r="23" spans="1:8" ht="15.75" x14ac:dyDescent="0.25">
      <c r="A23" s="60" t="s">
        <v>74</v>
      </c>
      <c r="B23" s="278" t="s">
        <v>558</v>
      </c>
      <c r="C23" s="44" t="str">
        <f t="shared" si="1"/>
        <v/>
      </c>
      <c r="D23" s="44" t="str">
        <f t="shared" si="2"/>
        <v/>
      </c>
      <c r="E23" s="41"/>
      <c r="F23" s="41"/>
      <c r="G23" s="41"/>
      <c r="H23" s="41"/>
    </row>
    <row r="24" spans="1:8" ht="15.75" x14ac:dyDescent="0.25">
      <c r="A24" s="60" t="s">
        <v>75</v>
      </c>
      <c r="B24" s="53" t="s">
        <v>566</v>
      </c>
      <c r="C24" s="44" t="str">
        <f t="shared" si="1"/>
        <v/>
      </c>
      <c r="D24" s="44" t="str">
        <f t="shared" si="2"/>
        <v/>
      </c>
      <c r="E24" s="41"/>
      <c r="F24" s="41"/>
      <c r="G24" s="41"/>
      <c r="H24" s="41"/>
    </row>
    <row r="25" spans="1:8" ht="15.75" x14ac:dyDescent="0.25">
      <c r="A25" s="55"/>
      <c r="B25" s="53"/>
      <c r="C25" s="44" t="str">
        <f t="shared" si="1"/>
        <v/>
      </c>
      <c r="D25" s="44" t="str">
        <f t="shared" si="2"/>
        <v/>
      </c>
      <c r="E25" s="41"/>
      <c r="F25" s="41"/>
      <c r="G25" s="41"/>
      <c r="H25" s="41"/>
    </row>
    <row r="26" spans="1:8" ht="13.5" customHeight="1" x14ac:dyDescent="0.25">
      <c r="A26" s="69" t="s">
        <v>559</v>
      </c>
      <c r="B26" s="70"/>
      <c r="C26" s="71" t="str">
        <f t="shared" ref="C26" si="3">IF(COUNTIF(E26:BA26,"YES")=0,"",COUNTIF(E26:BA26,"YES"))</f>
        <v/>
      </c>
      <c r="D26" s="71" t="str">
        <f t="shared" ref="D26" si="4">IF(COUNTIF(E26:BA26,"NO")=0,"",COUNTIF(E26:BA26,"NO"))</f>
        <v/>
      </c>
      <c r="E26" s="72"/>
      <c r="F26" s="72"/>
      <c r="G26" s="72"/>
      <c r="H26" s="72"/>
    </row>
    <row r="27" spans="1:8" ht="13.5" customHeight="1" x14ac:dyDescent="0.25">
      <c r="A27" s="69"/>
      <c r="B27" s="70" t="s">
        <v>564</v>
      </c>
      <c r="C27" s="71"/>
      <c r="D27" s="71"/>
      <c r="E27" s="72"/>
      <c r="F27" s="72"/>
      <c r="G27" s="72"/>
      <c r="H27" s="72"/>
    </row>
    <row r="28" spans="1:8" ht="15.75" x14ac:dyDescent="0.25">
      <c r="A28" s="55" t="s">
        <v>567</v>
      </c>
      <c r="B28" s="278" t="s">
        <v>560</v>
      </c>
      <c r="C28" s="44" t="str">
        <f t="shared" si="1"/>
        <v/>
      </c>
      <c r="D28" s="44" t="str">
        <f t="shared" si="2"/>
        <v/>
      </c>
      <c r="E28" s="41"/>
      <c r="F28" s="41"/>
      <c r="G28" s="41"/>
      <c r="H28" s="41"/>
    </row>
    <row r="29" spans="1:8" ht="26.25" x14ac:dyDescent="0.25">
      <c r="A29" s="55" t="s">
        <v>568</v>
      </c>
      <c r="B29" s="278" t="s">
        <v>562</v>
      </c>
      <c r="C29" s="44" t="str">
        <f t="shared" si="1"/>
        <v/>
      </c>
      <c r="D29" s="44" t="str">
        <f t="shared" si="2"/>
        <v/>
      </c>
      <c r="E29" s="41"/>
      <c r="F29" s="41"/>
      <c r="G29" s="41"/>
      <c r="H29" s="41"/>
    </row>
    <row r="30" spans="1:8" ht="15.75" x14ac:dyDescent="0.25">
      <c r="A30" s="55" t="s">
        <v>569</v>
      </c>
      <c r="B30" s="53" t="s">
        <v>561</v>
      </c>
      <c r="C30" s="44" t="str">
        <f t="shared" si="1"/>
        <v/>
      </c>
      <c r="D30" s="44" t="str">
        <f t="shared" si="2"/>
        <v/>
      </c>
      <c r="E30" s="41"/>
      <c r="F30" s="41"/>
      <c r="G30" s="41"/>
      <c r="H30" s="41"/>
    </row>
    <row r="31" spans="1:8" ht="15.75" x14ac:dyDescent="0.25">
      <c r="A31" s="55"/>
      <c r="B31" s="53"/>
      <c r="C31" s="44" t="str">
        <f t="shared" si="1"/>
        <v/>
      </c>
      <c r="D31" s="44" t="str">
        <f t="shared" si="2"/>
        <v/>
      </c>
      <c r="E31" s="41"/>
      <c r="F31" s="41"/>
      <c r="G31" s="41"/>
      <c r="H31" s="41"/>
    </row>
    <row r="32" spans="1:8" ht="15.75" x14ac:dyDescent="0.25">
      <c r="A32" s="55"/>
      <c r="B32" s="53"/>
      <c r="C32" s="44" t="str">
        <f t="shared" si="1"/>
        <v/>
      </c>
      <c r="D32" s="44" t="str">
        <f t="shared" si="2"/>
        <v/>
      </c>
      <c r="E32" s="41"/>
      <c r="F32" s="41"/>
      <c r="G32" s="41"/>
      <c r="H32" s="41"/>
    </row>
    <row r="33" spans="1:8" ht="13.5" customHeight="1" x14ac:dyDescent="0.25">
      <c r="A33" s="69"/>
      <c r="B33" s="70" t="s">
        <v>565</v>
      </c>
      <c r="C33" s="71"/>
      <c r="D33" s="71"/>
      <c r="E33" s="72"/>
      <c r="F33" s="72"/>
      <c r="G33" s="72"/>
      <c r="H33" s="72"/>
    </row>
    <row r="34" spans="1:8" ht="15.75" x14ac:dyDescent="0.25">
      <c r="A34" s="55" t="s">
        <v>570</v>
      </c>
      <c r="B34" s="53" t="s">
        <v>563</v>
      </c>
      <c r="C34" s="44" t="str">
        <f>IF(COUNTIF(E34:BA34,"YES")=0,"",COUNTIF(E34:BA34,"YES"))</f>
        <v/>
      </c>
      <c r="D34" s="44" t="str">
        <f>IF(COUNTIF(E34:BA34,"NO")=0,"",COUNTIF(E34:BA34,"NO"))</f>
        <v/>
      </c>
      <c r="E34" s="41"/>
      <c r="F34" s="41"/>
      <c r="G34" s="41"/>
      <c r="H34" s="41"/>
    </row>
    <row r="35" spans="1:8" ht="15.75" x14ac:dyDescent="0.25">
      <c r="A35" s="55"/>
      <c r="B35" s="53"/>
      <c r="C35" s="44" t="str">
        <f t="shared" si="1"/>
        <v/>
      </c>
      <c r="D35" s="44" t="str">
        <f t="shared" si="2"/>
        <v/>
      </c>
      <c r="E35" s="41"/>
      <c r="F35" s="41"/>
      <c r="G35" s="41"/>
      <c r="H35" s="41"/>
    </row>
    <row r="36" spans="1:8" ht="15.75" x14ac:dyDescent="0.25">
      <c r="A36" s="55"/>
      <c r="B36" s="53"/>
      <c r="C36" s="44" t="str">
        <f t="shared" si="1"/>
        <v/>
      </c>
      <c r="D36" s="44" t="str">
        <f t="shared" si="2"/>
        <v/>
      </c>
      <c r="E36" s="41"/>
      <c r="F36" s="41"/>
      <c r="G36" s="41"/>
      <c r="H36" s="41"/>
    </row>
    <row r="37" spans="1:8" ht="15.75" x14ac:dyDescent="0.25">
      <c r="A37" s="55"/>
      <c r="B37" s="53"/>
      <c r="C37" s="44" t="str">
        <f t="shared" si="1"/>
        <v/>
      </c>
      <c r="D37" s="44" t="str">
        <f t="shared" si="2"/>
        <v/>
      </c>
      <c r="E37" s="41"/>
      <c r="F37" s="41"/>
      <c r="G37" s="41"/>
      <c r="H37" s="41"/>
    </row>
    <row r="38" spans="1:8" ht="15.75" x14ac:dyDescent="0.25">
      <c r="C38" s="46" t="str">
        <f t="shared" si="1"/>
        <v/>
      </c>
      <c r="D38" s="46" t="str">
        <f t="shared" si="2"/>
        <v/>
      </c>
    </row>
    <row r="39" spans="1:8" ht="15.75" x14ac:dyDescent="0.25">
      <c r="C39" s="46" t="str">
        <f t="shared" si="1"/>
        <v/>
      </c>
      <c r="D39" s="46" t="str">
        <f t="shared" si="2"/>
        <v/>
      </c>
    </row>
    <row r="40" spans="1:8" ht="15.75" x14ac:dyDescent="0.25">
      <c r="C40" s="46" t="str">
        <f t="shared" si="1"/>
        <v/>
      </c>
      <c r="D40" s="46" t="str">
        <f t="shared" si="2"/>
        <v/>
      </c>
    </row>
    <row r="41" spans="1:8" ht="15.75" x14ac:dyDescent="0.25">
      <c r="C41" s="46" t="str">
        <f t="shared" si="1"/>
        <v/>
      </c>
      <c r="D41" s="46" t="str">
        <f t="shared" si="2"/>
        <v/>
      </c>
    </row>
    <row r="42" spans="1:8" ht="15.75" x14ac:dyDescent="0.25">
      <c r="C42" s="46" t="str">
        <f t="shared" si="1"/>
        <v/>
      </c>
      <c r="D42" s="46" t="str">
        <f t="shared" si="2"/>
        <v/>
      </c>
    </row>
    <row r="43" spans="1:8" ht="15.75" x14ac:dyDescent="0.25">
      <c r="C43" s="46" t="str">
        <f t="shared" si="1"/>
        <v/>
      </c>
      <c r="D43" s="46" t="str">
        <f t="shared" si="2"/>
        <v/>
      </c>
    </row>
    <row r="44" spans="1:8" ht="15.75" x14ac:dyDescent="0.25">
      <c r="C44" s="46" t="str">
        <f t="shared" si="1"/>
        <v/>
      </c>
      <c r="D44" s="46" t="str">
        <f t="shared" si="2"/>
        <v/>
      </c>
    </row>
    <row r="45" spans="1:8" ht="15.75" x14ac:dyDescent="0.25">
      <c r="C45" s="46" t="str">
        <f t="shared" si="1"/>
        <v/>
      </c>
      <c r="D45" s="46" t="str">
        <f t="shared" si="2"/>
        <v/>
      </c>
    </row>
    <row r="46" spans="1:8" ht="15.75" x14ac:dyDescent="0.25">
      <c r="C46" s="46" t="str">
        <f t="shared" si="1"/>
        <v/>
      </c>
      <c r="D46" s="46" t="str">
        <f t="shared" si="2"/>
        <v/>
      </c>
    </row>
    <row r="47" spans="1:8" ht="15.75" x14ac:dyDescent="0.25">
      <c r="C47" s="46" t="str">
        <f t="shared" si="1"/>
        <v/>
      </c>
      <c r="D47" s="46" t="str">
        <f t="shared" si="2"/>
        <v/>
      </c>
    </row>
    <row r="48" spans="1:8" ht="15.75" x14ac:dyDescent="0.25">
      <c r="C48" s="46" t="str">
        <f t="shared" si="1"/>
        <v/>
      </c>
      <c r="D48" s="46" t="str">
        <f t="shared" si="2"/>
        <v/>
      </c>
    </row>
    <row r="49" spans="3:4" ht="15.75" x14ac:dyDescent="0.25">
      <c r="C49" s="46" t="str">
        <f t="shared" si="1"/>
        <v/>
      </c>
      <c r="D49" s="46" t="str">
        <f t="shared" si="2"/>
        <v/>
      </c>
    </row>
    <row r="50" spans="3:4" ht="15.75" x14ac:dyDescent="0.25">
      <c r="C50" s="46" t="str">
        <f t="shared" si="1"/>
        <v/>
      </c>
      <c r="D50" s="46" t="str">
        <f t="shared" si="2"/>
        <v/>
      </c>
    </row>
    <row r="51" spans="3:4" ht="15.75" x14ac:dyDescent="0.25">
      <c r="C51" s="46" t="str">
        <f t="shared" si="1"/>
        <v/>
      </c>
      <c r="D51" s="46" t="str">
        <f t="shared" si="2"/>
        <v/>
      </c>
    </row>
    <row r="52" spans="3:4" ht="15.75" x14ac:dyDescent="0.25">
      <c r="C52" s="46" t="str">
        <f t="shared" si="1"/>
        <v/>
      </c>
      <c r="D52" s="46" t="str">
        <f t="shared" si="2"/>
        <v/>
      </c>
    </row>
    <row r="53" spans="3:4" ht="15.75" x14ac:dyDescent="0.25">
      <c r="C53" s="46" t="str">
        <f t="shared" si="1"/>
        <v/>
      </c>
      <c r="D53" s="46" t="str">
        <f t="shared" si="2"/>
        <v/>
      </c>
    </row>
    <row r="54" spans="3:4" ht="15.75" x14ac:dyDescent="0.25">
      <c r="C54" s="46" t="str">
        <f t="shared" si="1"/>
        <v/>
      </c>
      <c r="D54" s="46" t="str">
        <f t="shared" si="2"/>
        <v/>
      </c>
    </row>
    <row r="55" spans="3:4" ht="15.75" x14ac:dyDescent="0.25">
      <c r="C55" s="46" t="str">
        <f t="shared" si="1"/>
        <v/>
      </c>
      <c r="D55" s="46" t="str">
        <f t="shared" si="2"/>
        <v/>
      </c>
    </row>
    <row r="56" spans="3:4" ht="15.75" x14ac:dyDescent="0.25">
      <c r="C56" s="46" t="str">
        <f t="shared" si="1"/>
        <v/>
      </c>
      <c r="D56" s="46" t="str">
        <f t="shared" si="2"/>
        <v/>
      </c>
    </row>
    <row r="57" spans="3:4" ht="15.75" x14ac:dyDescent="0.25">
      <c r="C57" s="46" t="str">
        <f t="shared" si="1"/>
        <v/>
      </c>
      <c r="D57" s="46" t="str">
        <f t="shared" si="2"/>
        <v/>
      </c>
    </row>
    <row r="58" spans="3:4" ht="15.75" x14ac:dyDescent="0.25">
      <c r="C58" s="46" t="str">
        <f t="shared" si="1"/>
        <v/>
      </c>
      <c r="D58" s="46" t="str">
        <f t="shared" si="2"/>
        <v/>
      </c>
    </row>
    <row r="59" spans="3:4" ht="15.75" x14ac:dyDescent="0.25">
      <c r="C59" s="46" t="str">
        <f t="shared" si="1"/>
        <v/>
      </c>
      <c r="D59" s="46" t="str">
        <f t="shared" si="2"/>
        <v/>
      </c>
    </row>
    <row r="60" spans="3:4" ht="15.75" x14ac:dyDescent="0.25">
      <c r="C60" s="46" t="str">
        <f t="shared" si="1"/>
        <v/>
      </c>
      <c r="D60" s="46" t="str">
        <f t="shared" si="2"/>
        <v/>
      </c>
    </row>
    <row r="61" spans="3:4" ht="15.75" x14ac:dyDescent="0.25">
      <c r="C61" s="46" t="str">
        <f t="shared" si="1"/>
        <v/>
      </c>
      <c r="D61" s="46" t="str">
        <f t="shared" si="2"/>
        <v/>
      </c>
    </row>
    <row r="62" spans="3:4" ht="15.75" x14ac:dyDescent="0.25">
      <c r="C62" s="46" t="str">
        <f t="shared" si="1"/>
        <v/>
      </c>
      <c r="D62" s="46" t="str">
        <f t="shared" si="2"/>
        <v/>
      </c>
    </row>
    <row r="63" spans="3:4" ht="15.75" x14ac:dyDescent="0.25">
      <c r="C63" s="46" t="str">
        <f t="shared" si="1"/>
        <v/>
      </c>
      <c r="D63" s="46" t="str">
        <f t="shared" si="2"/>
        <v/>
      </c>
    </row>
    <row r="64" spans="3:4" ht="15.75" x14ac:dyDescent="0.25">
      <c r="C64" s="46" t="str">
        <f t="shared" si="1"/>
        <v/>
      </c>
      <c r="D64" s="46" t="str">
        <f t="shared" si="2"/>
        <v/>
      </c>
    </row>
    <row r="65" spans="3:4" ht="15.75" x14ac:dyDescent="0.25">
      <c r="C65" s="46" t="str">
        <f t="shared" si="1"/>
        <v/>
      </c>
      <c r="D65" s="46" t="str">
        <f t="shared" si="2"/>
        <v/>
      </c>
    </row>
    <row r="66" spans="3:4" ht="15.75" x14ac:dyDescent="0.25">
      <c r="C66" s="46" t="str">
        <f t="shared" si="1"/>
        <v/>
      </c>
      <c r="D66" s="46" t="str">
        <f t="shared" si="2"/>
        <v/>
      </c>
    </row>
    <row r="67" spans="3:4" ht="15.75" x14ac:dyDescent="0.25">
      <c r="C67" s="46" t="str">
        <f t="shared" si="1"/>
        <v/>
      </c>
      <c r="D67" s="46" t="str">
        <f t="shared" si="2"/>
        <v/>
      </c>
    </row>
    <row r="68" spans="3:4" ht="15.75" x14ac:dyDescent="0.25">
      <c r="C68" s="46" t="str">
        <f t="shared" si="1"/>
        <v/>
      </c>
      <c r="D68" s="46" t="str">
        <f t="shared" si="2"/>
        <v/>
      </c>
    </row>
    <row r="69" spans="3:4" ht="15.75" x14ac:dyDescent="0.25">
      <c r="C69" s="46" t="str">
        <f t="shared" si="1"/>
        <v/>
      </c>
      <c r="D69" s="46" t="str">
        <f t="shared" si="2"/>
        <v/>
      </c>
    </row>
    <row r="70" spans="3:4" ht="15.75" x14ac:dyDescent="0.25">
      <c r="C70" s="46" t="str">
        <f t="shared" si="1"/>
        <v/>
      </c>
      <c r="D70" s="46" t="str">
        <f t="shared" si="2"/>
        <v/>
      </c>
    </row>
    <row r="71" spans="3:4" ht="15.75" x14ac:dyDescent="0.25">
      <c r="C71" s="46" t="str">
        <f t="shared" si="1"/>
        <v/>
      </c>
      <c r="D71" s="46" t="str">
        <f t="shared" si="2"/>
        <v/>
      </c>
    </row>
    <row r="72" spans="3:4" ht="15.75" x14ac:dyDescent="0.25">
      <c r="C72" s="46" t="str">
        <f t="shared" si="1"/>
        <v/>
      </c>
      <c r="D72" s="46" t="str">
        <f t="shared" si="2"/>
        <v/>
      </c>
    </row>
    <row r="73" spans="3:4" ht="15.75" x14ac:dyDescent="0.25">
      <c r="C73" s="46" t="str">
        <f t="shared" si="1"/>
        <v/>
      </c>
      <c r="D73" s="46" t="str">
        <f t="shared" si="2"/>
        <v/>
      </c>
    </row>
    <row r="74" spans="3:4" ht="15.75" x14ac:dyDescent="0.25">
      <c r="C74" s="46" t="str">
        <f t="shared" si="1"/>
        <v/>
      </c>
      <c r="D74" s="46" t="str">
        <f t="shared" si="2"/>
        <v/>
      </c>
    </row>
    <row r="75" spans="3:4" ht="15.75" x14ac:dyDescent="0.25">
      <c r="C75" s="46" t="str">
        <f t="shared" ref="C75:C138" si="5">IF(COUNTIF(E75:BA75,"YES")=0,"",COUNTIF(E75:BA75,"YES"))</f>
        <v/>
      </c>
      <c r="D75" s="46" t="str">
        <f t="shared" si="2"/>
        <v/>
      </c>
    </row>
    <row r="76" spans="3:4" ht="15.75" x14ac:dyDescent="0.25">
      <c r="C76" s="46" t="str">
        <f t="shared" si="5"/>
        <v/>
      </c>
      <c r="D76" s="46" t="str">
        <f t="shared" si="2"/>
        <v/>
      </c>
    </row>
    <row r="77" spans="3:4" ht="15.75" x14ac:dyDescent="0.25">
      <c r="C77" s="46" t="str">
        <f t="shared" si="5"/>
        <v/>
      </c>
      <c r="D77" s="46" t="str">
        <f t="shared" si="2"/>
        <v/>
      </c>
    </row>
    <row r="78" spans="3:4" ht="15.75" x14ac:dyDescent="0.25">
      <c r="C78" s="46" t="str">
        <f t="shared" si="5"/>
        <v/>
      </c>
      <c r="D78" s="46" t="str">
        <f t="shared" si="2"/>
        <v/>
      </c>
    </row>
    <row r="79" spans="3:4" ht="15.75" x14ac:dyDescent="0.25">
      <c r="C79" s="46" t="str">
        <f t="shared" si="5"/>
        <v/>
      </c>
      <c r="D79" s="46" t="str">
        <f t="shared" si="2"/>
        <v/>
      </c>
    </row>
    <row r="80" spans="3:4" ht="15.75" x14ac:dyDescent="0.25">
      <c r="C80" s="46" t="str">
        <f t="shared" si="5"/>
        <v/>
      </c>
      <c r="D80" s="46" t="str">
        <f t="shared" ref="D80:D143" si="6">IF(COUNTIF(E80:BA80,"NO")=0,"",COUNTIF(E80:BA80,"NO"))</f>
        <v/>
      </c>
    </row>
    <row r="81" spans="3:4" ht="15.75" x14ac:dyDescent="0.25">
      <c r="C81" s="46" t="str">
        <f t="shared" si="5"/>
        <v/>
      </c>
      <c r="D81" s="46" t="str">
        <f t="shared" si="6"/>
        <v/>
      </c>
    </row>
    <row r="82" spans="3:4" ht="15.75" x14ac:dyDescent="0.25">
      <c r="C82" s="46" t="str">
        <f t="shared" si="5"/>
        <v/>
      </c>
      <c r="D82" s="46" t="str">
        <f t="shared" si="6"/>
        <v/>
      </c>
    </row>
    <row r="83" spans="3:4" ht="15.75" x14ac:dyDescent="0.25">
      <c r="C83" s="46" t="str">
        <f t="shared" si="5"/>
        <v/>
      </c>
      <c r="D83" s="46" t="str">
        <f t="shared" si="6"/>
        <v/>
      </c>
    </row>
    <row r="84" spans="3:4" ht="15.75" x14ac:dyDescent="0.25">
      <c r="C84" s="46" t="str">
        <f t="shared" si="5"/>
        <v/>
      </c>
      <c r="D84" s="46" t="str">
        <f t="shared" si="6"/>
        <v/>
      </c>
    </row>
    <row r="85" spans="3:4" ht="15.75" x14ac:dyDescent="0.25">
      <c r="C85" s="46" t="str">
        <f t="shared" si="5"/>
        <v/>
      </c>
      <c r="D85" s="46" t="str">
        <f t="shared" si="6"/>
        <v/>
      </c>
    </row>
    <row r="86" spans="3:4" ht="15.75" x14ac:dyDescent="0.25">
      <c r="C86" s="46" t="str">
        <f t="shared" si="5"/>
        <v/>
      </c>
      <c r="D86" s="46" t="str">
        <f t="shared" si="6"/>
        <v/>
      </c>
    </row>
    <row r="87" spans="3:4" ht="15.75" x14ac:dyDescent="0.25">
      <c r="C87" s="46" t="str">
        <f t="shared" si="5"/>
        <v/>
      </c>
      <c r="D87" s="46" t="str">
        <f t="shared" si="6"/>
        <v/>
      </c>
    </row>
    <row r="88" spans="3:4" ht="15.75" x14ac:dyDescent="0.25">
      <c r="C88" s="46" t="str">
        <f t="shared" si="5"/>
        <v/>
      </c>
      <c r="D88" s="46" t="str">
        <f t="shared" si="6"/>
        <v/>
      </c>
    </row>
    <row r="89" spans="3:4" ht="15.75" x14ac:dyDescent="0.25">
      <c r="C89" s="46" t="str">
        <f t="shared" si="5"/>
        <v/>
      </c>
      <c r="D89" s="46" t="str">
        <f t="shared" si="6"/>
        <v/>
      </c>
    </row>
    <row r="90" spans="3:4" ht="15.75" x14ac:dyDescent="0.25">
      <c r="C90" s="46" t="str">
        <f t="shared" si="5"/>
        <v/>
      </c>
      <c r="D90" s="46" t="str">
        <f t="shared" si="6"/>
        <v/>
      </c>
    </row>
    <row r="91" spans="3:4" ht="15.75" x14ac:dyDescent="0.25">
      <c r="C91" s="46" t="str">
        <f t="shared" si="5"/>
        <v/>
      </c>
      <c r="D91" s="46" t="str">
        <f t="shared" si="6"/>
        <v/>
      </c>
    </row>
    <row r="92" spans="3:4" ht="15.75" x14ac:dyDescent="0.25">
      <c r="C92" s="46" t="str">
        <f t="shared" si="5"/>
        <v/>
      </c>
      <c r="D92" s="46" t="str">
        <f t="shared" si="6"/>
        <v/>
      </c>
    </row>
    <row r="93" spans="3:4" ht="15.75" x14ac:dyDescent="0.25">
      <c r="C93" s="46" t="str">
        <f t="shared" si="5"/>
        <v/>
      </c>
      <c r="D93" s="46" t="str">
        <f t="shared" si="6"/>
        <v/>
      </c>
    </row>
    <row r="94" spans="3:4" ht="15.75" x14ac:dyDescent="0.25">
      <c r="C94" s="46" t="str">
        <f t="shared" si="5"/>
        <v/>
      </c>
      <c r="D94" s="46" t="str">
        <f t="shared" si="6"/>
        <v/>
      </c>
    </row>
    <row r="95" spans="3:4" ht="15.75" x14ac:dyDescent="0.25">
      <c r="C95" s="46" t="str">
        <f t="shared" si="5"/>
        <v/>
      </c>
      <c r="D95" s="46" t="str">
        <f t="shared" si="6"/>
        <v/>
      </c>
    </row>
    <row r="96" spans="3:4" ht="15.75" x14ac:dyDescent="0.25">
      <c r="C96" s="46" t="str">
        <f t="shared" si="5"/>
        <v/>
      </c>
      <c r="D96" s="46" t="str">
        <f t="shared" si="6"/>
        <v/>
      </c>
    </row>
    <row r="97" spans="3:4" ht="15.75" x14ac:dyDescent="0.25">
      <c r="C97" s="46" t="str">
        <f t="shared" si="5"/>
        <v/>
      </c>
      <c r="D97" s="46" t="str">
        <f t="shared" si="6"/>
        <v/>
      </c>
    </row>
    <row r="98" spans="3:4" ht="15.75" x14ac:dyDescent="0.25">
      <c r="C98" s="46" t="str">
        <f t="shared" si="5"/>
        <v/>
      </c>
      <c r="D98" s="46" t="str">
        <f t="shared" si="6"/>
        <v/>
      </c>
    </row>
    <row r="99" spans="3:4" ht="15.75" x14ac:dyDescent="0.25">
      <c r="C99" s="46" t="str">
        <f t="shared" si="5"/>
        <v/>
      </c>
      <c r="D99" s="46" t="str">
        <f t="shared" si="6"/>
        <v/>
      </c>
    </row>
    <row r="100" spans="3:4" ht="15.75" x14ac:dyDescent="0.25">
      <c r="C100" s="46" t="str">
        <f t="shared" si="5"/>
        <v/>
      </c>
      <c r="D100" s="46" t="str">
        <f t="shared" si="6"/>
        <v/>
      </c>
    </row>
    <row r="101" spans="3:4" ht="15.75" x14ac:dyDescent="0.25">
      <c r="C101" s="46" t="str">
        <f t="shared" si="5"/>
        <v/>
      </c>
      <c r="D101" s="46" t="str">
        <f t="shared" si="6"/>
        <v/>
      </c>
    </row>
    <row r="102" spans="3:4" ht="15.75" x14ac:dyDescent="0.25">
      <c r="C102" s="46" t="str">
        <f t="shared" si="5"/>
        <v/>
      </c>
      <c r="D102" s="46" t="str">
        <f t="shared" si="6"/>
        <v/>
      </c>
    </row>
    <row r="103" spans="3:4" ht="15.75" x14ac:dyDescent="0.25">
      <c r="C103" s="46" t="str">
        <f t="shared" si="5"/>
        <v/>
      </c>
      <c r="D103" s="46" t="str">
        <f t="shared" si="6"/>
        <v/>
      </c>
    </row>
    <row r="104" spans="3:4" ht="15.75" x14ac:dyDescent="0.25">
      <c r="C104" s="46" t="str">
        <f t="shared" si="5"/>
        <v/>
      </c>
      <c r="D104" s="46" t="str">
        <f t="shared" si="6"/>
        <v/>
      </c>
    </row>
    <row r="105" spans="3:4" ht="15.75" x14ac:dyDescent="0.25">
      <c r="C105" s="46" t="str">
        <f t="shared" si="5"/>
        <v/>
      </c>
      <c r="D105" s="46" t="str">
        <f t="shared" si="6"/>
        <v/>
      </c>
    </row>
    <row r="106" spans="3:4" ht="15.75" x14ac:dyDescent="0.25">
      <c r="C106" s="46" t="str">
        <f t="shared" si="5"/>
        <v/>
      </c>
      <c r="D106" s="46" t="str">
        <f t="shared" si="6"/>
        <v/>
      </c>
    </row>
    <row r="107" spans="3:4" ht="15.75" x14ac:dyDescent="0.25">
      <c r="C107" s="46" t="str">
        <f t="shared" si="5"/>
        <v/>
      </c>
      <c r="D107" s="46" t="str">
        <f t="shared" si="6"/>
        <v/>
      </c>
    </row>
    <row r="108" spans="3:4" ht="15.75" x14ac:dyDescent="0.25">
      <c r="C108" s="46" t="str">
        <f t="shared" si="5"/>
        <v/>
      </c>
      <c r="D108" s="46" t="str">
        <f t="shared" si="6"/>
        <v/>
      </c>
    </row>
    <row r="109" spans="3:4" ht="15.75" x14ac:dyDescent="0.25">
      <c r="C109" s="46" t="str">
        <f t="shared" si="5"/>
        <v/>
      </c>
      <c r="D109" s="46" t="str">
        <f t="shared" si="6"/>
        <v/>
      </c>
    </row>
    <row r="110" spans="3:4" ht="15.75" x14ac:dyDescent="0.25">
      <c r="C110" s="46" t="str">
        <f t="shared" si="5"/>
        <v/>
      </c>
      <c r="D110" s="46" t="str">
        <f t="shared" si="6"/>
        <v/>
      </c>
    </row>
    <row r="111" spans="3:4" ht="15.75" x14ac:dyDescent="0.25">
      <c r="C111" s="46" t="str">
        <f t="shared" si="5"/>
        <v/>
      </c>
      <c r="D111" s="46" t="str">
        <f t="shared" si="6"/>
        <v/>
      </c>
    </row>
    <row r="112" spans="3:4" ht="15.75" x14ac:dyDescent="0.25">
      <c r="C112" s="46" t="str">
        <f t="shared" si="5"/>
        <v/>
      </c>
      <c r="D112" s="46" t="str">
        <f t="shared" si="6"/>
        <v/>
      </c>
    </row>
    <row r="113" spans="3:4" ht="15.75" x14ac:dyDescent="0.25">
      <c r="C113" s="46" t="str">
        <f t="shared" si="5"/>
        <v/>
      </c>
      <c r="D113" s="46" t="str">
        <f t="shared" si="6"/>
        <v/>
      </c>
    </row>
    <row r="114" spans="3:4" ht="15.75" x14ac:dyDescent="0.25">
      <c r="C114" s="46" t="str">
        <f t="shared" si="5"/>
        <v/>
      </c>
      <c r="D114" s="46" t="str">
        <f t="shared" si="6"/>
        <v/>
      </c>
    </row>
    <row r="115" spans="3:4" ht="15.75" x14ac:dyDescent="0.25">
      <c r="C115" s="46" t="str">
        <f t="shared" si="5"/>
        <v/>
      </c>
      <c r="D115" s="46" t="str">
        <f t="shared" si="6"/>
        <v/>
      </c>
    </row>
    <row r="116" spans="3:4" ht="15.75" x14ac:dyDescent="0.25">
      <c r="C116" s="46" t="str">
        <f t="shared" si="5"/>
        <v/>
      </c>
      <c r="D116" s="46" t="str">
        <f t="shared" si="6"/>
        <v/>
      </c>
    </row>
    <row r="117" spans="3:4" ht="15.75" x14ac:dyDescent="0.25">
      <c r="C117" s="46" t="str">
        <f t="shared" si="5"/>
        <v/>
      </c>
      <c r="D117" s="46" t="str">
        <f t="shared" si="6"/>
        <v/>
      </c>
    </row>
    <row r="118" spans="3:4" ht="15.75" x14ac:dyDescent="0.25">
      <c r="C118" s="46" t="str">
        <f t="shared" si="5"/>
        <v/>
      </c>
      <c r="D118" s="46" t="str">
        <f t="shared" si="6"/>
        <v/>
      </c>
    </row>
    <row r="119" spans="3:4" ht="15.75" x14ac:dyDescent="0.25">
      <c r="C119" s="46" t="str">
        <f t="shared" si="5"/>
        <v/>
      </c>
      <c r="D119" s="46" t="str">
        <f t="shared" si="6"/>
        <v/>
      </c>
    </row>
    <row r="120" spans="3:4" ht="15.75" x14ac:dyDescent="0.25">
      <c r="C120" s="46" t="str">
        <f t="shared" si="5"/>
        <v/>
      </c>
      <c r="D120" s="46" t="str">
        <f t="shared" si="6"/>
        <v/>
      </c>
    </row>
    <row r="121" spans="3:4" ht="15.75" x14ac:dyDescent="0.25">
      <c r="C121" s="46" t="str">
        <f t="shared" si="5"/>
        <v/>
      </c>
      <c r="D121" s="46" t="str">
        <f t="shared" si="6"/>
        <v/>
      </c>
    </row>
    <row r="122" spans="3:4" ht="15.75" x14ac:dyDescent="0.25">
      <c r="C122" s="46" t="str">
        <f t="shared" si="5"/>
        <v/>
      </c>
      <c r="D122" s="46" t="str">
        <f t="shared" si="6"/>
        <v/>
      </c>
    </row>
    <row r="123" spans="3:4" ht="15.75" x14ac:dyDescent="0.25">
      <c r="C123" s="46" t="str">
        <f t="shared" si="5"/>
        <v/>
      </c>
      <c r="D123" s="46" t="str">
        <f t="shared" si="6"/>
        <v/>
      </c>
    </row>
    <row r="124" spans="3:4" ht="15.75" x14ac:dyDescent="0.25">
      <c r="C124" s="46" t="str">
        <f t="shared" si="5"/>
        <v/>
      </c>
      <c r="D124" s="46" t="str">
        <f t="shared" si="6"/>
        <v/>
      </c>
    </row>
    <row r="125" spans="3:4" ht="15.75" x14ac:dyDescent="0.25">
      <c r="C125" s="46" t="str">
        <f t="shared" si="5"/>
        <v/>
      </c>
      <c r="D125" s="46" t="str">
        <f t="shared" si="6"/>
        <v/>
      </c>
    </row>
    <row r="126" spans="3:4" ht="15.75" x14ac:dyDescent="0.25">
      <c r="C126" s="46" t="str">
        <f t="shared" si="5"/>
        <v/>
      </c>
      <c r="D126" s="46" t="str">
        <f t="shared" si="6"/>
        <v/>
      </c>
    </row>
    <row r="127" spans="3:4" ht="15.75" x14ac:dyDescent="0.25">
      <c r="C127" s="46" t="str">
        <f t="shared" si="5"/>
        <v/>
      </c>
      <c r="D127" s="46" t="str">
        <f t="shared" si="6"/>
        <v/>
      </c>
    </row>
    <row r="128" spans="3:4" ht="15.75" x14ac:dyDescent="0.25">
      <c r="C128" s="46" t="str">
        <f t="shared" si="5"/>
        <v/>
      </c>
      <c r="D128" s="46" t="str">
        <f t="shared" si="6"/>
        <v/>
      </c>
    </row>
    <row r="129" spans="3:4" ht="15.75" x14ac:dyDescent="0.25">
      <c r="C129" s="46" t="str">
        <f t="shared" si="5"/>
        <v/>
      </c>
      <c r="D129" s="46" t="str">
        <f t="shared" si="6"/>
        <v/>
      </c>
    </row>
    <row r="130" spans="3:4" ht="15.75" x14ac:dyDescent="0.25">
      <c r="C130" s="46" t="str">
        <f t="shared" si="5"/>
        <v/>
      </c>
      <c r="D130" s="46" t="str">
        <f t="shared" si="6"/>
        <v/>
      </c>
    </row>
    <row r="131" spans="3:4" ht="15.75" x14ac:dyDescent="0.25">
      <c r="C131" s="46" t="str">
        <f t="shared" si="5"/>
        <v/>
      </c>
      <c r="D131" s="46" t="str">
        <f t="shared" si="6"/>
        <v/>
      </c>
    </row>
    <row r="132" spans="3:4" ht="15.75" x14ac:dyDescent="0.25">
      <c r="C132" s="46" t="str">
        <f t="shared" si="5"/>
        <v/>
      </c>
      <c r="D132" s="46" t="str">
        <f t="shared" si="6"/>
        <v/>
      </c>
    </row>
    <row r="133" spans="3:4" ht="15.75" x14ac:dyDescent="0.25">
      <c r="C133" s="46" t="str">
        <f t="shared" si="5"/>
        <v/>
      </c>
      <c r="D133" s="46" t="str">
        <f t="shared" si="6"/>
        <v/>
      </c>
    </row>
    <row r="134" spans="3:4" ht="15.75" x14ac:dyDescent="0.25">
      <c r="C134" s="46" t="str">
        <f t="shared" si="5"/>
        <v/>
      </c>
      <c r="D134" s="46" t="str">
        <f t="shared" si="6"/>
        <v/>
      </c>
    </row>
    <row r="135" spans="3:4" ht="15.75" x14ac:dyDescent="0.25">
      <c r="C135" s="46" t="str">
        <f t="shared" si="5"/>
        <v/>
      </c>
      <c r="D135" s="46" t="str">
        <f t="shared" si="6"/>
        <v/>
      </c>
    </row>
    <row r="136" spans="3:4" ht="15.75" x14ac:dyDescent="0.25">
      <c r="C136" s="46" t="str">
        <f t="shared" si="5"/>
        <v/>
      </c>
      <c r="D136" s="46" t="str">
        <f t="shared" si="6"/>
        <v/>
      </c>
    </row>
    <row r="137" spans="3:4" ht="15.75" x14ac:dyDescent="0.25">
      <c r="C137" s="46" t="str">
        <f t="shared" si="5"/>
        <v/>
      </c>
      <c r="D137" s="46" t="str">
        <f t="shared" si="6"/>
        <v/>
      </c>
    </row>
    <row r="138" spans="3:4" ht="15.75" x14ac:dyDescent="0.25">
      <c r="C138" s="46" t="str">
        <f t="shared" si="5"/>
        <v/>
      </c>
      <c r="D138" s="46" t="str">
        <f t="shared" si="6"/>
        <v/>
      </c>
    </row>
    <row r="139" spans="3:4" ht="15.75" x14ac:dyDescent="0.25">
      <c r="C139" s="46" t="str">
        <f t="shared" ref="C139:C202" si="7">IF(COUNTIF(E139:BA139,"YES")=0,"",COUNTIF(E139:BA139,"YES"))</f>
        <v/>
      </c>
      <c r="D139" s="46" t="str">
        <f t="shared" si="6"/>
        <v/>
      </c>
    </row>
    <row r="140" spans="3:4" ht="15.75" x14ac:dyDescent="0.25">
      <c r="C140" s="46" t="str">
        <f t="shared" si="7"/>
        <v/>
      </c>
      <c r="D140" s="46" t="str">
        <f t="shared" si="6"/>
        <v/>
      </c>
    </row>
    <row r="141" spans="3:4" ht="15.75" x14ac:dyDescent="0.25">
      <c r="C141" s="46" t="str">
        <f t="shared" si="7"/>
        <v/>
      </c>
      <c r="D141" s="46" t="str">
        <f t="shared" si="6"/>
        <v/>
      </c>
    </row>
    <row r="142" spans="3:4" ht="15.75" x14ac:dyDescent="0.25">
      <c r="C142" s="46" t="str">
        <f t="shared" si="7"/>
        <v/>
      </c>
      <c r="D142" s="46" t="str">
        <f t="shared" si="6"/>
        <v/>
      </c>
    </row>
    <row r="143" spans="3:4" ht="15.75" x14ac:dyDescent="0.25">
      <c r="C143" s="46" t="str">
        <f t="shared" si="7"/>
        <v/>
      </c>
      <c r="D143" s="46" t="str">
        <f t="shared" si="6"/>
        <v/>
      </c>
    </row>
    <row r="144" spans="3:4" ht="15.75" x14ac:dyDescent="0.25">
      <c r="C144" s="46" t="str">
        <f t="shared" si="7"/>
        <v/>
      </c>
      <c r="D144" s="46" t="str">
        <f t="shared" ref="D144:D207" si="8">IF(COUNTIF(E144:BA144,"NO")=0,"",COUNTIF(E144:BA144,"NO"))</f>
        <v/>
      </c>
    </row>
    <row r="145" spans="3:4" ht="15.75" x14ac:dyDescent="0.25">
      <c r="C145" s="46" t="str">
        <f t="shared" si="7"/>
        <v/>
      </c>
      <c r="D145" s="46" t="str">
        <f t="shared" si="8"/>
        <v/>
      </c>
    </row>
    <row r="146" spans="3:4" ht="15.75" x14ac:dyDescent="0.25">
      <c r="C146" s="46" t="str">
        <f t="shared" si="7"/>
        <v/>
      </c>
      <c r="D146" s="46" t="str">
        <f t="shared" si="8"/>
        <v/>
      </c>
    </row>
    <row r="147" spans="3:4" ht="15.75" x14ac:dyDescent="0.25">
      <c r="C147" s="46" t="str">
        <f t="shared" si="7"/>
        <v/>
      </c>
      <c r="D147" s="46" t="str">
        <f t="shared" si="8"/>
        <v/>
      </c>
    </row>
    <row r="148" spans="3:4" ht="15.75" x14ac:dyDescent="0.25">
      <c r="C148" s="46" t="str">
        <f t="shared" si="7"/>
        <v/>
      </c>
      <c r="D148" s="46" t="str">
        <f t="shared" si="8"/>
        <v/>
      </c>
    </row>
    <row r="149" spans="3:4" ht="15.75" x14ac:dyDescent="0.25">
      <c r="C149" s="46" t="str">
        <f t="shared" si="7"/>
        <v/>
      </c>
      <c r="D149" s="46" t="str">
        <f t="shared" si="8"/>
        <v/>
      </c>
    </row>
    <row r="150" spans="3:4" ht="15.75" x14ac:dyDescent="0.25">
      <c r="C150" s="46" t="str">
        <f t="shared" si="7"/>
        <v/>
      </c>
      <c r="D150" s="46" t="str">
        <f t="shared" si="8"/>
        <v/>
      </c>
    </row>
    <row r="151" spans="3:4" ht="15.75" x14ac:dyDescent="0.25">
      <c r="C151" s="46" t="str">
        <f t="shared" si="7"/>
        <v/>
      </c>
      <c r="D151" s="46" t="str">
        <f t="shared" si="8"/>
        <v/>
      </c>
    </row>
    <row r="152" spans="3:4" ht="15.75" x14ac:dyDescent="0.25">
      <c r="C152" s="46" t="str">
        <f t="shared" si="7"/>
        <v/>
      </c>
      <c r="D152" s="46" t="str">
        <f t="shared" si="8"/>
        <v/>
      </c>
    </row>
    <row r="153" spans="3:4" ht="15.75" x14ac:dyDescent="0.25">
      <c r="C153" s="46" t="str">
        <f t="shared" si="7"/>
        <v/>
      </c>
      <c r="D153" s="46" t="str">
        <f t="shared" si="8"/>
        <v/>
      </c>
    </row>
    <row r="154" spans="3:4" ht="15.75" x14ac:dyDescent="0.25">
      <c r="C154" s="46" t="str">
        <f t="shared" si="7"/>
        <v/>
      </c>
      <c r="D154" s="46" t="str">
        <f t="shared" si="8"/>
        <v/>
      </c>
    </row>
    <row r="155" spans="3:4" ht="15.75" x14ac:dyDescent="0.25">
      <c r="C155" s="46" t="str">
        <f t="shared" si="7"/>
        <v/>
      </c>
      <c r="D155" s="46" t="str">
        <f t="shared" si="8"/>
        <v/>
      </c>
    </row>
    <row r="156" spans="3:4" ht="15.75" x14ac:dyDescent="0.25">
      <c r="C156" s="46" t="str">
        <f t="shared" si="7"/>
        <v/>
      </c>
      <c r="D156" s="46" t="str">
        <f t="shared" si="8"/>
        <v/>
      </c>
    </row>
    <row r="157" spans="3:4" ht="15.75" x14ac:dyDescent="0.25">
      <c r="C157" s="46" t="str">
        <f t="shared" si="7"/>
        <v/>
      </c>
      <c r="D157" s="46" t="str">
        <f t="shared" si="8"/>
        <v/>
      </c>
    </row>
    <row r="158" spans="3:4" ht="15.75" x14ac:dyDescent="0.25">
      <c r="C158" s="46" t="str">
        <f t="shared" si="7"/>
        <v/>
      </c>
      <c r="D158" s="46" t="str">
        <f t="shared" si="8"/>
        <v/>
      </c>
    </row>
    <row r="159" spans="3:4" ht="15.75" x14ac:dyDescent="0.25">
      <c r="C159" s="46" t="str">
        <f t="shared" si="7"/>
        <v/>
      </c>
      <c r="D159" s="46" t="str">
        <f t="shared" si="8"/>
        <v/>
      </c>
    </row>
    <row r="160" spans="3:4" ht="15.75" x14ac:dyDescent="0.25">
      <c r="C160" s="46" t="str">
        <f t="shared" si="7"/>
        <v/>
      </c>
      <c r="D160" s="46" t="str">
        <f t="shared" si="8"/>
        <v/>
      </c>
    </row>
    <row r="161" spans="3:4" ht="15.75" x14ac:dyDescent="0.25">
      <c r="C161" s="46" t="str">
        <f t="shared" si="7"/>
        <v/>
      </c>
      <c r="D161" s="46" t="str">
        <f t="shared" si="8"/>
        <v/>
      </c>
    </row>
    <row r="162" spans="3:4" ht="15.75" x14ac:dyDescent="0.25">
      <c r="C162" s="46" t="str">
        <f t="shared" si="7"/>
        <v/>
      </c>
      <c r="D162" s="46" t="str">
        <f t="shared" si="8"/>
        <v/>
      </c>
    </row>
    <row r="163" spans="3:4" ht="15.75" x14ac:dyDescent="0.25">
      <c r="C163" s="46" t="str">
        <f t="shared" si="7"/>
        <v/>
      </c>
      <c r="D163" s="46" t="str">
        <f t="shared" si="8"/>
        <v/>
      </c>
    </row>
    <row r="164" spans="3:4" ht="15.75" x14ac:dyDescent="0.25">
      <c r="C164" s="46" t="str">
        <f t="shared" si="7"/>
        <v/>
      </c>
      <c r="D164" s="46" t="str">
        <f t="shared" si="8"/>
        <v/>
      </c>
    </row>
    <row r="165" spans="3:4" ht="15.75" x14ac:dyDescent="0.25">
      <c r="C165" s="46" t="str">
        <f t="shared" si="7"/>
        <v/>
      </c>
      <c r="D165" s="46" t="str">
        <f t="shared" si="8"/>
        <v/>
      </c>
    </row>
    <row r="166" spans="3:4" ht="15.75" x14ac:dyDescent="0.25">
      <c r="C166" s="46" t="str">
        <f t="shared" si="7"/>
        <v/>
      </c>
      <c r="D166" s="46" t="str">
        <f t="shared" si="8"/>
        <v/>
      </c>
    </row>
    <row r="167" spans="3:4" ht="15.75" x14ac:dyDescent="0.25">
      <c r="C167" s="46" t="str">
        <f t="shared" si="7"/>
        <v/>
      </c>
      <c r="D167" s="46" t="str">
        <f t="shared" si="8"/>
        <v/>
      </c>
    </row>
    <row r="168" spans="3:4" ht="15.75" x14ac:dyDescent="0.25">
      <c r="C168" s="46" t="str">
        <f t="shared" si="7"/>
        <v/>
      </c>
      <c r="D168" s="46" t="str">
        <f t="shared" si="8"/>
        <v/>
      </c>
    </row>
    <row r="169" spans="3:4" ht="15.75" x14ac:dyDescent="0.25">
      <c r="C169" s="46" t="str">
        <f t="shared" si="7"/>
        <v/>
      </c>
      <c r="D169" s="46" t="str">
        <f t="shared" si="8"/>
        <v/>
      </c>
    </row>
    <row r="170" spans="3:4" ht="15.75" x14ac:dyDescent="0.25">
      <c r="C170" s="46" t="str">
        <f t="shared" si="7"/>
        <v/>
      </c>
      <c r="D170" s="46" t="str">
        <f t="shared" si="8"/>
        <v/>
      </c>
    </row>
    <row r="171" spans="3:4" ht="15.75" x14ac:dyDescent="0.25">
      <c r="C171" s="46" t="str">
        <f t="shared" si="7"/>
        <v/>
      </c>
      <c r="D171" s="46" t="str">
        <f t="shared" si="8"/>
        <v/>
      </c>
    </row>
    <row r="172" spans="3:4" ht="15.75" x14ac:dyDescent="0.25">
      <c r="C172" s="46" t="str">
        <f t="shared" si="7"/>
        <v/>
      </c>
      <c r="D172" s="46" t="str">
        <f t="shared" si="8"/>
        <v/>
      </c>
    </row>
    <row r="173" spans="3:4" ht="15.75" x14ac:dyDescent="0.25">
      <c r="C173" s="46" t="str">
        <f t="shared" si="7"/>
        <v/>
      </c>
      <c r="D173" s="46" t="str">
        <f t="shared" si="8"/>
        <v/>
      </c>
    </row>
    <row r="174" spans="3:4" ht="15.75" x14ac:dyDescent="0.25">
      <c r="C174" s="46" t="str">
        <f t="shared" si="7"/>
        <v/>
      </c>
      <c r="D174" s="46" t="str">
        <f t="shared" si="8"/>
        <v/>
      </c>
    </row>
    <row r="175" spans="3:4" ht="15.75" x14ac:dyDescent="0.25">
      <c r="C175" s="46" t="str">
        <f t="shared" si="7"/>
        <v/>
      </c>
      <c r="D175" s="46" t="str">
        <f t="shared" si="8"/>
        <v/>
      </c>
    </row>
    <row r="176" spans="3:4" ht="15.75" x14ac:dyDescent="0.25">
      <c r="C176" s="46" t="str">
        <f t="shared" si="7"/>
        <v/>
      </c>
      <c r="D176" s="46" t="str">
        <f t="shared" si="8"/>
        <v/>
      </c>
    </row>
    <row r="177" spans="3:4" ht="15.75" x14ac:dyDescent="0.25">
      <c r="C177" s="46" t="str">
        <f t="shared" si="7"/>
        <v/>
      </c>
      <c r="D177" s="46" t="str">
        <f t="shared" si="8"/>
        <v/>
      </c>
    </row>
    <row r="178" spans="3:4" ht="15.75" x14ac:dyDescent="0.25">
      <c r="C178" s="46" t="str">
        <f t="shared" si="7"/>
        <v/>
      </c>
      <c r="D178" s="46" t="str">
        <f t="shared" si="8"/>
        <v/>
      </c>
    </row>
    <row r="179" spans="3:4" ht="15.75" x14ac:dyDescent="0.25">
      <c r="C179" s="46" t="str">
        <f t="shared" si="7"/>
        <v/>
      </c>
      <c r="D179" s="46" t="str">
        <f t="shared" si="8"/>
        <v/>
      </c>
    </row>
    <row r="180" spans="3:4" ht="15.75" x14ac:dyDescent="0.25">
      <c r="C180" s="46" t="str">
        <f t="shared" si="7"/>
        <v/>
      </c>
      <c r="D180" s="46" t="str">
        <f t="shared" si="8"/>
        <v/>
      </c>
    </row>
    <row r="181" spans="3:4" ht="15.75" x14ac:dyDescent="0.25">
      <c r="C181" s="46" t="str">
        <f t="shared" si="7"/>
        <v/>
      </c>
      <c r="D181" s="46" t="str">
        <f t="shared" si="8"/>
        <v/>
      </c>
    </row>
    <row r="182" spans="3:4" ht="15.75" x14ac:dyDescent="0.25">
      <c r="C182" s="46" t="str">
        <f t="shared" si="7"/>
        <v/>
      </c>
      <c r="D182" s="46" t="str">
        <f t="shared" si="8"/>
        <v/>
      </c>
    </row>
    <row r="183" spans="3:4" ht="15.75" x14ac:dyDescent="0.25">
      <c r="C183" s="46" t="str">
        <f t="shared" si="7"/>
        <v/>
      </c>
      <c r="D183" s="46" t="str">
        <f t="shared" si="8"/>
        <v/>
      </c>
    </row>
    <row r="184" spans="3:4" ht="15.75" x14ac:dyDescent="0.25">
      <c r="C184" s="46" t="str">
        <f t="shared" si="7"/>
        <v/>
      </c>
      <c r="D184" s="46" t="str">
        <f t="shared" si="8"/>
        <v/>
      </c>
    </row>
    <row r="185" spans="3:4" ht="15.75" x14ac:dyDescent="0.25">
      <c r="C185" s="46" t="str">
        <f t="shared" si="7"/>
        <v/>
      </c>
      <c r="D185" s="46" t="str">
        <f t="shared" si="8"/>
        <v/>
      </c>
    </row>
    <row r="186" spans="3:4" ht="15.75" x14ac:dyDescent="0.25">
      <c r="C186" s="46" t="str">
        <f t="shared" si="7"/>
        <v/>
      </c>
      <c r="D186" s="46" t="str">
        <f t="shared" si="8"/>
        <v/>
      </c>
    </row>
    <row r="187" spans="3:4" ht="15.75" x14ac:dyDescent="0.25">
      <c r="C187" s="46" t="str">
        <f t="shared" si="7"/>
        <v/>
      </c>
      <c r="D187" s="46" t="str">
        <f t="shared" si="8"/>
        <v/>
      </c>
    </row>
    <row r="188" spans="3:4" ht="15.75" x14ac:dyDescent="0.25">
      <c r="C188" s="46" t="str">
        <f t="shared" si="7"/>
        <v/>
      </c>
      <c r="D188" s="46" t="str">
        <f t="shared" si="8"/>
        <v/>
      </c>
    </row>
    <row r="189" spans="3:4" ht="15.75" x14ac:dyDescent="0.25">
      <c r="C189" s="46" t="str">
        <f t="shared" si="7"/>
        <v/>
      </c>
      <c r="D189" s="46" t="str">
        <f t="shared" si="8"/>
        <v/>
      </c>
    </row>
    <row r="190" spans="3:4" ht="15.75" x14ac:dyDescent="0.25">
      <c r="C190" s="46" t="str">
        <f t="shared" si="7"/>
        <v/>
      </c>
      <c r="D190" s="46" t="str">
        <f t="shared" si="8"/>
        <v/>
      </c>
    </row>
    <row r="191" spans="3:4" ht="15.75" x14ac:dyDescent="0.25">
      <c r="C191" s="46" t="str">
        <f t="shared" si="7"/>
        <v/>
      </c>
      <c r="D191" s="46" t="str">
        <f t="shared" si="8"/>
        <v/>
      </c>
    </row>
    <row r="192" spans="3:4" ht="15.75" x14ac:dyDescent="0.25">
      <c r="C192" s="46" t="str">
        <f t="shared" si="7"/>
        <v/>
      </c>
      <c r="D192" s="46" t="str">
        <f t="shared" si="8"/>
        <v/>
      </c>
    </row>
    <row r="193" spans="3:4" ht="15.75" x14ac:dyDescent="0.25">
      <c r="C193" s="46" t="str">
        <f t="shared" si="7"/>
        <v/>
      </c>
      <c r="D193" s="46" t="str">
        <f t="shared" si="8"/>
        <v/>
      </c>
    </row>
    <row r="194" spans="3:4" ht="15.75" x14ac:dyDescent="0.25">
      <c r="C194" s="46" t="str">
        <f t="shared" si="7"/>
        <v/>
      </c>
      <c r="D194" s="46" t="str">
        <f t="shared" si="8"/>
        <v/>
      </c>
    </row>
    <row r="195" spans="3:4" ht="15.75" x14ac:dyDescent="0.25">
      <c r="C195" s="46" t="str">
        <f t="shared" si="7"/>
        <v/>
      </c>
      <c r="D195" s="46" t="str">
        <f t="shared" si="8"/>
        <v/>
      </c>
    </row>
    <row r="196" spans="3:4" ht="15.75" x14ac:dyDescent="0.25">
      <c r="C196" s="46" t="str">
        <f t="shared" si="7"/>
        <v/>
      </c>
      <c r="D196" s="46" t="str">
        <f t="shared" si="8"/>
        <v/>
      </c>
    </row>
    <row r="197" spans="3:4" ht="15.75" x14ac:dyDescent="0.25">
      <c r="C197" s="46" t="str">
        <f t="shared" si="7"/>
        <v/>
      </c>
      <c r="D197" s="46" t="str">
        <f t="shared" si="8"/>
        <v/>
      </c>
    </row>
    <row r="198" spans="3:4" ht="15.75" x14ac:dyDescent="0.25">
      <c r="C198" s="46" t="str">
        <f t="shared" si="7"/>
        <v/>
      </c>
      <c r="D198" s="46" t="str">
        <f t="shared" si="8"/>
        <v/>
      </c>
    </row>
    <row r="199" spans="3:4" ht="15.75" x14ac:dyDescent="0.25">
      <c r="C199" s="46" t="str">
        <f t="shared" si="7"/>
        <v/>
      </c>
      <c r="D199" s="46" t="str">
        <f t="shared" si="8"/>
        <v/>
      </c>
    </row>
    <row r="200" spans="3:4" ht="15.75" x14ac:dyDescent="0.25">
      <c r="C200" s="46" t="str">
        <f t="shared" si="7"/>
        <v/>
      </c>
      <c r="D200" s="46" t="str">
        <f t="shared" si="8"/>
        <v/>
      </c>
    </row>
    <row r="201" spans="3:4" ht="15.75" x14ac:dyDescent="0.25">
      <c r="C201" s="46" t="str">
        <f t="shared" si="7"/>
        <v/>
      </c>
      <c r="D201" s="46" t="str">
        <f t="shared" si="8"/>
        <v/>
      </c>
    </row>
    <row r="202" spans="3:4" ht="15.75" x14ac:dyDescent="0.25">
      <c r="C202" s="46" t="str">
        <f t="shared" si="7"/>
        <v/>
      </c>
      <c r="D202" s="46" t="str">
        <f t="shared" si="8"/>
        <v/>
      </c>
    </row>
    <row r="203" spans="3:4" ht="15.75" x14ac:dyDescent="0.25">
      <c r="C203" s="46" t="str">
        <f t="shared" ref="C203:C266" si="9">IF(COUNTIF(E203:BA203,"YES")=0,"",COUNTIF(E203:BA203,"YES"))</f>
        <v/>
      </c>
      <c r="D203" s="46" t="str">
        <f t="shared" si="8"/>
        <v/>
      </c>
    </row>
    <row r="204" spans="3:4" ht="15.75" x14ac:dyDescent="0.25">
      <c r="C204" s="46" t="str">
        <f t="shared" si="9"/>
        <v/>
      </c>
      <c r="D204" s="46" t="str">
        <f t="shared" si="8"/>
        <v/>
      </c>
    </row>
    <row r="205" spans="3:4" ht="15.75" x14ac:dyDescent="0.25">
      <c r="C205" s="46" t="str">
        <f t="shared" si="9"/>
        <v/>
      </c>
      <c r="D205" s="46" t="str">
        <f t="shared" si="8"/>
        <v/>
      </c>
    </row>
    <row r="206" spans="3:4" ht="15.75" x14ac:dyDescent="0.25">
      <c r="C206" s="46" t="str">
        <f t="shared" si="9"/>
        <v/>
      </c>
      <c r="D206" s="46" t="str">
        <f t="shared" si="8"/>
        <v/>
      </c>
    </row>
    <row r="207" spans="3:4" ht="15.75" x14ac:dyDescent="0.25">
      <c r="C207" s="46" t="str">
        <f t="shared" si="9"/>
        <v/>
      </c>
      <c r="D207" s="46" t="str">
        <f t="shared" si="8"/>
        <v/>
      </c>
    </row>
    <row r="208" spans="3:4" ht="15.75" x14ac:dyDescent="0.25">
      <c r="C208" s="46" t="str">
        <f t="shared" si="9"/>
        <v/>
      </c>
      <c r="D208" s="46" t="str">
        <f t="shared" ref="D208:D271" si="10">IF(COUNTIF(E208:BA208,"NO")=0,"",COUNTIF(E208:BA208,"NO"))</f>
        <v/>
      </c>
    </row>
    <row r="209" spans="3:4" ht="15.75" x14ac:dyDescent="0.25">
      <c r="C209" s="46" t="str">
        <f t="shared" si="9"/>
        <v/>
      </c>
      <c r="D209" s="46" t="str">
        <f t="shared" si="10"/>
        <v/>
      </c>
    </row>
    <row r="210" spans="3:4" ht="15.75" x14ac:dyDescent="0.25">
      <c r="C210" s="46" t="str">
        <f t="shared" si="9"/>
        <v/>
      </c>
      <c r="D210" s="46" t="str">
        <f t="shared" si="10"/>
        <v/>
      </c>
    </row>
    <row r="211" spans="3:4" ht="15.75" x14ac:dyDescent="0.25">
      <c r="C211" s="46" t="str">
        <f t="shared" si="9"/>
        <v/>
      </c>
      <c r="D211" s="46" t="str">
        <f t="shared" si="10"/>
        <v/>
      </c>
    </row>
    <row r="212" spans="3:4" ht="15.75" x14ac:dyDescent="0.25">
      <c r="C212" s="46" t="str">
        <f t="shared" si="9"/>
        <v/>
      </c>
      <c r="D212" s="46" t="str">
        <f t="shared" si="10"/>
        <v/>
      </c>
    </row>
    <row r="213" spans="3:4" ht="15.75" x14ac:dyDescent="0.25">
      <c r="C213" s="46" t="str">
        <f t="shared" si="9"/>
        <v/>
      </c>
      <c r="D213" s="46" t="str">
        <f t="shared" si="10"/>
        <v/>
      </c>
    </row>
    <row r="214" spans="3:4" ht="15.75" x14ac:dyDescent="0.25">
      <c r="C214" s="46" t="str">
        <f t="shared" si="9"/>
        <v/>
      </c>
      <c r="D214" s="46" t="str">
        <f t="shared" si="10"/>
        <v/>
      </c>
    </row>
    <row r="215" spans="3:4" ht="15.75" x14ac:dyDescent="0.25">
      <c r="C215" s="46" t="str">
        <f t="shared" si="9"/>
        <v/>
      </c>
      <c r="D215" s="46" t="str">
        <f t="shared" si="10"/>
        <v/>
      </c>
    </row>
    <row r="216" spans="3:4" ht="15.75" x14ac:dyDescent="0.25">
      <c r="C216" s="46" t="str">
        <f t="shared" si="9"/>
        <v/>
      </c>
      <c r="D216" s="46" t="str">
        <f t="shared" si="10"/>
        <v/>
      </c>
    </row>
    <row r="217" spans="3:4" ht="15.75" x14ac:dyDescent="0.25">
      <c r="C217" s="46" t="str">
        <f t="shared" si="9"/>
        <v/>
      </c>
      <c r="D217" s="46" t="str">
        <f t="shared" si="10"/>
        <v/>
      </c>
    </row>
    <row r="218" spans="3:4" ht="15.75" x14ac:dyDescent="0.25">
      <c r="C218" s="46" t="str">
        <f t="shared" si="9"/>
        <v/>
      </c>
      <c r="D218" s="46" t="str">
        <f t="shared" si="10"/>
        <v/>
      </c>
    </row>
    <row r="219" spans="3:4" ht="15.75" x14ac:dyDescent="0.25">
      <c r="C219" s="46" t="str">
        <f t="shared" si="9"/>
        <v/>
      </c>
      <c r="D219" s="46" t="str">
        <f t="shared" si="10"/>
        <v/>
      </c>
    </row>
    <row r="220" spans="3:4" ht="15.75" x14ac:dyDescent="0.25">
      <c r="C220" s="46" t="str">
        <f t="shared" si="9"/>
        <v/>
      </c>
      <c r="D220" s="46" t="str">
        <f t="shared" si="10"/>
        <v/>
      </c>
    </row>
    <row r="221" spans="3:4" ht="15.75" x14ac:dyDescent="0.25">
      <c r="C221" s="46" t="str">
        <f t="shared" si="9"/>
        <v/>
      </c>
      <c r="D221" s="46" t="str">
        <f t="shared" si="10"/>
        <v/>
      </c>
    </row>
    <row r="222" spans="3:4" ht="15.75" x14ac:dyDescent="0.25">
      <c r="C222" s="46" t="str">
        <f t="shared" si="9"/>
        <v/>
      </c>
      <c r="D222" s="46" t="str">
        <f t="shared" si="10"/>
        <v/>
      </c>
    </row>
    <row r="223" spans="3:4" ht="15.75" x14ac:dyDescent="0.25">
      <c r="C223" s="46" t="str">
        <f t="shared" si="9"/>
        <v/>
      </c>
      <c r="D223" s="46" t="str">
        <f t="shared" si="10"/>
        <v/>
      </c>
    </row>
    <row r="224" spans="3:4" ht="15.75" x14ac:dyDescent="0.25">
      <c r="C224" s="46" t="str">
        <f t="shared" si="9"/>
        <v/>
      </c>
      <c r="D224" s="46" t="str">
        <f t="shared" si="10"/>
        <v/>
      </c>
    </row>
    <row r="225" spans="3:4" ht="15.75" x14ac:dyDescent="0.25">
      <c r="C225" s="46" t="str">
        <f t="shared" si="9"/>
        <v/>
      </c>
      <c r="D225" s="46" t="str">
        <f t="shared" si="10"/>
        <v/>
      </c>
    </row>
    <row r="226" spans="3:4" ht="15.75" x14ac:dyDescent="0.25">
      <c r="C226" s="46" t="str">
        <f t="shared" si="9"/>
        <v/>
      </c>
      <c r="D226" s="46" t="str">
        <f t="shared" si="10"/>
        <v/>
      </c>
    </row>
    <row r="227" spans="3:4" ht="15.75" x14ac:dyDescent="0.25">
      <c r="C227" s="46" t="str">
        <f t="shared" si="9"/>
        <v/>
      </c>
      <c r="D227" s="46" t="str">
        <f t="shared" si="10"/>
        <v/>
      </c>
    </row>
    <row r="228" spans="3:4" ht="15.75" x14ac:dyDescent="0.25">
      <c r="C228" s="46" t="str">
        <f t="shared" si="9"/>
        <v/>
      </c>
      <c r="D228" s="46" t="str">
        <f t="shared" si="10"/>
        <v/>
      </c>
    </row>
    <row r="229" spans="3:4" ht="15.75" x14ac:dyDescent="0.25">
      <c r="C229" s="46" t="str">
        <f t="shared" si="9"/>
        <v/>
      </c>
      <c r="D229" s="46" t="str">
        <f t="shared" si="10"/>
        <v/>
      </c>
    </row>
    <row r="230" spans="3:4" ht="15.75" x14ac:dyDescent="0.25">
      <c r="C230" s="46" t="str">
        <f t="shared" si="9"/>
        <v/>
      </c>
      <c r="D230" s="46" t="str">
        <f t="shared" si="10"/>
        <v/>
      </c>
    </row>
    <row r="231" spans="3:4" ht="15.75" x14ac:dyDescent="0.25">
      <c r="C231" s="46" t="str">
        <f t="shared" si="9"/>
        <v/>
      </c>
      <c r="D231" s="46" t="str">
        <f t="shared" si="10"/>
        <v/>
      </c>
    </row>
    <row r="232" spans="3:4" ht="15.75" x14ac:dyDescent="0.25">
      <c r="C232" s="46" t="str">
        <f t="shared" si="9"/>
        <v/>
      </c>
      <c r="D232" s="46" t="str">
        <f t="shared" si="10"/>
        <v/>
      </c>
    </row>
    <row r="233" spans="3:4" ht="15.75" x14ac:dyDescent="0.25">
      <c r="C233" s="46" t="str">
        <f t="shared" si="9"/>
        <v/>
      </c>
      <c r="D233" s="46" t="str">
        <f t="shared" si="10"/>
        <v/>
      </c>
    </row>
    <row r="234" spans="3:4" ht="15.75" x14ac:dyDescent="0.25">
      <c r="C234" s="46" t="str">
        <f t="shared" si="9"/>
        <v/>
      </c>
      <c r="D234" s="46" t="str">
        <f t="shared" si="10"/>
        <v/>
      </c>
    </row>
    <row r="235" spans="3:4" ht="15.75" x14ac:dyDescent="0.25">
      <c r="C235" s="46" t="str">
        <f t="shared" si="9"/>
        <v/>
      </c>
      <c r="D235" s="46" t="str">
        <f t="shared" si="10"/>
        <v/>
      </c>
    </row>
    <row r="236" spans="3:4" ht="15.75" x14ac:dyDescent="0.25">
      <c r="C236" s="46" t="str">
        <f t="shared" si="9"/>
        <v/>
      </c>
      <c r="D236" s="46" t="str">
        <f t="shared" si="10"/>
        <v/>
      </c>
    </row>
    <row r="237" spans="3:4" ht="15.75" x14ac:dyDescent="0.25">
      <c r="C237" s="46" t="str">
        <f t="shared" si="9"/>
        <v/>
      </c>
      <c r="D237" s="46" t="str">
        <f t="shared" si="10"/>
        <v/>
      </c>
    </row>
    <row r="238" spans="3:4" ht="15.75" x14ac:dyDescent="0.25">
      <c r="C238" s="46" t="str">
        <f t="shared" si="9"/>
        <v/>
      </c>
      <c r="D238" s="46" t="str">
        <f t="shared" si="10"/>
        <v/>
      </c>
    </row>
    <row r="239" spans="3:4" ht="15.75" x14ac:dyDescent="0.25">
      <c r="C239" s="46" t="str">
        <f t="shared" si="9"/>
        <v/>
      </c>
      <c r="D239" s="46" t="str">
        <f t="shared" si="10"/>
        <v/>
      </c>
    </row>
    <row r="240" spans="3:4" ht="15.75" x14ac:dyDescent="0.25">
      <c r="C240" s="46" t="str">
        <f t="shared" si="9"/>
        <v/>
      </c>
      <c r="D240" s="46" t="str">
        <f t="shared" si="10"/>
        <v/>
      </c>
    </row>
    <row r="241" spans="3:4" ht="15.75" x14ac:dyDescent="0.25">
      <c r="C241" s="46" t="str">
        <f t="shared" si="9"/>
        <v/>
      </c>
      <c r="D241" s="46" t="str">
        <f t="shared" si="10"/>
        <v/>
      </c>
    </row>
    <row r="242" spans="3:4" ht="15.75" x14ac:dyDescent="0.25">
      <c r="C242" s="46" t="str">
        <f t="shared" si="9"/>
        <v/>
      </c>
      <c r="D242" s="46" t="str">
        <f t="shared" si="10"/>
        <v/>
      </c>
    </row>
    <row r="243" spans="3:4" ht="15.75" x14ac:dyDescent="0.25">
      <c r="C243" s="46" t="str">
        <f t="shared" si="9"/>
        <v/>
      </c>
      <c r="D243" s="46" t="str">
        <f t="shared" si="10"/>
        <v/>
      </c>
    </row>
    <row r="244" spans="3:4" ht="15.75" x14ac:dyDescent="0.25">
      <c r="C244" s="46" t="str">
        <f t="shared" si="9"/>
        <v/>
      </c>
      <c r="D244" s="46" t="str">
        <f t="shared" si="10"/>
        <v/>
      </c>
    </row>
    <row r="245" spans="3:4" ht="15.75" x14ac:dyDescent="0.25">
      <c r="C245" s="46" t="str">
        <f t="shared" si="9"/>
        <v/>
      </c>
      <c r="D245" s="46" t="str">
        <f t="shared" si="10"/>
        <v/>
      </c>
    </row>
    <row r="246" spans="3:4" ht="15.75" x14ac:dyDescent="0.25">
      <c r="C246" s="46" t="str">
        <f t="shared" si="9"/>
        <v/>
      </c>
      <c r="D246" s="46" t="str">
        <f t="shared" si="10"/>
        <v/>
      </c>
    </row>
    <row r="247" spans="3:4" ht="15.75" x14ac:dyDescent="0.25">
      <c r="C247" s="46" t="str">
        <f t="shared" si="9"/>
        <v/>
      </c>
      <c r="D247" s="46" t="str">
        <f t="shared" si="10"/>
        <v/>
      </c>
    </row>
    <row r="248" spans="3:4" ht="15.75" x14ac:dyDescent="0.25">
      <c r="C248" s="46" t="str">
        <f t="shared" si="9"/>
        <v/>
      </c>
      <c r="D248" s="46" t="str">
        <f t="shared" si="10"/>
        <v/>
      </c>
    </row>
    <row r="249" spans="3:4" ht="15.75" x14ac:dyDescent="0.25">
      <c r="C249" s="46" t="str">
        <f t="shared" si="9"/>
        <v/>
      </c>
      <c r="D249" s="46" t="str">
        <f t="shared" si="10"/>
        <v/>
      </c>
    </row>
    <row r="250" spans="3:4" ht="15.75" x14ac:dyDescent="0.25">
      <c r="C250" s="46" t="str">
        <f t="shared" si="9"/>
        <v/>
      </c>
      <c r="D250" s="46" t="str">
        <f t="shared" si="10"/>
        <v/>
      </c>
    </row>
    <row r="251" spans="3:4" ht="15.75" x14ac:dyDescent="0.25">
      <c r="C251" s="46" t="str">
        <f t="shared" si="9"/>
        <v/>
      </c>
      <c r="D251" s="46" t="str">
        <f t="shared" si="10"/>
        <v/>
      </c>
    </row>
    <row r="252" spans="3:4" ht="15.75" x14ac:dyDescent="0.25">
      <c r="C252" s="46" t="str">
        <f t="shared" si="9"/>
        <v/>
      </c>
      <c r="D252" s="46" t="str">
        <f t="shared" si="10"/>
        <v/>
      </c>
    </row>
    <row r="253" spans="3:4" ht="15.75" x14ac:dyDescent="0.25">
      <c r="C253" s="46" t="str">
        <f t="shared" si="9"/>
        <v/>
      </c>
      <c r="D253" s="46" t="str">
        <f t="shared" si="10"/>
        <v/>
      </c>
    </row>
    <row r="254" spans="3:4" ht="15.75" x14ac:dyDescent="0.25">
      <c r="C254" s="46" t="str">
        <f t="shared" si="9"/>
        <v/>
      </c>
      <c r="D254" s="46" t="str">
        <f t="shared" si="10"/>
        <v/>
      </c>
    </row>
    <row r="255" spans="3:4" ht="15.75" x14ac:dyDescent="0.25">
      <c r="C255" s="46" t="str">
        <f t="shared" si="9"/>
        <v/>
      </c>
      <c r="D255" s="46" t="str">
        <f t="shared" si="10"/>
        <v/>
      </c>
    </row>
    <row r="256" spans="3:4" ht="15.75" x14ac:dyDescent="0.25">
      <c r="C256" s="46" t="str">
        <f t="shared" si="9"/>
        <v/>
      </c>
      <c r="D256" s="46" t="str">
        <f t="shared" si="10"/>
        <v/>
      </c>
    </row>
    <row r="257" spans="3:4" ht="15.75" x14ac:dyDescent="0.25">
      <c r="C257" s="46" t="str">
        <f t="shared" si="9"/>
        <v/>
      </c>
      <c r="D257" s="46" t="str">
        <f t="shared" si="10"/>
        <v/>
      </c>
    </row>
    <row r="258" spans="3:4" ht="15.75" x14ac:dyDescent="0.25">
      <c r="C258" s="46" t="str">
        <f t="shared" si="9"/>
        <v/>
      </c>
      <c r="D258" s="46" t="str">
        <f t="shared" si="10"/>
        <v/>
      </c>
    </row>
    <row r="259" spans="3:4" ht="15.75" x14ac:dyDescent="0.25">
      <c r="C259" s="46" t="str">
        <f t="shared" si="9"/>
        <v/>
      </c>
      <c r="D259" s="46" t="str">
        <f t="shared" si="10"/>
        <v/>
      </c>
    </row>
    <row r="260" spans="3:4" ht="15.75" x14ac:dyDescent="0.25">
      <c r="C260" s="46" t="str">
        <f t="shared" si="9"/>
        <v/>
      </c>
      <c r="D260" s="46" t="str">
        <f t="shared" si="10"/>
        <v/>
      </c>
    </row>
    <row r="261" spans="3:4" ht="15.75" x14ac:dyDescent="0.25">
      <c r="C261" s="46" t="str">
        <f t="shared" si="9"/>
        <v/>
      </c>
      <c r="D261" s="46" t="str">
        <f t="shared" si="10"/>
        <v/>
      </c>
    </row>
    <row r="262" spans="3:4" ht="15.75" x14ac:dyDescent="0.25">
      <c r="C262" s="46" t="str">
        <f t="shared" si="9"/>
        <v/>
      </c>
      <c r="D262" s="46" t="str">
        <f t="shared" si="10"/>
        <v/>
      </c>
    </row>
    <row r="263" spans="3:4" ht="15.75" x14ac:dyDescent="0.25">
      <c r="C263" s="46" t="str">
        <f t="shared" si="9"/>
        <v/>
      </c>
      <c r="D263" s="46" t="str">
        <f t="shared" si="10"/>
        <v/>
      </c>
    </row>
    <row r="264" spans="3:4" ht="15.75" x14ac:dyDescent="0.25">
      <c r="C264" s="46" t="str">
        <f t="shared" si="9"/>
        <v/>
      </c>
      <c r="D264" s="46" t="str">
        <f t="shared" si="10"/>
        <v/>
      </c>
    </row>
    <row r="265" spans="3:4" ht="15.75" x14ac:dyDescent="0.25">
      <c r="C265" s="46" t="str">
        <f t="shared" si="9"/>
        <v/>
      </c>
      <c r="D265" s="46" t="str">
        <f t="shared" si="10"/>
        <v/>
      </c>
    </row>
    <row r="266" spans="3:4" ht="15.75" x14ac:dyDescent="0.25">
      <c r="C266" s="46" t="str">
        <f t="shared" si="9"/>
        <v/>
      </c>
      <c r="D266" s="46" t="str">
        <f t="shared" si="10"/>
        <v/>
      </c>
    </row>
    <row r="267" spans="3:4" ht="15.75" x14ac:dyDescent="0.25">
      <c r="C267" s="46" t="str">
        <f t="shared" ref="C267:C326" si="11">IF(COUNTIF(E267:BA267,"YES")=0,"",COUNTIF(E267:BA267,"YES"))</f>
        <v/>
      </c>
      <c r="D267" s="46" t="str">
        <f t="shared" si="10"/>
        <v/>
      </c>
    </row>
    <row r="268" spans="3:4" ht="15.75" x14ac:dyDescent="0.25">
      <c r="C268" s="46" t="str">
        <f t="shared" si="11"/>
        <v/>
      </c>
      <c r="D268" s="46" t="str">
        <f t="shared" si="10"/>
        <v/>
      </c>
    </row>
    <row r="269" spans="3:4" ht="15.75" x14ac:dyDescent="0.25">
      <c r="C269" s="46" t="str">
        <f t="shared" si="11"/>
        <v/>
      </c>
      <c r="D269" s="46" t="str">
        <f t="shared" si="10"/>
        <v/>
      </c>
    </row>
    <row r="270" spans="3:4" ht="15.75" x14ac:dyDescent="0.25">
      <c r="C270" s="46" t="str">
        <f t="shared" si="11"/>
        <v/>
      </c>
      <c r="D270" s="46" t="str">
        <f t="shared" si="10"/>
        <v/>
      </c>
    </row>
    <row r="271" spans="3:4" ht="15.75" x14ac:dyDescent="0.25">
      <c r="C271" s="46" t="str">
        <f t="shared" si="11"/>
        <v/>
      </c>
      <c r="D271" s="46" t="str">
        <f t="shared" si="10"/>
        <v/>
      </c>
    </row>
    <row r="272" spans="3:4" ht="15.75" x14ac:dyDescent="0.25">
      <c r="C272" s="46" t="str">
        <f t="shared" si="11"/>
        <v/>
      </c>
      <c r="D272" s="46" t="str">
        <f t="shared" ref="D272:D326" si="12">IF(COUNTIF(E272:BA272,"NO")=0,"",COUNTIF(E272:BA272,"NO"))</f>
        <v/>
      </c>
    </row>
    <row r="273" spans="3:4" ht="15.75" x14ac:dyDescent="0.25">
      <c r="C273" s="46" t="str">
        <f t="shared" si="11"/>
        <v/>
      </c>
      <c r="D273" s="46" t="str">
        <f t="shared" si="12"/>
        <v/>
      </c>
    </row>
    <row r="274" spans="3:4" ht="15.75" x14ac:dyDescent="0.25">
      <c r="C274" s="46" t="str">
        <f t="shared" si="11"/>
        <v/>
      </c>
      <c r="D274" s="46" t="str">
        <f t="shared" si="12"/>
        <v/>
      </c>
    </row>
    <row r="275" spans="3:4" ht="15.75" x14ac:dyDescent="0.25">
      <c r="C275" s="46" t="str">
        <f t="shared" si="11"/>
        <v/>
      </c>
      <c r="D275" s="46" t="str">
        <f t="shared" si="12"/>
        <v/>
      </c>
    </row>
    <row r="276" spans="3:4" ht="15.75" x14ac:dyDescent="0.25">
      <c r="C276" s="46" t="str">
        <f t="shared" si="11"/>
        <v/>
      </c>
      <c r="D276" s="46" t="str">
        <f t="shared" si="12"/>
        <v/>
      </c>
    </row>
    <row r="277" spans="3:4" ht="15.75" x14ac:dyDescent="0.25">
      <c r="C277" s="46" t="str">
        <f t="shared" si="11"/>
        <v/>
      </c>
      <c r="D277" s="46" t="str">
        <f t="shared" si="12"/>
        <v/>
      </c>
    </row>
    <row r="278" spans="3:4" ht="15.75" x14ac:dyDescent="0.25">
      <c r="C278" s="46" t="str">
        <f t="shared" si="11"/>
        <v/>
      </c>
      <c r="D278" s="46" t="str">
        <f t="shared" si="12"/>
        <v/>
      </c>
    </row>
    <row r="279" spans="3:4" ht="15.75" x14ac:dyDescent="0.25">
      <c r="C279" s="46" t="str">
        <f t="shared" si="11"/>
        <v/>
      </c>
      <c r="D279" s="46" t="str">
        <f t="shared" si="12"/>
        <v/>
      </c>
    </row>
    <row r="280" spans="3:4" ht="15.75" x14ac:dyDescent="0.25">
      <c r="C280" s="46" t="str">
        <f t="shared" si="11"/>
        <v/>
      </c>
      <c r="D280" s="46" t="str">
        <f t="shared" si="12"/>
        <v/>
      </c>
    </row>
    <row r="281" spans="3:4" ht="15.75" x14ac:dyDescent="0.25">
      <c r="C281" s="46" t="str">
        <f t="shared" si="11"/>
        <v/>
      </c>
      <c r="D281" s="46" t="str">
        <f t="shared" si="12"/>
        <v/>
      </c>
    </row>
    <row r="282" spans="3:4" ht="15.75" x14ac:dyDescent="0.25">
      <c r="C282" s="46" t="str">
        <f t="shared" si="11"/>
        <v/>
      </c>
      <c r="D282" s="46" t="str">
        <f t="shared" si="12"/>
        <v/>
      </c>
    </row>
    <row r="283" spans="3:4" ht="15.75" x14ac:dyDescent="0.25">
      <c r="C283" s="46" t="str">
        <f t="shared" si="11"/>
        <v/>
      </c>
      <c r="D283" s="46" t="str">
        <f t="shared" si="12"/>
        <v/>
      </c>
    </row>
    <row r="284" spans="3:4" ht="15.75" x14ac:dyDescent="0.25">
      <c r="C284" s="46" t="str">
        <f t="shared" si="11"/>
        <v/>
      </c>
      <c r="D284" s="46" t="str">
        <f t="shared" si="12"/>
        <v/>
      </c>
    </row>
    <row r="285" spans="3:4" ht="15.75" x14ac:dyDescent="0.25">
      <c r="C285" s="46" t="str">
        <f t="shared" si="11"/>
        <v/>
      </c>
      <c r="D285" s="46" t="str">
        <f t="shared" si="12"/>
        <v/>
      </c>
    </row>
    <row r="286" spans="3:4" ht="15.75" x14ac:dyDescent="0.25">
      <c r="C286" s="46" t="str">
        <f t="shared" si="11"/>
        <v/>
      </c>
      <c r="D286" s="46" t="str">
        <f t="shared" si="12"/>
        <v/>
      </c>
    </row>
    <row r="287" spans="3:4" ht="15.75" x14ac:dyDescent="0.25">
      <c r="C287" s="46" t="str">
        <f t="shared" si="11"/>
        <v/>
      </c>
      <c r="D287" s="46" t="str">
        <f t="shared" si="12"/>
        <v/>
      </c>
    </row>
    <row r="288" spans="3:4" ht="15.75" x14ac:dyDescent="0.25">
      <c r="C288" s="46" t="str">
        <f t="shared" si="11"/>
        <v/>
      </c>
      <c r="D288" s="46" t="str">
        <f t="shared" si="12"/>
        <v/>
      </c>
    </row>
    <row r="289" spans="3:4" ht="15.75" x14ac:dyDescent="0.25">
      <c r="C289" s="46" t="str">
        <f t="shared" si="11"/>
        <v/>
      </c>
      <c r="D289" s="46" t="str">
        <f t="shared" si="12"/>
        <v/>
      </c>
    </row>
    <row r="290" spans="3:4" ht="15.75" x14ac:dyDescent="0.25">
      <c r="C290" s="46" t="str">
        <f t="shared" si="11"/>
        <v/>
      </c>
      <c r="D290" s="46" t="str">
        <f t="shared" si="12"/>
        <v/>
      </c>
    </row>
    <row r="291" spans="3:4" ht="15.75" x14ac:dyDescent="0.25">
      <c r="C291" s="46" t="str">
        <f t="shared" si="11"/>
        <v/>
      </c>
      <c r="D291" s="46" t="str">
        <f t="shared" si="12"/>
        <v/>
      </c>
    </row>
    <row r="292" spans="3:4" ht="15.75" x14ac:dyDescent="0.25">
      <c r="C292" s="46" t="str">
        <f t="shared" si="11"/>
        <v/>
      </c>
      <c r="D292" s="46" t="str">
        <f t="shared" si="12"/>
        <v/>
      </c>
    </row>
    <row r="293" spans="3:4" ht="15.75" x14ac:dyDescent="0.25">
      <c r="C293" s="46" t="str">
        <f t="shared" si="11"/>
        <v/>
      </c>
      <c r="D293" s="46" t="str">
        <f t="shared" si="12"/>
        <v/>
      </c>
    </row>
    <row r="294" spans="3:4" ht="15.75" x14ac:dyDescent="0.25">
      <c r="C294" s="46" t="str">
        <f t="shared" si="11"/>
        <v/>
      </c>
      <c r="D294" s="46" t="str">
        <f t="shared" si="12"/>
        <v/>
      </c>
    </row>
    <row r="295" spans="3:4" ht="15.75" x14ac:dyDescent="0.25">
      <c r="C295" s="46" t="str">
        <f t="shared" si="11"/>
        <v/>
      </c>
      <c r="D295" s="46" t="str">
        <f t="shared" si="12"/>
        <v/>
      </c>
    </row>
    <row r="296" spans="3:4" ht="15.75" x14ac:dyDescent="0.25">
      <c r="C296" s="46" t="str">
        <f t="shared" si="11"/>
        <v/>
      </c>
      <c r="D296" s="46" t="str">
        <f t="shared" si="12"/>
        <v/>
      </c>
    </row>
    <row r="297" spans="3:4" ht="15.75" x14ac:dyDescent="0.25">
      <c r="C297" s="46" t="str">
        <f t="shared" si="11"/>
        <v/>
      </c>
      <c r="D297" s="46" t="str">
        <f t="shared" si="12"/>
        <v/>
      </c>
    </row>
    <row r="298" spans="3:4" ht="15.75" x14ac:dyDescent="0.25">
      <c r="C298" s="46" t="str">
        <f t="shared" si="11"/>
        <v/>
      </c>
      <c r="D298" s="46" t="str">
        <f t="shared" si="12"/>
        <v/>
      </c>
    </row>
    <row r="299" spans="3:4" ht="15.75" x14ac:dyDescent="0.25">
      <c r="C299" s="46" t="str">
        <f t="shared" si="11"/>
        <v/>
      </c>
      <c r="D299" s="46" t="str">
        <f t="shared" si="12"/>
        <v/>
      </c>
    </row>
    <row r="300" spans="3:4" ht="15.75" x14ac:dyDescent="0.25">
      <c r="C300" s="46" t="str">
        <f t="shared" si="11"/>
        <v/>
      </c>
      <c r="D300" s="46" t="str">
        <f t="shared" si="12"/>
        <v/>
      </c>
    </row>
    <row r="301" spans="3:4" ht="15.75" x14ac:dyDescent="0.25">
      <c r="C301" s="46" t="str">
        <f t="shared" si="11"/>
        <v/>
      </c>
      <c r="D301" s="46" t="str">
        <f t="shared" si="12"/>
        <v/>
      </c>
    </row>
    <row r="302" spans="3:4" ht="15.75" x14ac:dyDescent="0.25">
      <c r="C302" s="46" t="str">
        <f t="shared" si="11"/>
        <v/>
      </c>
      <c r="D302" s="46" t="str">
        <f t="shared" si="12"/>
        <v/>
      </c>
    </row>
    <row r="303" spans="3:4" ht="15.75" x14ac:dyDescent="0.25">
      <c r="C303" s="46" t="str">
        <f t="shared" si="11"/>
        <v/>
      </c>
      <c r="D303" s="46" t="str">
        <f t="shared" si="12"/>
        <v/>
      </c>
    </row>
    <row r="304" spans="3:4" ht="15.75" x14ac:dyDescent="0.25">
      <c r="C304" s="46" t="str">
        <f t="shared" si="11"/>
        <v/>
      </c>
      <c r="D304" s="46" t="str">
        <f t="shared" si="12"/>
        <v/>
      </c>
    </row>
    <row r="305" spans="3:4" ht="15.75" x14ac:dyDescent="0.25">
      <c r="C305" s="46" t="str">
        <f t="shared" si="11"/>
        <v/>
      </c>
      <c r="D305" s="46" t="str">
        <f t="shared" si="12"/>
        <v/>
      </c>
    </row>
    <row r="306" spans="3:4" ht="15.75" x14ac:dyDescent="0.25">
      <c r="C306" s="46" t="str">
        <f t="shared" si="11"/>
        <v/>
      </c>
      <c r="D306" s="46" t="str">
        <f t="shared" si="12"/>
        <v/>
      </c>
    </row>
    <row r="307" spans="3:4" ht="15.75" x14ac:dyDescent="0.25">
      <c r="C307" s="46" t="str">
        <f t="shared" si="11"/>
        <v/>
      </c>
      <c r="D307" s="46" t="str">
        <f t="shared" si="12"/>
        <v/>
      </c>
    </row>
    <row r="308" spans="3:4" ht="15.75" x14ac:dyDescent="0.25">
      <c r="C308" s="46" t="str">
        <f t="shared" si="11"/>
        <v/>
      </c>
      <c r="D308" s="46" t="str">
        <f t="shared" si="12"/>
        <v/>
      </c>
    </row>
    <row r="309" spans="3:4" ht="15.75" x14ac:dyDescent="0.25">
      <c r="C309" s="46" t="str">
        <f t="shared" si="11"/>
        <v/>
      </c>
      <c r="D309" s="46" t="str">
        <f t="shared" si="12"/>
        <v/>
      </c>
    </row>
    <row r="310" spans="3:4" ht="15.75" x14ac:dyDescent="0.25">
      <c r="C310" s="46" t="str">
        <f t="shared" si="11"/>
        <v/>
      </c>
      <c r="D310" s="46" t="str">
        <f t="shared" si="12"/>
        <v/>
      </c>
    </row>
    <row r="311" spans="3:4" ht="15.75" x14ac:dyDescent="0.25">
      <c r="C311" s="46" t="str">
        <f t="shared" si="11"/>
        <v/>
      </c>
      <c r="D311" s="46" t="str">
        <f t="shared" si="12"/>
        <v/>
      </c>
    </row>
    <row r="312" spans="3:4" ht="15.75" x14ac:dyDescent="0.25">
      <c r="C312" s="46" t="str">
        <f t="shared" si="11"/>
        <v/>
      </c>
      <c r="D312" s="46" t="str">
        <f t="shared" si="12"/>
        <v/>
      </c>
    </row>
    <row r="313" spans="3:4" ht="15.75" x14ac:dyDescent="0.25">
      <c r="C313" s="46" t="str">
        <f t="shared" si="11"/>
        <v/>
      </c>
      <c r="D313" s="46" t="str">
        <f t="shared" si="12"/>
        <v/>
      </c>
    </row>
    <row r="314" spans="3:4" ht="15.75" x14ac:dyDescent="0.25">
      <c r="C314" s="46" t="str">
        <f t="shared" si="11"/>
        <v/>
      </c>
      <c r="D314" s="46" t="str">
        <f t="shared" si="12"/>
        <v/>
      </c>
    </row>
    <row r="315" spans="3:4" ht="15.75" x14ac:dyDescent="0.25">
      <c r="C315" s="46" t="str">
        <f t="shared" si="11"/>
        <v/>
      </c>
      <c r="D315" s="46" t="str">
        <f t="shared" si="12"/>
        <v/>
      </c>
    </row>
    <row r="316" spans="3:4" ht="15.75" x14ac:dyDescent="0.25">
      <c r="C316" s="46" t="str">
        <f t="shared" si="11"/>
        <v/>
      </c>
      <c r="D316" s="46" t="str">
        <f t="shared" si="12"/>
        <v/>
      </c>
    </row>
    <row r="317" spans="3:4" ht="15.75" x14ac:dyDescent="0.25">
      <c r="C317" s="46" t="str">
        <f t="shared" si="11"/>
        <v/>
      </c>
      <c r="D317" s="46" t="str">
        <f t="shared" si="12"/>
        <v/>
      </c>
    </row>
    <row r="318" spans="3:4" ht="15.75" x14ac:dyDescent="0.25">
      <c r="C318" s="46" t="str">
        <f t="shared" si="11"/>
        <v/>
      </c>
      <c r="D318" s="46" t="str">
        <f t="shared" si="12"/>
        <v/>
      </c>
    </row>
    <row r="319" spans="3:4" ht="15.75" x14ac:dyDescent="0.25">
      <c r="C319" s="46" t="str">
        <f t="shared" si="11"/>
        <v/>
      </c>
      <c r="D319" s="46" t="str">
        <f t="shared" si="12"/>
        <v/>
      </c>
    </row>
    <row r="320" spans="3:4" ht="15.75" x14ac:dyDescent="0.25">
      <c r="C320" s="46" t="str">
        <f t="shared" si="11"/>
        <v/>
      </c>
      <c r="D320" s="46" t="str">
        <f t="shared" si="12"/>
        <v/>
      </c>
    </row>
    <row r="321" spans="3:4" ht="15.75" x14ac:dyDescent="0.25">
      <c r="C321" s="46" t="str">
        <f t="shared" si="11"/>
        <v/>
      </c>
      <c r="D321" s="46" t="str">
        <f t="shared" si="12"/>
        <v/>
      </c>
    </row>
    <row r="322" spans="3:4" ht="15.75" x14ac:dyDescent="0.25">
      <c r="C322" s="46" t="str">
        <f t="shared" si="11"/>
        <v/>
      </c>
      <c r="D322" s="46" t="str">
        <f t="shared" si="12"/>
        <v/>
      </c>
    </row>
    <row r="323" spans="3:4" ht="15.75" x14ac:dyDescent="0.25">
      <c r="C323" s="46" t="str">
        <f t="shared" si="11"/>
        <v/>
      </c>
      <c r="D323" s="46" t="str">
        <f t="shared" si="12"/>
        <v/>
      </c>
    </row>
    <row r="324" spans="3:4" ht="15.75" x14ac:dyDescent="0.25">
      <c r="C324" s="46" t="str">
        <f t="shared" si="11"/>
        <v/>
      </c>
      <c r="D324" s="46" t="str">
        <f t="shared" si="12"/>
        <v/>
      </c>
    </row>
    <row r="325" spans="3:4" ht="15.75" x14ac:dyDescent="0.25">
      <c r="C325" s="46" t="str">
        <f t="shared" si="11"/>
        <v/>
      </c>
      <c r="D325" s="46" t="str">
        <f t="shared" si="12"/>
        <v/>
      </c>
    </row>
    <row r="326" spans="3:4" ht="15.75" x14ac:dyDescent="0.25">
      <c r="C326" s="46" t="str">
        <f t="shared" si="11"/>
        <v/>
      </c>
      <c r="D326" s="46" t="str">
        <f t="shared" si="12"/>
        <v/>
      </c>
    </row>
  </sheetData>
  <conditionalFormatting sqref="E7:H11 E28:H32 E34:H37 E13:H25">
    <cfRule type="cellIs" dxfId="19" priority="7" stopIfTrue="1" operator="equal">
      <formula>"YES"</formula>
    </cfRule>
    <cfRule type="cellIs" dxfId="18" priority="8" stopIfTrue="1" operator="equal">
      <formula>"NO"</formula>
    </cfRule>
  </conditionalFormatting>
  <conditionalFormatting sqref="E12:H12">
    <cfRule type="cellIs" dxfId="17" priority="5" stopIfTrue="1" operator="equal">
      <formula>"YES"</formula>
    </cfRule>
    <cfRule type="cellIs" dxfId="16" priority="6" stopIfTrue="1" operator="equal">
      <formula>"NO"</formula>
    </cfRule>
  </conditionalFormatting>
  <conditionalFormatting sqref="E26:H27">
    <cfRule type="cellIs" dxfId="15" priority="3" stopIfTrue="1" operator="equal">
      <formula>"YES"</formula>
    </cfRule>
    <cfRule type="cellIs" dxfId="14" priority="4" stopIfTrue="1" operator="equal">
      <formula>"NO"</formula>
    </cfRule>
  </conditionalFormatting>
  <conditionalFormatting sqref="E33:H33">
    <cfRule type="cellIs" dxfId="13" priority="1" stopIfTrue="1" operator="equal">
      <formula>"YES"</formula>
    </cfRule>
    <cfRule type="cellIs" dxfId="12" priority="2" stopIfTrue="1" operator="equal">
      <formula>"NO"</formula>
    </cfRule>
  </conditionalFormatting>
  <dataValidations count="1">
    <dataValidation type="list" allowBlank="1" showInputMessage="1" showErrorMessage="1" sqref="E31:H37 E7:H30" xr:uid="{00000000-0002-0000-1500-000000000000}">
      <formula1>$D$1:$D$3</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euil6">
    <tabColor indexed="43"/>
  </sheetPr>
  <dimension ref="A1:J78"/>
  <sheetViews>
    <sheetView workbookViewId="0">
      <pane xSplit="1" ySplit="2" topLeftCell="B3" activePane="bottomRight" state="frozenSplit"/>
      <selection activeCell="I20" sqref="I20"/>
      <selection pane="topRight" activeCell="I20" sqref="I20"/>
      <selection pane="bottomLeft" activeCell="I20" sqref="I20"/>
      <selection pane="bottomRight" activeCell="I7" sqref="I7"/>
    </sheetView>
  </sheetViews>
  <sheetFormatPr defaultColWidth="12.5703125" defaultRowHeight="15" x14ac:dyDescent="0.2"/>
  <cols>
    <col min="1" max="1" width="7.5703125" style="1" bestFit="1" customWidth="1"/>
    <col min="2" max="2" width="62.7109375" style="11" customWidth="1"/>
    <col min="3" max="3" width="20" style="1" customWidth="1"/>
    <col min="4" max="4" width="15.140625" style="12" customWidth="1"/>
    <col min="5" max="5" width="9.28515625" style="1" bestFit="1" customWidth="1"/>
    <col min="6" max="6" width="10.85546875" style="1" bestFit="1" customWidth="1"/>
    <col min="7" max="7" width="11" style="1" bestFit="1" customWidth="1"/>
    <col min="8" max="8" width="15.28515625" style="1" customWidth="1"/>
    <col min="9" max="9" width="24.7109375" style="1" customWidth="1"/>
    <col min="10" max="10" width="26" style="1" customWidth="1"/>
    <col min="11" max="16384" width="12.5703125" style="1"/>
  </cols>
  <sheetData>
    <row r="1" spans="1:10" ht="19.5" x14ac:dyDescent="0.2">
      <c r="A1" s="416" t="s">
        <v>14</v>
      </c>
      <c r="B1" s="417"/>
      <c r="C1" s="417"/>
      <c r="D1" s="418"/>
    </row>
    <row r="2" spans="1:10" x14ac:dyDescent="0.2">
      <c r="A2" s="2" t="s">
        <v>15</v>
      </c>
      <c r="B2" s="2" t="s">
        <v>22</v>
      </c>
      <c r="C2" s="2" t="s">
        <v>16</v>
      </c>
      <c r="D2" s="3" t="s">
        <v>17</v>
      </c>
    </row>
    <row r="3" spans="1:10" s="8" customFormat="1" x14ac:dyDescent="0.2">
      <c r="A3" s="4" t="s">
        <v>5</v>
      </c>
      <c r="B3" s="5" t="s">
        <v>20</v>
      </c>
      <c r="C3" s="4"/>
      <c r="D3" s="6"/>
      <c r="E3" s="7"/>
      <c r="F3" s="7"/>
      <c r="G3" s="7"/>
      <c r="H3" s="7"/>
      <c r="I3" s="7"/>
      <c r="J3" s="7"/>
    </row>
    <row r="4" spans="1:10" ht="38.25" x14ac:dyDescent="0.2">
      <c r="A4" s="66" t="s">
        <v>26</v>
      </c>
      <c r="B4" s="67" t="s">
        <v>177</v>
      </c>
      <c r="C4" s="66" t="s">
        <v>6</v>
      </c>
      <c r="D4" s="207">
        <v>40591.490486111114</v>
      </c>
      <c r="E4" s="7"/>
      <c r="F4" s="7"/>
      <c r="G4" s="7"/>
      <c r="H4" s="7"/>
      <c r="I4" s="7"/>
      <c r="J4" s="7"/>
    </row>
    <row r="5" spans="1:10" ht="204" x14ac:dyDescent="0.2">
      <c r="A5" s="206" t="s">
        <v>301</v>
      </c>
      <c r="B5" s="225" t="s">
        <v>546</v>
      </c>
      <c r="C5" s="66" t="s">
        <v>6</v>
      </c>
      <c r="D5" s="207">
        <v>41071.656145833331</v>
      </c>
      <c r="E5" s="7"/>
      <c r="F5" s="7"/>
      <c r="G5" s="7"/>
      <c r="H5" s="7"/>
      <c r="I5" s="7"/>
      <c r="J5" s="7"/>
    </row>
    <row r="6" spans="1:10" ht="25.5" x14ac:dyDescent="0.2">
      <c r="A6" s="439" t="s">
        <v>270</v>
      </c>
      <c r="B6" s="158" t="s">
        <v>360</v>
      </c>
      <c r="C6" s="4" t="s">
        <v>271</v>
      </c>
      <c r="D6" s="208">
        <v>41071.656145833331</v>
      </c>
      <c r="E6" s="7"/>
      <c r="F6" s="7"/>
      <c r="G6" s="7"/>
      <c r="H6" s="7"/>
      <c r="I6" s="7"/>
      <c r="J6" s="7"/>
    </row>
    <row r="7" spans="1:10" ht="76.5" x14ac:dyDescent="0.2">
      <c r="A7" s="440"/>
      <c r="B7" s="225" t="s">
        <v>396</v>
      </c>
      <c r="C7" s="247" t="s">
        <v>324</v>
      </c>
      <c r="D7" s="207">
        <v>42195</v>
      </c>
      <c r="E7" s="7"/>
      <c r="F7" s="7"/>
      <c r="G7" s="7"/>
      <c r="H7" s="7"/>
      <c r="I7" s="7"/>
      <c r="J7" s="7"/>
    </row>
    <row r="8" spans="1:10" ht="51" x14ac:dyDescent="0.2">
      <c r="A8" s="246" t="s">
        <v>397</v>
      </c>
      <c r="B8" s="158" t="s">
        <v>541</v>
      </c>
      <c r="C8" s="4" t="s">
        <v>398</v>
      </c>
      <c r="D8" s="6">
        <v>42391.634837962964</v>
      </c>
      <c r="E8" s="7"/>
      <c r="F8" s="7"/>
      <c r="G8" s="7"/>
      <c r="H8" s="7"/>
      <c r="I8" s="7"/>
      <c r="J8" s="7"/>
    </row>
    <row r="9" spans="1:10" x14ac:dyDescent="0.2">
      <c r="A9" s="68"/>
      <c r="B9" s="226"/>
      <c r="C9" s="68"/>
      <c r="D9" s="227"/>
      <c r="E9" s="7"/>
      <c r="F9" s="7"/>
      <c r="G9" s="7"/>
      <c r="H9" s="7"/>
      <c r="I9" s="7"/>
      <c r="J9" s="7"/>
    </row>
    <row r="10" spans="1:10" x14ac:dyDescent="0.2">
      <c r="A10" s="4"/>
      <c r="B10" s="5"/>
      <c r="C10" s="4"/>
      <c r="D10" s="6"/>
      <c r="E10" s="7"/>
      <c r="F10" s="7"/>
      <c r="G10" s="7"/>
      <c r="H10" s="7"/>
      <c r="I10" s="7"/>
      <c r="J10" s="7"/>
    </row>
    <row r="11" spans="1:10" x14ac:dyDescent="0.2">
      <c r="A11" s="4"/>
      <c r="B11" s="5"/>
      <c r="C11" s="4"/>
      <c r="D11" s="6"/>
      <c r="E11" s="7"/>
      <c r="F11" s="7"/>
      <c r="G11" s="7"/>
      <c r="H11" s="7"/>
      <c r="I11" s="7"/>
      <c r="J11" s="7"/>
    </row>
    <row r="12" spans="1:10" x14ac:dyDescent="0.2">
      <c r="A12" s="4"/>
      <c r="B12" s="5"/>
      <c r="C12" s="4"/>
      <c r="D12" s="6"/>
      <c r="E12" s="7"/>
      <c r="F12" s="7"/>
      <c r="G12" s="7"/>
      <c r="H12" s="7"/>
      <c r="I12" s="7"/>
      <c r="J12" s="7"/>
    </row>
    <row r="13" spans="1:10" x14ac:dyDescent="0.2">
      <c r="A13" s="4"/>
      <c r="B13" s="5"/>
      <c r="C13" s="4"/>
      <c r="D13" s="6"/>
      <c r="E13" s="7"/>
      <c r="F13" s="7"/>
      <c r="G13" s="7"/>
      <c r="H13" s="7"/>
      <c r="I13" s="7"/>
      <c r="J13" s="7"/>
    </row>
    <row r="14" spans="1:10" x14ac:dyDescent="0.2">
      <c r="A14" s="4"/>
      <c r="B14" s="5"/>
      <c r="C14" s="4"/>
      <c r="D14" s="6"/>
      <c r="E14" s="7"/>
      <c r="F14" s="7"/>
      <c r="G14" s="7"/>
      <c r="H14" s="7"/>
      <c r="I14" s="7"/>
      <c r="J14" s="7"/>
    </row>
    <row r="15" spans="1:10" x14ac:dyDescent="0.2">
      <c r="A15" s="4"/>
      <c r="B15" s="5"/>
      <c r="C15" s="4"/>
      <c r="D15" s="6"/>
      <c r="E15" s="7"/>
      <c r="F15" s="7"/>
      <c r="G15" s="7"/>
      <c r="H15" s="7"/>
      <c r="I15" s="7"/>
      <c r="J15" s="7"/>
    </row>
    <row r="16" spans="1:10" x14ac:dyDescent="0.2">
      <c r="A16" s="4"/>
      <c r="B16" s="5"/>
      <c r="C16" s="4"/>
      <c r="D16" s="6"/>
      <c r="E16" s="7"/>
      <c r="F16" s="7"/>
      <c r="G16" s="7"/>
      <c r="H16" s="7"/>
      <c r="I16" s="7"/>
      <c r="J16" s="7"/>
    </row>
    <row r="17" spans="1:10" x14ac:dyDescent="0.2">
      <c r="A17" s="4"/>
      <c r="B17" s="5"/>
      <c r="C17" s="4"/>
      <c r="D17" s="6"/>
      <c r="E17" s="7"/>
      <c r="F17" s="7"/>
      <c r="G17" s="7"/>
      <c r="H17" s="7"/>
      <c r="I17" s="7"/>
      <c r="J17" s="7"/>
    </row>
    <row r="18" spans="1:10" x14ac:dyDescent="0.2">
      <c r="A18" s="4"/>
      <c r="B18" s="5"/>
      <c r="C18" s="4"/>
      <c r="D18" s="6"/>
      <c r="E18" s="7"/>
      <c r="F18" s="7"/>
      <c r="G18" s="7"/>
      <c r="H18" s="7"/>
      <c r="I18" s="7"/>
      <c r="J18" s="7"/>
    </row>
    <row r="19" spans="1:10" x14ac:dyDescent="0.2">
      <c r="A19" s="7"/>
      <c r="B19" s="9"/>
      <c r="C19" s="7"/>
      <c r="D19" s="10"/>
      <c r="E19" s="7"/>
      <c r="F19" s="7"/>
      <c r="G19" s="7"/>
      <c r="H19" s="7"/>
      <c r="I19" s="7"/>
      <c r="J19" s="7"/>
    </row>
    <row r="20" spans="1:10" x14ac:dyDescent="0.2">
      <c r="A20" s="7"/>
      <c r="B20" s="9"/>
      <c r="C20" s="7"/>
      <c r="D20" s="10"/>
      <c r="E20" s="7"/>
      <c r="F20" s="7"/>
      <c r="G20" s="7"/>
      <c r="H20" s="7"/>
      <c r="I20" s="7"/>
      <c r="J20" s="7"/>
    </row>
    <row r="21" spans="1:10" x14ac:dyDescent="0.2">
      <c r="A21" s="7"/>
      <c r="B21" s="9"/>
      <c r="C21" s="7"/>
      <c r="D21" s="10"/>
      <c r="E21" s="7"/>
      <c r="F21" s="7"/>
      <c r="G21" s="7"/>
      <c r="H21" s="7"/>
      <c r="I21" s="7"/>
      <c r="J21" s="7"/>
    </row>
    <row r="22" spans="1:10" x14ac:dyDescent="0.2">
      <c r="A22" s="7"/>
      <c r="B22" s="9"/>
      <c r="C22" s="7"/>
      <c r="D22" s="10"/>
      <c r="E22" s="7"/>
      <c r="F22" s="7"/>
      <c r="G22" s="7"/>
      <c r="H22" s="7"/>
      <c r="I22" s="7"/>
      <c r="J22" s="7"/>
    </row>
    <row r="23" spans="1:10" x14ac:dyDescent="0.2">
      <c r="A23" s="7"/>
      <c r="B23" s="9"/>
      <c r="C23" s="7"/>
      <c r="D23" s="10"/>
      <c r="E23" s="7"/>
      <c r="F23" s="7"/>
      <c r="G23" s="7"/>
      <c r="H23" s="7"/>
      <c r="I23" s="7"/>
      <c r="J23" s="7"/>
    </row>
    <row r="24" spans="1:10" x14ac:dyDescent="0.2">
      <c r="A24" s="7"/>
      <c r="B24" s="9"/>
      <c r="C24" s="7"/>
      <c r="D24" s="10"/>
      <c r="E24" s="7"/>
      <c r="F24" s="7"/>
      <c r="G24" s="7"/>
      <c r="H24" s="7"/>
      <c r="I24" s="7"/>
      <c r="J24" s="7"/>
    </row>
    <row r="25" spans="1:10" x14ac:dyDescent="0.2">
      <c r="A25" s="7"/>
      <c r="B25" s="9"/>
      <c r="C25" s="7"/>
      <c r="D25" s="10"/>
      <c r="E25" s="7"/>
      <c r="F25" s="7"/>
      <c r="G25" s="7"/>
      <c r="H25" s="7"/>
      <c r="I25" s="7"/>
      <c r="J25" s="7"/>
    </row>
    <row r="26" spans="1:10" x14ac:dyDescent="0.2">
      <c r="A26" s="7"/>
      <c r="B26" s="9"/>
      <c r="C26" s="7"/>
      <c r="D26" s="10"/>
      <c r="E26" s="7"/>
      <c r="F26" s="7"/>
      <c r="G26" s="7"/>
      <c r="H26" s="7"/>
      <c r="I26" s="7"/>
      <c r="J26" s="7"/>
    </row>
    <row r="27" spans="1:10" x14ac:dyDescent="0.2">
      <c r="A27" s="7"/>
      <c r="B27" s="9"/>
      <c r="C27" s="7"/>
      <c r="D27" s="10"/>
      <c r="E27" s="7"/>
      <c r="F27" s="7"/>
      <c r="G27" s="7"/>
      <c r="H27" s="7"/>
      <c r="I27" s="7"/>
      <c r="J27" s="7"/>
    </row>
    <row r="28" spans="1:10" x14ac:dyDescent="0.2">
      <c r="A28" s="7"/>
      <c r="B28" s="9"/>
      <c r="C28" s="7"/>
      <c r="D28" s="10"/>
      <c r="E28" s="7"/>
      <c r="F28" s="7"/>
      <c r="G28" s="7"/>
      <c r="H28" s="7"/>
      <c r="I28" s="7"/>
      <c r="J28" s="7"/>
    </row>
    <row r="29" spans="1:10" x14ac:dyDescent="0.2">
      <c r="A29" s="7"/>
      <c r="B29" s="9"/>
      <c r="C29" s="7"/>
      <c r="D29" s="10"/>
      <c r="E29" s="7"/>
      <c r="F29" s="7"/>
      <c r="G29" s="7"/>
      <c r="H29" s="7"/>
      <c r="I29" s="7"/>
      <c r="J29" s="7"/>
    </row>
    <row r="30" spans="1:10" x14ac:dyDescent="0.2">
      <c r="A30" s="7"/>
      <c r="B30" s="9"/>
      <c r="C30" s="7"/>
      <c r="D30" s="10"/>
      <c r="E30" s="7"/>
      <c r="F30" s="7"/>
      <c r="G30" s="7"/>
      <c r="H30" s="7"/>
      <c r="I30" s="7"/>
      <c r="J30" s="7"/>
    </row>
    <row r="31" spans="1:10" x14ac:dyDescent="0.2">
      <c r="A31" s="7"/>
      <c r="B31" s="9"/>
      <c r="C31" s="7"/>
      <c r="D31" s="10"/>
      <c r="E31" s="7"/>
      <c r="F31" s="7"/>
      <c r="G31" s="7"/>
      <c r="H31" s="7"/>
      <c r="I31" s="7"/>
      <c r="J31" s="7"/>
    </row>
    <row r="32" spans="1:10" x14ac:dyDescent="0.2">
      <c r="A32" s="7"/>
      <c r="B32" s="9"/>
      <c r="C32" s="7"/>
      <c r="D32" s="10"/>
      <c r="E32" s="7"/>
      <c r="F32" s="7"/>
      <c r="G32" s="7"/>
      <c r="H32" s="7"/>
      <c r="I32" s="7"/>
      <c r="J32" s="7"/>
    </row>
    <row r="33" spans="1:10" x14ac:dyDescent="0.2">
      <c r="A33" s="7"/>
      <c r="B33" s="9"/>
      <c r="C33" s="7"/>
      <c r="D33" s="10"/>
      <c r="E33" s="7"/>
      <c r="F33" s="7"/>
      <c r="G33" s="7"/>
      <c r="H33" s="7"/>
      <c r="I33" s="7"/>
      <c r="J33" s="7"/>
    </row>
    <row r="34" spans="1:10" x14ac:dyDescent="0.2">
      <c r="A34" s="7"/>
      <c r="B34" s="9"/>
      <c r="C34" s="7"/>
      <c r="D34" s="10"/>
      <c r="E34" s="7"/>
      <c r="F34" s="7"/>
      <c r="G34" s="7"/>
      <c r="H34" s="7"/>
      <c r="I34" s="7"/>
      <c r="J34" s="7"/>
    </row>
    <row r="35" spans="1:10" x14ac:dyDescent="0.2">
      <c r="A35" s="7"/>
      <c r="B35" s="9"/>
      <c r="C35" s="7"/>
      <c r="D35" s="10"/>
      <c r="E35" s="7"/>
      <c r="F35" s="7"/>
      <c r="G35" s="7"/>
      <c r="H35" s="7"/>
      <c r="I35" s="7"/>
      <c r="J35" s="7"/>
    </row>
    <row r="36" spans="1:10" x14ac:dyDescent="0.2">
      <c r="A36" s="7"/>
      <c r="B36" s="9"/>
      <c r="C36" s="7"/>
      <c r="D36" s="10"/>
      <c r="E36" s="7"/>
      <c r="F36" s="7"/>
      <c r="G36" s="7"/>
      <c r="H36" s="7"/>
      <c r="I36" s="7"/>
      <c r="J36" s="7"/>
    </row>
    <row r="37" spans="1:10" x14ac:dyDescent="0.2">
      <c r="A37" s="7"/>
      <c r="B37" s="9"/>
      <c r="C37" s="7"/>
      <c r="D37" s="10"/>
      <c r="E37" s="7"/>
      <c r="F37" s="7"/>
      <c r="G37" s="7"/>
      <c r="H37" s="7"/>
      <c r="I37" s="7"/>
      <c r="J37" s="7"/>
    </row>
    <row r="38" spans="1:10" x14ac:dyDescent="0.2">
      <c r="A38" s="7"/>
      <c r="B38" s="9"/>
      <c r="C38" s="7"/>
      <c r="D38" s="10"/>
      <c r="E38" s="7"/>
      <c r="F38" s="7"/>
      <c r="G38" s="7"/>
      <c r="H38" s="7"/>
      <c r="I38" s="7"/>
      <c r="J38" s="7"/>
    </row>
    <row r="39" spans="1:10" x14ac:dyDescent="0.2">
      <c r="A39" s="7"/>
      <c r="B39" s="9"/>
      <c r="C39" s="7"/>
      <c r="D39" s="10"/>
      <c r="E39" s="7"/>
      <c r="F39" s="7"/>
      <c r="G39" s="7"/>
      <c r="H39" s="7"/>
      <c r="I39" s="7"/>
      <c r="J39" s="7"/>
    </row>
    <row r="40" spans="1:10" x14ac:dyDescent="0.2">
      <c r="A40" s="7"/>
      <c r="B40" s="9"/>
      <c r="C40" s="7"/>
      <c r="D40" s="10"/>
      <c r="E40" s="7"/>
      <c r="F40" s="7"/>
      <c r="G40" s="7"/>
      <c r="H40" s="7"/>
      <c r="I40" s="7"/>
      <c r="J40" s="7"/>
    </row>
    <row r="41" spans="1:10" x14ac:dyDescent="0.2">
      <c r="A41" s="7"/>
      <c r="B41" s="9"/>
      <c r="C41" s="7"/>
      <c r="D41" s="10"/>
      <c r="E41" s="7"/>
      <c r="F41" s="7"/>
      <c r="G41" s="7"/>
      <c r="H41" s="7"/>
      <c r="I41" s="7"/>
      <c r="J41" s="7"/>
    </row>
    <row r="42" spans="1:10" x14ac:dyDescent="0.2">
      <c r="A42" s="7"/>
      <c r="B42" s="9"/>
      <c r="C42" s="7"/>
      <c r="D42" s="10"/>
      <c r="E42" s="7"/>
      <c r="F42" s="7"/>
      <c r="G42" s="7"/>
      <c r="H42" s="7"/>
      <c r="I42" s="7"/>
      <c r="J42" s="7"/>
    </row>
    <row r="43" spans="1:10" x14ac:dyDescent="0.2">
      <c r="A43" s="7"/>
      <c r="B43" s="9"/>
      <c r="C43" s="7"/>
      <c r="D43" s="10"/>
      <c r="E43" s="7"/>
      <c r="F43" s="7"/>
      <c r="G43" s="7"/>
      <c r="H43" s="7"/>
      <c r="I43" s="7"/>
      <c r="J43" s="7"/>
    </row>
    <row r="44" spans="1:10" x14ac:dyDescent="0.2">
      <c r="A44" s="7"/>
      <c r="B44" s="9"/>
      <c r="C44" s="7"/>
      <c r="D44" s="10"/>
      <c r="E44" s="7"/>
      <c r="F44" s="7"/>
      <c r="G44" s="7"/>
      <c r="H44" s="7"/>
      <c r="I44" s="7"/>
      <c r="J44" s="7"/>
    </row>
    <row r="45" spans="1:10" x14ac:dyDescent="0.2">
      <c r="A45" s="7"/>
      <c r="B45" s="9"/>
      <c r="C45" s="7"/>
      <c r="D45" s="10"/>
      <c r="E45" s="7"/>
      <c r="F45" s="7"/>
      <c r="G45" s="7"/>
      <c r="H45" s="7"/>
      <c r="I45" s="7"/>
      <c r="J45" s="7"/>
    </row>
    <row r="46" spans="1:10" x14ac:dyDescent="0.2">
      <c r="A46" s="7"/>
      <c r="B46" s="9"/>
      <c r="C46" s="7"/>
      <c r="D46" s="10"/>
      <c r="E46" s="7"/>
      <c r="F46" s="7"/>
      <c r="G46" s="7"/>
      <c r="H46" s="7"/>
      <c r="I46" s="7"/>
      <c r="J46" s="7"/>
    </row>
    <row r="47" spans="1:10" x14ac:dyDescent="0.2">
      <c r="A47" s="7"/>
      <c r="B47" s="9"/>
      <c r="C47" s="7"/>
      <c r="D47" s="10"/>
      <c r="E47" s="7"/>
      <c r="F47" s="7"/>
      <c r="G47" s="7"/>
      <c r="H47" s="7"/>
      <c r="I47" s="7"/>
      <c r="J47" s="7"/>
    </row>
    <row r="48" spans="1:10" x14ac:dyDescent="0.2">
      <c r="A48" s="7"/>
      <c r="B48" s="9"/>
      <c r="C48" s="7"/>
      <c r="D48" s="10"/>
      <c r="E48" s="7"/>
      <c r="F48" s="7"/>
      <c r="G48" s="7"/>
      <c r="H48" s="7"/>
      <c r="I48" s="7"/>
      <c r="J48" s="7"/>
    </row>
    <row r="49" spans="1:10" x14ac:dyDescent="0.2">
      <c r="A49" s="7"/>
      <c r="B49" s="9"/>
      <c r="C49" s="7"/>
      <c r="D49" s="10"/>
      <c r="E49" s="7"/>
      <c r="F49" s="7"/>
      <c r="G49" s="7"/>
      <c r="H49" s="7"/>
      <c r="I49" s="7"/>
      <c r="J49" s="7"/>
    </row>
    <row r="50" spans="1:10" x14ac:dyDescent="0.2">
      <c r="A50" s="7"/>
      <c r="B50" s="9"/>
      <c r="C50" s="7"/>
      <c r="D50" s="10"/>
      <c r="E50" s="7"/>
      <c r="F50" s="7"/>
      <c r="G50" s="7"/>
      <c r="H50" s="7"/>
      <c r="I50" s="7"/>
      <c r="J50" s="7"/>
    </row>
    <row r="51" spans="1:10" x14ac:dyDescent="0.2">
      <c r="A51" s="7"/>
      <c r="B51" s="9"/>
      <c r="C51" s="7"/>
      <c r="D51" s="10"/>
      <c r="E51" s="7"/>
      <c r="F51" s="7"/>
      <c r="G51" s="7"/>
      <c r="H51" s="7"/>
      <c r="I51" s="7"/>
      <c r="J51" s="7"/>
    </row>
    <row r="52" spans="1:10" x14ac:dyDescent="0.2">
      <c r="A52" s="7"/>
      <c r="B52" s="9"/>
      <c r="C52" s="7"/>
      <c r="D52" s="10"/>
      <c r="E52" s="7"/>
      <c r="F52" s="7"/>
      <c r="G52" s="7"/>
      <c r="H52" s="7"/>
      <c r="I52" s="7"/>
      <c r="J52" s="7"/>
    </row>
    <row r="53" spans="1:10" x14ac:dyDescent="0.2">
      <c r="A53" s="7"/>
      <c r="B53" s="9"/>
      <c r="C53" s="7"/>
      <c r="D53" s="10"/>
      <c r="E53" s="7"/>
      <c r="F53" s="7"/>
      <c r="G53" s="7"/>
      <c r="H53" s="7"/>
      <c r="I53" s="7"/>
      <c r="J53" s="7"/>
    </row>
    <row r="54" spans="1:10" x14ac:dyDescent="0.2">
      <c r="A54" s="7"/>
      <c r="B54" s="9"/>
      <c r="C54" s="7"/>
      <c r="D54" s="10"/>
      <c r="E54" s="7"/>
      <c r="F54" s="7"/>
      <c r="G54" s="7"/>
      <c r="H54" s="7"/>
      <c r="I54" s="7"/>
      <c r="J54" s="7"/>
    </row>
    <row r="55" spans="1:10" x14ac:dyDescent="0.2">
      <c r="A55" s="7"/>
      <c r="B55" s="9"/>
      <c r="C55" s="7"/>
      <c r="D55" s="10"/>
      <c r="E55" s="7"/>
      <c r="F55" s="7"/>
      <c r="G55" s="7"/>
      <c r="H55" s="7"/>
      <c r="I55" s="7"/>
      <c r="J55" s="7"/>
    </row>
    <row r="56" spans="1:10" x14ac:dyDescent="0.2">
      <c r="A56" s="7"/>
      <c r="B56" s="9"/>
      <c r="C56" s="7"/>
      <c r="D56" s="10"/>
      <c r="E56" s="7"/>
      <c r="F56" s="7"/>
      <c r="G56" s="7"/>
      <c r="H56" s="7"/>
      <c r="I56" s="7"/>
      <c r="J56" s="7"/>
    </row>
    <row r="57" spans="1:10" x14ac:dyDescent="0.2">
      <c r="A57" s="7"/>
      <c r="B57" s="9"/>
      <c r="C57" s="7"/>
      <c r="D57" s="10"/>
      <c r="E57" s="7"/>
      <c r="F57" s="7"/>
      <c r="G57" s="7"/>
      <c r="H57" s="7"/>
      <c r="I57" s="7"/>
      <c r="J57" s="7"/>
    </row>
    <row r="58" spans="1:10" x14ac:dyDescent="0.2">
      <c r="A58" s="7"/>
      <c r="B58" s="9"/>
      <c r="C58" s="7"/>
      <c r="D58" s="10"/>
      <c r="E58" s="7"/>
      <c r="F58" s="7"/>
      <c r="G58" s="7"/>
      <c r="H58" s="7"/>
      <c r="I58" s="7"/>
      <c r="J58" s="7"/>
    </row>
    <row r="59" spans="1:10" x14ac:dyDescent="0.2">
      <c r="A59" s="7"/>
      <c r="B59" s="9"/>
      <c r="C59" s="7"/>
      <c r="D59" s="10"/>
      <c r="E59" s="7"/>
      <c r="F59" s="7"/>
      <c r="G59" s="7"/>
      <c r="H59" s="7"/>
      <c r="I59" s="7"/>
      <c r="J59" s="7"/>
    </row>
    <row r="60" spans="1:10" x14ac:dyDescent="0.2">
      <c r="A60" s="7"/>
      <c r="B60" s="9"/>
      <c r="C60" s="7"/>
      <c r="D60" s="10"/>
      <c r="E60" s="7"/>
      <c r="F60" s="7"/>
      <c r="G60" s="7"/>
      <c r="H60" s="7"/>
      <c r="I60" s="7"/>
      <c r="J60" s="7"/>
    </row>
    <row r="61" spans="1:10" x14ac:dyDescent="0.2">
      <c r="A61" s="7"/>
      <c r="B61" s="9"/>
      <c r="C61" s="7"/>
      <c r="D61" s="10"/>
      <c r="E61" s="7"/>
      <c r="F61" s="7"/>
      <c r="G61" s="7"/>
      <c r="H61" s="7"/>
      <c r="I61" s="7"/>
      <c r="J61" s="7"/>
    </row>
    <row r="62" spans="1:10" x14ac:dyDescent="0.2">
      <c r="A62" s="7"/>
      <c r="B62" s="9"/>
      <c r="C62" s="7"/>
      <c r="D62" s="10"/>
      <c r="E62" s="7"/>
      <c r="F62" s="7"/>
      <c r="G62" s="7"/>
      <c r="H62" s="7"/>
      <c r="I62" s="7"/>
      <c r="J62" s="7"/>
    </row>
    <row r="63" spans="1:10" x14ac:dyDescent="0.2">
      <c r="A63" s="7"/>
      <c r="B63" s="9"/>
      <c r="C63" s="7"/>
      <c r="D63" s="10"/>
      <c r="E63" s="7"/>
      <c r="F63" s="7"/>
      <c r="G63" s="7"/>
      <c r="H63" s="7"/>
      <c r="I63" s="7"/>
      <c r="J63" s="7"/>
    </row>
    <row r="64" spans="1:10" x14ac:dyDescent="0.2">
      <c r="A64" s="7"/>
      <c r="B64" s="9"/>
      <c r="C64" s="7"/>
      <c r="D64" s="10"/>
      <c r="E64" s="7"/>
      <c r="F64" s="7"/>
      <c r="G64" s="7"/>
      <c r="H64" s="7"/>
      <c r="I64" s="7"/>
      <c r="J64" s="7"/>
    </row>
    <row r="65" spans="1:10" x14ac:dyDescent="0.2">
      <c r="A65" s="7"/>
      <c r="B65" s="9"/>
      <c r="C65" s="7"/>
      <c r="D65" s="10"/>
      <c r="E65" s="7"/>
      <c r="F65" s="7"/>
      <c r="G65" s="7"/>
      <c r="H65" s="7"/>
      <c r="I65" s="7"/>
      <c r="J65" s="7"/>
    </row>
    <row r="66" spans="1:10" x14ac:dyDescent="0.2">
      <c r="A66" s="7"/>
      <c r="B66" s="9"/>
      <c r="C66" s="7"/>
      <c r="D66" s="10"/>
      <c r="E66" s="7"/>
      <c r="F66" s="7"/>
      <c r="G66" s="7"/>
      <c r="H66" s="7"/>
      <c r="I66" s="7"/>
      <c r="J66" s="7"/>
    </row>
    <row r="67" spans="1:10" x14ac:dyDescent="0.2">
      <c r="A67" s="7"/>
      <c r="B67" s="9"/>
      <c r="C67" s="7"/>
      <c r="D67" s="10"/>
      <c r="E67" s="7"/>
      <c r="F67" s="7"/>
      <c r="G67" s="7"/>
      <c r="H67" s="7"/>
      <c r="I67" s="7"/>
      <c r="J67" s="7"/>
    </row>
    <row r="68" spans="1:10" x14ac:dyDescent="0.2">
      <c r="A68" s="7"/>
      <c r="B68" s="9"/>
      <c r="C68" s="7"/>
      <c r="D68" s="10"/>
      <c r="E68" s="7"/>
      <c r="F68" s="7"/>
      <c r="G68" s="7"/>
      <c r="H68" s="7"/>
      <c r="I68" s="7"/>
      <c r="J68" s="7"/>
    </row>
    <row r="69" spans="1:10" x14ac:dyDescent="0.2">
      <c r="A69" s="7"/>
      <c r="B69" s="9"/>
      <c r="C69" s="7"/>
      <c r="D69" s="10"/>
      <c r="E69" s="7"/>
      <c r="F69" s="7"/>
      <c r="G69" s="7"/>
      <c r="H69" s="7"/>
      <c r="I69" s="7"/>
      <c r="J69" s="7"/>
    </row>
    <row r="70" spans="1:10" x14ac:dyDescent="0.2">
      <c r="A70" s="7"/>
      <c r="B70" s="9"/>
      <c r="C70" s="7"/>
      <c r="D70" s="10"/>
      <c r="E70" s="7"/>
      <c r="F70" s="7"/>
      <c r="G70" s="7"/>
      <c r="H70" s="7"/>
      <c r="I70" s="7"/>
      <c r="J70" s="7"/>
    </row>
    <row r="71" spans="1:10" x14ac:dyDescent="0.2">
      <c r="A71" s="7"/>
      <c r="B71" s="9"/>
      <c r="C71" s="7"/>
      <c r="D71" s="10"/>
      <c r="E71" s="7"/>
      <c r="F71" s="7"/>
      <c r="G71" s="7"/>
      <c r="H71" s="7"/>
      <c r="I71" s="7"/>
      <c r="J71" s="7"/>
    </row>
    <row r="72" spans="1:10" x14ac:dyDescent="0.2">
      <c r="A72" s="7"/>
      <c r="B72" s="9"/>
      <c r="C72" s="7"/>
      <c r="D72" s="10"/>
      <c r="E72" s="7"/>
      <c r="F72" s="7"/>
      <c r="G72" s="7"/>
      <c r="H72" s="7"/>
      <c r="I72" s="7"/>
      <c r="J72" s="7"/>
    </row>
    <row r="73" spans="1:10" x14ac:dyDescent="0.2">
      <c r="A73" s="7"/>
      <c r="B73" s="9"/>
      <c r="C73" s="7"/>
      <c r="D73" s="10"/>
      <c r="E73" s="7"/>
      <c r="F73" s="7"/>
      <c r="G73" s="7"/>
      <c r="H73" s="7"/>
      <c r="I73" s="7"/>
      <c r="J73" s="7"/>
    </row>
    <row r="74" spans="1:10" x14ac:dyDescent="0.2">
      <c r="A74" s="7"/>
      <c r="B74" s="9"/>
      <c r="C74" s="7"/>
      <c r="D74" s="10"/>
      <c r="E74" s="7"/>
      <c r="F74" s="7"/>
      <c r="G74" s="7"/>
      <c r="H74" s="7"/>
      <c r="I74" s="7"/>
      <c r="J74" s="7"/>
    </row>
    <row r="75" spans="1:10" x14ac:dyDescent="0.2">
      <c r="A75" s="7"/>
      <c r="B75" s="9"/>
      <c r="C75" s="7"/>
      <c r="D75" s="10"/>
      <c r="E75" s="7"/>
      <c r="F75" s="7"/>
      <c r="G75" s="7"/>
      <c r="H75" s="7"/>
      <c r="I75" s="7"/>
      <c r="J75" s="7"/>
    </row>
    <row r="76" spans="1:10" x14ac:dyDescent="0.2">
      <c r="A76" s="7"/>
      <c r="B76" s="9"/>
      <c r="C76" s="7"/>
      <c r="D76" s="10"/>
      <c r="E76" s="7"/>
      <c r="F76" s="7"/>
      <c r="G76" s="7"/>
      <c r="H76" s="7"/>
      <c r="I76" s="7"/>
      <c r="J76" s="7"/>
    </row>
    <row r="77" spans="1:10" x14ac:dyDescent="0.2">
      <c r="A77" s="7"/>
      <c r="B77" s="9"/>
      <c r="C77" s="7"/>
      <c r="D77" s="10"/>
      <c r="E77" s="7"/>
      <c r="F77" s="7"/>
      <c r="G77" s="7"/>
      <c r="H77" s="7"/>
      <c r="I77" s="7"/>
      <c r="J77" s="7"/>
    </row>
    <row r="78" spans="1:10" x14ac:dyDescent="0.2">
      <c r="E78" s="7"/>
      <c r="F78" s="7"/>
      <c r="G78" s="7"/>
      <c r="H78" s="7"/>
      <c r="I78" s="7"/>
      <c r="J78" s="7"/>
    </row>
  </sheetData>
  <mergeCells count="2">
    <mergeCell ref="A1:D1"/>
    <mergeCell ref="A6:A7"/>
  </mergeCells>
  <phoneticPr fontId="10" type="noConversion"/>
  <conditionalFormatting sqref="A2:D2 E19:J52 A4:J6 A8:J18 B7:J7">
    <cfRule type="expression" dxfId="11" priority="1" stopIfTrue="1">
      <formula>($G2="Closed")</formula>
    </cfRule>
    <cfRule type="expression" dxfId="10" priority="2" stopIfTrue="1">
      <formula>($G2="Cancelled")</formula>
    </cfRule>
    <cfRule type="expression" dxfId="9" priority="3" stopIfTrue="1">
      <formula>AND($G2="In Progress",$E2&lt;$W$4)</formula>
    </cfRule>
  </conditionalFormatting>
  <conditionalFormatting sqref="E53:J78">
    <cfRule type="expression" dxfId="8" priority="4" stopIfTrue="1">
      <formula>($G53="Closed")</formula>
    </cfRule>
    <cfRule type="expression" dxfId="7" priority="5" stopIfTrue="1">
      <formula>($G53="Cancelled")</formula>
    </cfRule>
    <cfRule type="expression" dxfId="6" priority="6" stopIfTrue="1">
      <formula>AND($G53="In Progress",$F53&lt;$W$4)</formula>
    </cfRule>
  </conditionalFormatting>
  <conditionalFormatting sqref="A52:D77">
    <cfRule type="expression" dxfId="5" priority="7" stopIfTrue="1">
      <formula>($G53="Closed")</formula>
    </cfRule>
    <cfRule type="expression" dxfId="4" priority="8" stopIfTrue="1">
      <formula>($G53="Cancelled")</formula>
    </cfRule>
    <cfRule type="expression" dxfId="3" priority="9" stopIfTrue="1">
      <formula>AND($G53="In Progress",$F53&lt;$W$4)</formula>
    </cfRule>
  </conditionalFormatting>
  <conditionalFormatting sqref="A19:D51">
    <cfRule type="expression" dxfId="2" priority="10" stopIfTrue="1">
      <formula>($G20="Closed")</formula>
    </cfRule>
    <cfRule type="expression" dxfId="1" priority="11" stopIfTrue="1">
      <formula>($G20="Cancelled")</formula>
    </cfRule>
    <cfRule type="expression" dxfId="0" priority="12" stopIfTrue="1">
      <formula>AND($G20="In Progress",$E20&lt;$W$4)</formula>
    </cfRule>
  </conditionalFormatting>
  <pageMargins left="0.75" right="0.75" top="1" bottom="1" header="0.4921259845" footer="0.492125984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5.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Props1.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4.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5.xml><?xml version="1.0" encoding="utf-8"?>
<ds:datastoreItem xmlns:ds="http://schemas.openxmlformats.org/officeDocument/2006/customXml" ds:itemID="{E2965021-A51C-4AA2-B873-44DEF42FF54E}">
  <ds:schemaRefs>
    <ds:schemaRef ds:uri="http://schemas.microsoft.com/sharepoint/v3"/>
    <ds:schemaRef ds:uri="http://purl.org/dc/terms/"/>
    <ds:schemaRef ds:uri="34c9bd9a-5a71-426a-ab93-6fe2caeb5e9e"/>
    <ds:schemaRef ds:uri="http://purl.org/dc/dcmitype/"/>
    <ds:schemaRef ds:uri="http://schemas.microsoft.com/office/2006/documentManagement/types"/>
    <ds:schemaRef ds:uri="46fc4dd3-b727-4544-ab7c-0ad95d465289"/>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55</vt:i4>
      </vt:variant>
    </vt:vector>
  </HeadingPairs>
  <TitlesOfParts>
    <vt:vector size="79" baseType="lpstr">
      <vt:lpstr>FrontPage</vt:lpstr>
      <vt:lpstr>General info</vt:lpstr>
      <vt:lpstr>Help</vt:lpstr>
      <vt:lpstr>Synthesis Charts</vt:lpstr>
      <vt:lpstr>Review</vt:lpstr>
      <vt:lpstr>Reuse strategy checklist</vt:lpstr>
      <vt:lpstr>SDP checklist</vt:lpstr>
      <vt:lpstr>SPS checklist</vt:lpstr>
      <vt:lpstr>ITP checklist</vt:lpstr>
      <vt:lpstr>SVP checklist</vt:lpstr>
      <vt:lpstr>SVS checklist</vt:lpstr>
      <vt:lpstr>QAP checklist</vt:lpstr>
      <vt:lpstr>CMP checklist</vt:lpstr>
      <vt:lpstr>Architecture checklist</vt:lpstr>
      <vt:lpstr>MBD checklist</vt:lpstr>
      <vt:lpstr>Design checklist</vt:lpstr>
      <vt:lpstr>Code checklist</vt:lpstr>
      <vt:lpstr>AAU Test checklist</vt:lpstr>
      <vt:lpstr>Integration Test checklist</vt:lpstr>
      <vt:lpstr>SV Summary Report checklist</vt:lpstr>
      <vt:lpstr>SWPF checklist</vt:lpstr>
      <vt:lpstr>Other documents checklist</vt:lpstr>
      <vt:lpstr>Process assets checklist</vt:lpstr>
      <vt:lpstr>History</vt:lpstr>
      <vt:lpstr>ActorName</vt:lpstr>
      <vt:lpstr>ApprovalStatus</vt:lpstr>
      <vt:lpstr>AuthorStatus</vt:lpstr>
      <vt:lpstr>Autofill</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ReviewerStatus</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TemplateColumn</vt:lpstr>
      <vt:lpstr>TemplateRef</vt:lpstr>
      <vt:lpstr>'AAU Test checklist'!TitleRow</vt:lpstr>
      <vt:lpstr>'Architecture checklist'!TitleRow</vt:lpstr>
      <vt:lpstr>'CMP checklist'!TitleRow</vt:lpstr>
      <vt:lpstr>'Code checklist'!TitleRow</vt:lpstr>
      <vt:lpstr>'Design checklist'!TitleRow</vt:lpstr>
      <vt:lpstr>'Integration Test checklist'!TitleRow</vt:lpstr>
      <vt:lpstr>'ITP checklist'!TitleRow</vt:lpstr>
      <vt:lpstr>'MBD checklist'!TitleRow</vt:lpstr>
      <vt:lpstr>'Other documents checklist'!TitleRow</vt:lpstr>
      <vt:lpstr>'Process assets checklist'!TitleRow</vt:lpstr>
      <vt:lpstr>'QAP checklist'!TitleRow</vt:lpstr>
      <vt:lpstr>'Reuse strategy checklist'!TitleRow</vt:lpstr>
      <vt:lpstr>'SDP checklist'!TitleRow</vt:lpstr>
      <vt:lpstr>'SPS checklist'!TitleRow</vt:lpstr>
      <vt:lpstr>'SV Summary Report checklist'!TitleRow</vt:lpstr>
      <vt:lpstr>'SVP checklist'!TitleRow</vt:lpstr>
      <vt:lpstr>'SVS checklist'!TitleRow</vt:lpstr>
      <vt:lpstr>'SWPF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Cyril Jouhanneau</cp:lastModifiedBy>
  <dcterms:created xsi:type="dcterms:W3CDTF">1996-10-21T11:03:58Z</dcterms:created>
  <dcterms:modified xsi:type="dcterms:W3CDTF">2020-04-06T15:52:38Z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